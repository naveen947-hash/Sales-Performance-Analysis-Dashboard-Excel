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slicers/slicer3.xml" ContentType="application/vnd.ms-excel.slicer+xml"/>
  <Override PartName="/xl/timelines/timeline2.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Ex2.xml" ContentType="application/vnd.ms-office.chartex+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35a40ad50bc5667f/Documents/PGA56 projects/"/>
    </mc:Choice>
  </mc:AlternateContent>
  <xr:revisionPtr revIDLastSave="46" documentId="13_ncr:1_{AE7EA28F-65CC-468E-B3E1-A79BEFFECF91}" xr6:coauthVersionLast="47" xr6:coauthVersionMax="47" xr10:uidLastSave="{DB2AF4EB-425E-41C4-A744-25A72992696B}"/>
  <bookViews>
    <workbookView xWindow="-108" yWindow="-108" windowWidth="23256" windowHeight="13176" activeTab="4" xr2:uid="{23582070-2BA3-4C2E-9BC1-57F5A0370909}"/>
  </bookViews>
  <sheets>
    <sheet name="data" sheetId="1" r:id="rId1"/>
    <sheet name="second data" sheetId="2" r:id="rId2"/>
    <sheet name="Sheet1" sheetId="5" r:id="rId3"/>
    <sheet name="Sheet3" sheetId="3" r:id="rId4"/>
    <sheet name="dashborad" sheetId="4" r:id="rId5"/>
  </sheets>
  <definedNames>
    <definedName name="_xlnm._FilterDatabase" localSheetId="1" hidden="1">'second data'!$M$1:$M$501</definedName>
    <definedName name="_xlchart.v2.0" hidden="1">Sheet3!$AT$17:$AT$24</definedName>
    <definedName name="_xlchart.v2.1" hidden="1">Sheet3!$AU$17:$AU$24</definedName>
    <definedName name="_xlchart.v2.2" hidden="1">Sheet3!$AT$17:$AT$24</definedName>
    <definedName name="_xlchart.v2.3" hidden="1">Sheet3!$AU$17:$AU$24</definedName>
    <definedName name="_xlnm.Criteria" localSheetId="1">'second data'!$AD$2</definedName>
    <definedName name="_xlnm.Extract" localSheetId="1">'second data'!$AG$9</definedName>
    <definedName name="NativeTimeline_Order_Date">#N/A</definedName>
    <definedName name="Slicer_City">#N/A</definedName>
    <definedName name="Slicer_Coupon_Code">#N/A</definedName>
    <definedName name="Slicer_Gender1">#N/A</definedName>
    <definedName name="Slicer_Product_ID">#N/A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V14" i="5" l="1"/>
  <c r="E18" i="5"/>
  <c r="D14" i="5"/>
  <c r="V21" i="5"/>
  <c r="T21" i="5"/>
  <c r="D2" i="1" l="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AW17" i="3" a="1"/>
  <c r="AW17" i="3" s="1"/>
  <c r="AT17" i="3" a="1"/>
  <c r="AT17" i="3" s="1"/>
  <c r="AB2" i="1"/>
  <c r="AB3" i="1"/>
  <c r="AB4" i="1"/>
  <c r="AB5" i="1"/>
  <c r="AB6" i="1"/>
  <c r="AB7" i="1"/>
  <c r="AB8" i="1"/>
  <c r="AB9" i="1"/>
  <c r="AB10" i="1"/>
  <c r="AB11" i="1"/>
  <c r="AB12" i="1"/>
  <c r="AB13" i="1"/>
  <c r="AB14" i="1"/>
  <c r="AB15" i="1"/>
  <c r="AB16" i="1"/>
  <c r="AB17" i="1"/>
  <c r="AB18" i="1"/>
  <c r="AB19" i="1"/>
  <c r="AB20" i="1"/>
  <c r="AB21" i="1"/>
  <c r="AB22" i="1"/>
  <c r="AB23" i="1"/>
  <c r="AB24" i="1"/>
  <c r="AB25" i="1"/>
  <c r="AB26" i="1"/>
  <c r="AB27" i="1"/>
  <c r="AB28" i="1"/>
  <c r="AB29" i="1"/>
  <c r="AB30" i="1"/>
  <c r="AB31" i="1"/>
  <c r="AB32" i="1"/>
  <c r="AB33" i="1"/>
  <c r="AB34" i="1"/>
  <c r="AB35" i="1"/>
  <c r="AB36" i="1"/>
  <c r="AB37" i="1"/>
  <c r="AB38" i="1"/>
  <c r="AB39" i="1"/>
  <c r="AB40" i="1"/>
  <c r="AB41" i="1"/>
  <c r="AB42" i="1"/>
  <c r="AB43" i="1"/>
  <c r="AB44" i="1"/>
  <c r="AB45" i="1"/>
  <c r="AB46" i="1"/>
  <c r="AB47" i="1"/>
  <c r="AB48" i="1"/>
  <c r="AB49" i="1"/>
  <c r="AB50" i="1"/>
  <c r="AB51" i="1"/>
  <c r="AB52" i="1"/>
  <c r="AB53" i="1"/>
  <c r="AB54" i="1"/>
  <c r="AB55" i="1"/>
  <c r="AB56" i="1"/>
  <c r="AB57"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6" i="1"/>
  <c r="AB87" i="1"/>
  <c r="AB88" i="1"/>
  <c r="AB89" i="1"/>
  <c r="AB90" i="1"/>
  <c r="AB91" i="1"/>
  <c r="AB92" i="1"/>
  <c r="AB93" i="1"/>
  <c r="AB94" i="1"/>
  <c r="AB95" i="1"/>
  <c r="AB96" i="1"/>
  <c r="AB97" i="1"/>
  <c r="AB98" i="1"/>
  <c r="AB99" i="1"/>
  <c r="AB100" i="1"/>
  <c r="AB101" i="1"/>
  <c r="AB102" i="1"/>
  <c r="AB103" i="1"/>
  <c r="AB104" i="1"/>
  <c r="AB105" i="1"/>
  <c r="AB106" i="1"/>
  <c r="AB107" i="1"/>
  <c r="AB108" i="1"/>
  <c r="AB109" i="1"/>
  <c r="AB110" i="1"/>
  <c r="AB111" i="1"/>
  <c r="AB112" i="1"/>
  <c r="AB113" i="1"/>
  <c r="AB114" i="1"/>
  <c r="AB115" i="1"/>
  <c r="AB116" i="1"/>
  <c r="AB117" i="1"/>
  <c r="AB118" i="1"/>
  <c r="AB119" i="1"/>
  <c r="AB120" i="1"/>
  <c r="AB121" i="1"/>
  <c r="AB122" i="1"/>
  <c r="AB123" i="1"/>
  <c r="AB124" i="1"/>
  <c r="AB125" i="1"/>
  <c r="AB126" i="1"/>
  <c r="AB127" i="1"/>
  <c r="AB128" i="1"/>
  <c r="AB129" i="1"/>
  <c r="AB130" i="1"/>
  <c r="AB131" i="1"/>
  <c r="AB132" i="1"/>
  <c r="AB133" i="1"/>
  <c r="AB134" i="1"/>
  <c r="AB135" i="1"/>
  <c r="AB136" i="1"/>
  <c r="AB137" i="1"/>
  <c r="AB138" i="1"/>
  <c r="AB139" i="1"/>
  <c r="AB140" i="1"/>
  <c r="AB141" i="1"/>
  <c r="AB142" i="1"/>
  <c r="AB143" i="1"/>
  <c r="AB144" i="1"/>
  <c r="AB145" i="1"/>
  <c r="AB146" i="1"/>
  <c r="AB147" i="1"/>
  <c r="AB148" i="1"/>
  <c r="AB149" i="1"/>
  <c r="AB150" i="1"/>
  <c r="AB151" i="1"/>
  <c r="AB152" i="1"/>
  <c r="AB153" i="1"/>
  <c r="AB154" i="1"/>
  <c r="AB155" i="1"/>
  <c r="AB156" i="1"/>
  <c r="AB157" i="1"/>
  <c r="AB158" i="1"/>
  <c r="AB159" i="1"/>
  <c r="AB160" i="1"/>
  <c r="AB161" i="1"/>
  <c r="AB162" i="1"/>
  <c r="AB163" i="1"/>
  <c r="AB164" i="1"/>
  <c r="AB165" i="1"/>
  <c r="AB166" i="1"/>
  <c r="AB167" i="1"/>
  <c r="AB168" i="1"/>
  <c r="AB169" i="1"/>
  <c r="AB170" i="1"/>
  <c r="AB171" i="1"/>
  <c r="AB172" i="1"/>
  <c r="AB173" i="1"/>
  <c r="AB174" i="1"/>
  <c r="AB175" i="1"/>
  <c r="AB176" i="1"/>
  <c r="AB177" i="1"/>
  <c r="AB178" i="1"/>
  <c r="AB179" i="1"/>
  <c r="AB180" i="1"/>
  <c r="AB181" i="1"/>
  <c r="AB182" i="1"/>
  <c r="AB183" i="1"/>
  <c r="AB184" i="1"/>
  <c r="AB185" i="1"/>
  <c r="AB186" i="1"/>
  <c r="AB187" i="1"/>
  <c r="AB188" i="1"/>
  <c r="AB189" i="1"/>
  <c r="AB190" i="1"/>
  <c r="AB191" i="1"/>
  <c r="AB192" i="1"/>
  <c r="AB193" i="1"/>
  <c r="AB194" i="1"/>
  <c r="AB195" i="1"/>
  <c r="AB196" i="1"/>
  <c r="AB197" i="1"/>
  <c r="AB198" i="1"/>
  <c r="AB199" i="1"/>
  <c r="AB200" i="1"/>
  <c r="AB201" i="1"/>
  <c r="AB202" i="1"/>
  <c r="AB203" i="1"/>
  <c r="AB204" i="1"/>
  <c r="AB205" i="1"/>
  <c r="AB206" i="1"/>
  <c r="AB207" i="1"/>
  <c r="AB208" i="1"/>
  <c r="AB209" i="1"/>
  <c r="AB210" i="1"/>
  <c r="AB211" i="1"/>
  <c r="AB212" i="1"/>
  <c r="AB213" i="1"/>
  <c r="AB214" i="1"/>
  <c r="AB215" i="1"/>
  <c r="AB216" i="1"/>
  <c r="AB217" i="1"/>
  <c r="AB218" i="1"/>
  <c r="AB219" i="1"/>
  <c r="AB220" i="1"/>
  <c r="AB221" i="1"/>
  <c r="AB222" i="1"/>
  <c r="AB223" i="1"/>
  <c r="AB224" i="1"/>
  <c r="AB225" i="1"/>
  <c r="AB226" i="1"/>
  <c r="AB227" i="1"/>
  <c r="AB228" i="1"/>
  <c r="AB229" i="1"/>
  <c r="AB230" i="1"/>
  <c r="AB231" i="1"/>
  <c r="AB232" i="1"/>
  <c r="AB233" i="1"/>
  <c r="AB234" i="1"/>
  <c r="AB235" i="1"/>
  <c r="AB236" i="1"/>
  <c r="AB237" i="1"/>
  <c r="AB238" i="1"/>
  <c r="AB239" i="1"/>
  <c r="AB240" i="1"/>
  <c r="AB241" i="1"/>
  <c r="AB242" i="1"/>
  <c r="AB243" i="1"/>
  <c r="AB244" i="1"/>
  <c r="AB245" i="1"/>
  <c r="AB246" i="1"/>
  <c r="AB247" i="1"/>
  <c r="AB248" i="1"/>
  <c r="AB249" i="1"/>
  <c r="AB250" i="1"/>
  <c r="AB251" i="1"/>
  <c r="AB252" i="1"/>
  <c r="AB253" i="1"/>
  <c r="AB254" i="1"/>
  <c r="AB255" i="1"/>
  <c r="AB256" i="1"/>
  <c r="AB257" i="1"/>
  <c r="AB258" i="1"/>
  <c r="AB259" i="1"/>
  <c r="AB260" i="1"/>
  <c r="AB261" i="1"/>
  <c r="AB262" i="1"/>
  <c r="AB263" i="1"/>
  <c r="AB264" i="1"/>
  <c r="AB265" i="1"/>
  <c r="AB266" i="1"/>
  <c r="AB267" i="1"/>
  <c r="AB268" i="1"/>
  <c r="AB269" i="1"/>
  <c r="AB270" i="1"/>
  <c r="AB271" i="1"/>
  <c r="AB272" i="1"/>
  <c r="AB273" i="1"/>
  <c r="AB274" i="1"/>
  <c r="AB275" i="1"/>
  <c r="AB276" i="1"/>
  <c r="AB277" i="1"/>
  <c r="AB278" i="1"/>
  <c r="AB279" i="1"/>
  <c r="AB280" i="1"/>
  <c r="AB281" i="1"/>
  <c r="AB282" i="1"/>
  <c r="AB283" i="1"/>
  <c r="AB284" i="1"/>
  <c r="AB285" i="1"/>
  <c r="AB286" i="1"/>
  <c r="AB287" i="1"/>
  <c r="AB288" i="1"/>
  <c r="AB289" i="1"/>
  <c r="AB290" i="1"/>
  <c r="AB291" i="1"/>
  <c r="AB292" i="1"/>
  <c r="AB293" i="1"/>
  <c r="AB294" i="1"/>
  <c r="AB295" i="1"/>
  <c r="AB296" i="1"/>
  <c r="AB297" i="1"/>
  <c r="AB298" i="1"/>
  <c r="AB299" i="1"/>
  <c r="AB300" i="1"/>
  <c r="AB301" i="1"/>
  <c r="AB302" i="1"/>
  <c r="AB303" i="1"/>
  <c r="AB304" i="1"/>
  <c r="AB305" i="1"/>
  <c r="AB306" i="1"/>
  <c r="AB307" i="1"/>
  <c r="AB308" i="1"/>
  <c r="AB309" i="1"/>
  <c r="AB310" i="1"/>
  <c r="AB311" i="1"/>
  <c r="AB312" i="1"/>
  <c r="AB313" i="1"/>
  <c r="AB314" i="1"/>
  <c r="AB315" i="1"/>
  <c r="AB316" i="1"/>
  <c r="AB317" i="1"/>
  <c r="AB318" i="1"/>
  <c r="AB319" i="1"/>
  <c r="AB320" i="1"/>
  <c r="AB321" i="1"/>
  <c r="AB322" i="1"/>
  <c r="AB323" i="1"/>
  <c r="AB324" i="1"/>
  <c r="AB325" i="1"/>
  <c r="AB326" i="1"/>
  <c r="AB327" i="1"/>
  <c r="AB328" i="1"/>
  <c r="AB329" i="1"/>
  <c r="AB330" i="1"/>
  <c r="AB331" i="1"/>
  <c r="AB332" i="1"/>
  <c r="AB333" i="1"/>
  <c r="AB334" i="1"/>
  <c r="AB335" i="1"/>
  <c r="AB336" i="1"/>
  <c r="AB337" i="1"/>
  <c r="AB338" i="1"/>
  <c r="AB339" i="1"/>
  <c r="AB340" i="1"/>
  <c r="AB341" i="1"/>
  <c r="AB342" i="1"/>
  <c r="AB343" i="1"/>
  <c r="AB344" i="1"/>
  <c r="AB345" i="1"/>
  <c r="AB346" i="1"/>
  <c r="AB347" i="1"/>
  <c r="AB348" i="1"/>
  <c r="AB349" i="1"/>
  <c r="AB350" i="1"/>
  <c r="AB351" i="1"/>
  <c r="AB352" i="1"/>
  <c r="AB353" i="1"/>
  <c r="AB354" i="1"/>
  <c r="AB355" i="1"/>
  <c r="AB356" i="1"/>
  <c r="AB357" i="1"/>
  <c r="AB358" i="1"/>
  <c r="AB359" i="1"/>
  <c r="AB360" i="1"/>
  <c r="AB361" i="1"/>
  <c r="AB362" i="1"/>
  <c r="AB363" i="1"/>
  <c r="AB364" i="1"/>
  <c r="AB365" i="1"/>
  <c r="AB366" i="1"/>
  <c r="AB367" i="1"/>
  <c r="AB368" i="1"/>
  <c r="AB369" i="1"/>
  <c r="AB370" i="1"/>
  <c r="AB371" i="1"/>
  <c r="AB372" i="1"/>
  <c r="AB373" i="1"/>
  <c r="AB374" i="1"/>
  <c r="AB375" i="1"/>
  <c r="AB376" i="1"/>
  <c r="AB377" i="1"/>
  <c r="AB378" i="1"/>
  <c r="AB379" i="1"/>
  <c r="AB380" i="1"/>
  <c r="AB381" i="1"/>
  <c r="AB382" i="1"/>
  <c r="AB383" i="1"/>
  <c r="AB384" i="1"/>
  <c r="AB385" i="1"/>
  <c r="AB386" i="1"/>
  <c r="AB387" i="1"/>
  <c r="AB388" i="1"/>
  <c r="AB389" i="1"/>
  <c r="AB390" i="1"/>
  <c r="AB391" i="1"/>
  <c r="AB392" i="1"/>
  <c r="AB393" i="1"/>
  <c r="AB394" i="1"/>
  <c r="AB395" i="1"/>
  <c r="AB396" i="1"/>
  <c r="AB397" i="1"/>
  <c r="AB398" i="1"/>
  <c r="AB399" i="1"/>
  <c r="AB400" i="1"/>
  <c r="AB401" i="1"/>
  <c r="AB402" i="1"/>
  <c r="AB403" i="1"/>
  <c r="AB404" i="1"/>
  <c r="AB405" i="1"/>
  <c r="AB406" i="1"/>
  <c r="AB407" i="1"/>
  <c r="AB408" i="1"/>
  <c r="AB409" i="1"/>
  <c r="AB410" i="1"/>
  <c r="AB411" i="1"/>
  <c r="AB412" i="1"/>
  <c r="AB413" i="1"/>
  <c r="AB414" i="1"/>
  <c r="AB415" i="1"/>
  <c r="AB416" i="1"/>
  <c r="AB417" i="1"/>
  <c r="AB418" i="1"/>
  <c r="AB419" i="1"/>
  <c r="AB420" i="1"/>
  <c r="AB421" i="1"/>
  <c r="AB422" i="1"/>
  <c r="AB423" i="1"/>
  <c r="AB424" i="1"/>
  <c r="AB425" i="1"/>
  <c r="AB426" i="1"/>
  <c r="AB427" i="1"/>
  <c r="AB428" i="1"/>
  <c r="AB429" i="1"/>
  <c r="AB430" i="1"/>
  <c r="AB431" i="1"/>
  <c r="AB432" i="1"/>
  <c r="AB433" i="1"/>
  <c r="AB434" i="1"/>
  <c r="AB435" i="1"/>
  <c r="AB436" i="1"/>
  <c r="AB437" i="1"/>
  <c r="AB438" i="1"/>
  <c r="AB439" i="1"/>
  <c r="AB440" i="1"/>
  <c r="AB441" i="1"/>
  <c r="AB442" i="1"/>
  <c r="AB443" i="1"/>
  <c r="AB444" i="1"/>
  <c r="AB445" i="1"/>
  <c r="AB446" i="1"/>
  <c r="AB447" i="1"/>
  <c r="AB448" i="1"/>
  <c r="AB449" i="1"/>
  <c r="AB450" i="1"/>
  <c r="AB451" i="1"/>
  <c r="AB452" i="1"/>
  <c r="AB453" i="1"/>
  <c r="AB454" i="1"/>
  <c r="AB455" i="1"/>
  <c r="AB456" i="1"/>
  <c r="AB457" i="1"/>
  <c r="AB458" i="1"/>
  <c r="AB459" i="1"/>
  <c r="AB460" i="1"/>
  <c r="AB461" i="1"/>
  <c r="AB462" i="1"/>
  <c r="AB463" i="1"/>
  <c r="AB464" i="1"/>
  <c r="AB465" i="1"/>
  <c r="AB466" i="1"/>
  <c r="AB467" i="1"/>
  <c r="AB468" i="1"/>
  <c r="AB469" i="1"/>
  <c r="AB470" i="1"/>
  <c r="AB471" i="1"/>
  <c r="AB472" i="1"/>
  <c r="AB473" i="1"/>
  <c r="AB474" i="1"/>
  <c r="AB475" i="1"/>
  <c r="AB476" i="1"/>
  <c r="AB477" i="1"/>
  <c r="AB478" i="1"/>
  <c r="AB479" i="1"/>
  <c r="AB480" i="1"/>
  <c r="AB481" i="1"/>
  <c r="AB482" i="1"/>
  <c r="AB483" i="1"/>
  <c r="AB484" i="1"/>
  <c r="AB485" i="1"/>
  <c r="AB486" i="1"/>
  <c r="AB487" i="1"/>
  <c r="AB488" i="1"/>
  <c r="AB489" i="1"/>
  <c r="AB490" i="1"/>
  <c r="AB491" i="1"/>
  <c r="AB492" i="1"/>
  <c r="AB493" i="1"/>
  <c r="AB494" i="1"/>
  <c r="AB495" i="1"/>
  <c r="AB496" i="1"/>
  <c r="AB497" i="1"/>
  <c r="AB498" i="1"/>
  <c r="AB499" i="1"/>
  <c r="AB500" i="1"/>
  <c r="AB501" i="1"/>
  <c r="AE6" i="2"/>
  <c r="AE8" i="2" s="1"/>
  <c r="H12" i="3"/>
  <c r="H14" i="3" s="1"/>
  <c r="H55" i="3"/>
  <c r="B56" i="3"/>
  <c r="I12" i="3"/>
  <c r="E26" i="3"/>
  <c r="B62" i="3"/>
  <c r="B41" i="3"/>
  <c r="H61" i="3"/>
  <c r="H48" i="3"/>
  <c r="I34" i="3"/>
  <c r="C40" i="3" l="1"/>
  <c r="C42" i="3" s="1"/>
  <c r="B19" i="3" a="1"/>
  <c r="B19" i="3" s="1"/>
  <c r="AA501" i="1" a="1"/>
  <c r="AA501" i="1" s="1"/>
  <c r="Z501" i="1"/>
  <c r="W501" i="1" a="1"/>
  <c r="W501" i="1" s="1"/>
  <c r="V501" i="1"/>
  <c r="U501" i="1"/>
  <c r="AA500" i="1" a="1"/>
  <c r="AA500" i="1" s="1"/>
  <c r="Z500" i="1"/>
  <c r="W500" i="1" a="1"/>
  <c r="W500" i="1" s="1"/>
  <c r="V500" i="1"/>
  <c r="U500" i="1"/>
  <c r="AA499" i="1" a="1"/>
  <c r="AA499" i="1" s="1"/>
  <c r="Z499" i="1"/>
  <c r="W499" i="1" a="1"/>
  <c r="W499" i="1" s="1"/>
  <c r="V499" i="1"/>
  <c r="U499" i="1"/>
  <c r="AA498" i="1" a="1"/>
  <c r="AA498" i="1" s="1"/>
  <c r="Z498" i="1"/>
  <c r="W498" i="1" a="1"/>
  <c r="W498" i="1" s="1"/>
  <c r="V498" i="1"/>
  <c r="U498" i="1"/>
  <c r="AA497" i="1" a="1"/>
  <c r="AA497" i="1" s="1"/>
  <c r="Z497" i="1"/>
  <c r="W497" i="1" a="1"/>
  <c r="W497" i="1" s="1"/>
  <c r="V497" i="1"/>
  <c r="U497" i="1"/>
  <c r="AA496" i="1" a="1"/>
  <c r="AA496" i="1" s="1"/>
  <c r="Z496" i="1"/>
  <c r="W496" i="1" a="1"/>
  <c r="W496" i="1" s="1"/>
  <c r="V496" i="1"/>
  <c r="U496" i="1"/>
  <c r="AA495" i="1" a="1"/>
  <c r="AA495" i="1" s="1"/>
  <c r="Z495" i="1"/>
  <c r="W495" i="1"/>
  <c r="W495" i="1" a="1"/>
  <c r="V495" i="1"/>
  <c r="U495" i="1"/>
  <c r="AA494" i="1" a="1"/>
  <c r="AA494" i="1" s="1"/>
  <c r="Z494" i="1"/>
  <c r="W494" i="1" a="1"/>
  <c r="W494" i="1" s="1"/>
  <c r="V494" i="1"/>
  <c r="X494" i="1" s="1"/>
  <c r="Y494" i="1" s="1"/>
  <c r="U494" i="1"/>
  <c r="AA493" i="1" a="1"/>
  <c r="AA493" i="1" s="1"/>
  <c r="Z493" i="1"/>
  <c r="W493" i="1" a="1"/>
  <c r="W493" i="1" s="1"/>
  <c r="V493" i="1"/>
  <c r="U493" i="1"/>
  <c r="AA492" i="1" a="1"/>
  <c r="AA492" i="1" s="1"/>
  <c r="Z492" i="1"/>
  <c r="W492" i="1" a="1"/>
  <c r="W492" i="1" s="1"/>
  <c r="V492" i="1"/>
  <c r="U492" i="1"/>
  <c r="AA491" i="1" a="1"/>
  <c r="AA491" i="1" s="1"/>
  <c r="Z491" i="1"/>
  <c r="W491" i="1" a="1"/>
  <c r="W491" i="1" s="1"/>
  <c r="V491" i="1"/>
  <c r="U491" i="1"/>
  <c r="AA490" i="1" a="1"/>
  <c r="AA490" i="1" s="1"/>
  <c r="Z490" i="1"/>
  <c r="W490" i="1" a="1"/>
  <c r="W490" i="1" s="1"/>
  <c r="V490" i="1"/>
  <c r="X490" i="1" s="1"/>
  <c r="Y490" i="1" s="1"/>
  <c r="U490" i="1"/>
  <c r="AA489" i="1" a="1"/>
  <c r="AA489" i="1" s="1"/>
  <c r="Z489" i="1"/>
  <c r="W489" i="1" a="1"/>
  <c r="W489" i="1" s="1"/>
  <c r="V489" i="1"/>
  <c r="U489" i="1"/>
  <c r="AA488" i="1" a="1"/>
  <c r="AA488" i="1" s="1"/>
  <c r="Z488" i="1"/>
  <c r="W488" i="1" a="1"/>
  <c r="W488" i="1" s="1"/>
  <c r="V488" i="1"/>
  <c r="U488" i="1"/>
  <c r="AA487" i="1" a="1"/>
  <c r="AA487" i="1" s="1"/>
  <c r="Z487" i="1"/>
  <c r="W487" i="1" a="1"/>
  <c r="W487" i="1" s="1"/>
  <c r="V487" i="1"/>
  <c r="X487" i="1" s="1"/>
  <c r="Y487" i="1" s="1"/>
  <c r="U487" i="1"/>
  <c r="AA486" i="1" a="1"/>
  <c r="AA486" i="1" s="1"/>
  <c r="Z486" i="1"/>
  <c r="W486" i="1" a="1"/>
  <c r="W486" i="1" s="1"/>
  <c r="V486" i="1"/>
  <c r="U486" i="1"/>
  <c r="AA485" i="1" a="1"/>
  <c r="AA485" i="1" s="1"/>
  <c r="Z485" i="1"/>
  <c r="W485" i="1" a="1"/>
  <c r="W485" i="1" s="1"/>
  <c r="V485" i="1"/>
  <c r="U485" i="1"/>
  <c r="AA484" i="1" a="1"/>
  <c r="AA484" i="1" s="1"/>
  <c r="Z484" i="1"/>
  <c r="W484" i="1" a="1"/>
  <c r="W484" i="1" s="1"/>
  <c r="V484" i="1"/>
  <c r="U484" i="1"/>
  <c r="AA483" i="1" a="1"/>
  <c r="AA483" i="1" s="1"/>
  <c r="Z483" i="1"/>
  <c r="W483" i="1" a="1"/>
  <c r="W483" i="1" s="1"/>
  <c r="V483" i="1"/>
  <c r="U483" i="1"/>
  <c r="AA482" i="1" a="1"/>
  <c r="AA482" i="1" s="1"/>
  <c r="Z482" i="1"/>
  <c r="W482" i="1" a="1"/>
  <c r="W482" i="1" s="1"/>
  <c r="V482" i="1"/>
  <c r="U482" i="1"/>
  <c r="AA481" i="1" a="1"/>
  <c r="AA481" i="1" s="1"/>
  <c r="Z481" i="1"/>
  <c r="W481" i="1" a="1"/>
  <c r="W481" i="1" s="1"/>
  <c r="V481" i="1"/>
  <c r="U481" i="1"/>
  <c r="AA480" i="1" a="1"/>
  <c r="AA480" i="1" s="1"/>
  <c r="Z480" i="1"/>
  <c r="W480" i="1" a="1"/>
  <c r="W480" i="1" s="1"/>
  <c r="V480" i="1"/>
  <c r="U480" i="1"/>
  <c r="AA479" i="1" a="1"/>
  <c r="AA479" i="1" s="1"/>
  <c r="Z479" i="1"/>
  <c r="W479" i="1" a="1"/>
  <c r="W479" i="1" s="1"/>
  <c r="V479" i="1"/>
  <c r="U479" i="1"/>
  <c r="AA478" i="1" a="1"/>
  <c r="AA478" i="1" s="1"/>
  <c r="Z478" i="1"/>
  <c r="W478" i="1" a="1"/>
  <c r="W478" i="1" s="1"/>
  <c r="V478" i="1"/>
  <c r="U478" i="1"/>
  <c r="AA477" i="1" a="1"/>
  <c r="AA477" i="1" s="1"/>
  <c r="Z477" i="1"/>
  <c r="W477" i="1" a="1"/>
  <c r="W477" i="1" s="1"/>
  <c r="V477" i="1"/>
  <c r="U477" i="1"/>
  <c r="AA476" i="1" a="1"/>
  <c r="AA476" i="1" s="1"/>
  <c r="Z476" i="1"/>
  <c r="W476" i="1" a="1"/>
  <c r="W476" i="1" s="1"/>
  <c r="V476" i="1"/>
  <c r="U476" i="1"/>
  <c r="AA475" i="1" a="1"/>
  <c r="AA475" i="1" s="1"/>
  <c r="Z475" i="1"/>
  <c r="W475" i="1" a="1"/>
  <c r="W475" i="1" s="1"/>
  <c r="V475" i="1"/>
  <c r="U475" i="1"/>
  <c r="AA474" i="1" a="1"/>
  <c r="AA474" i="1" s="1"/>
  <c r="Z474" i="1"/>
  <c r="W474" i="1" a="1"/>
  <c r="W474" i="1" s="1"/>
  <c r="V474" i="1"/>
  <c r="U474" i="1"/>
  <c r="AA473" i="1" a="1"/>
  <c r="AA473" i="1" s="1"/>
  <c r="Z473" i="1"/>
  <c r="W473" i="1" a="1"/>
  <c r="W473" i="1" s="1"/>
  <c r="V473" i="1"/>
  <c r="U473" i="1"/>
  <c r="AA472" i="1" a="1"/>
  <c r="AA472" i="1" s="1"/>
  <c r="Z472" i="1"/>
  <c r="W472" i="1" a="1"/>
  <c r="W472" i="1" s="1"/>
  <c r="V472" i="1"/>
  <c r="U472" i="1"/>
  <c r="AA471" i="1" a="1"/>
  <c r="AA471" i="1" s="1"/>
  <c r="Z471" i="1"/>
  <c r="W471" i="1" a="1"/>
  <c r="W471" i="1" s="1"/>
  <c r="V471" i="1"/>
  <c r="U471" i="1"/>
  <c r="AA470" i="1" a="1"/>
  <c r="AA470" i="1" s="1"/>
  <c r="Z470" i="1"/>
  <c r="W470" i="1" a="1"/>
  <c r="W470" i="1" s="1"/>
  <c r="V470" i="1"/>
  <c r="U470" i="1"/>
  <c r="AA469" i="1" a="1"/>
  <c r="AA469" i="1" s="1"/>
  <c r="Z469" i="1"/>
  <c r="W469" i="1" a="1"/>
  <c r="W469" i="1" s="1"/>
  <c r="V469" i="1"/>
  <c r="U469" i="1"/>
  <c r="AA468" i="1" a="1"/>
  <c r="AA468" i="1" s="1"/>
  <c r="Z468" i="1"/>
  <c r="W468" i="1" a="1"/>
  <c r="W468" i="1" s="1"/>
  <c r="V468" i="1"/>
  <c r="U468" i="1"/>
  <c r="AA467" i="1" a="1"/>
  <c r="AA467" i="1" s="1"/>
  <c r="Z467" i="1"/>
  <c r="W467" i="1" a="1"/>
  <c r="W467" i="1" s="1"/>
  <c r="V467" i="1"/>
  <c r="U467" i="1"/>
  <c r="AA466" i="1" a="1"/>
  <c r="AA466" i="1" s="1"/>
  <c r="Z466" i="1"/>
  <c r="W466" i="1" a="1"/>
  <c r="W466" i="1" s="1"/>
  <c r="V466" i="1"/>
  <c r="U466" i="1"/>
  <c r="AA465" i="1" a="1"/>
  <c r="AA465" i="1" s="1"/>
  <c r="Z465" i="1"/>
  <c r="W465" i="1" a="1"/>
  <c r="W465" i="1" s="1"/>
  <c r="V465" i="1"/>
  <c r="U465" i="1"/>
  <c r="AA464" i="1" a="1"/>
  <c r="AA464" i="1" s="1"/>
  <c r="Z464" i="1"/>
  <c r="W464" i="1" a="1"/>
  <c r="W464" i="1" s="1"/>
  <c r="V464" i="1"/>
  <c r="U464" i="1"/>
  <c r="AA463" i="1" a="1"/>
  <c r="AA463" i="1" s="1"/>
  <c r="Z463" i="1"/>
  <c r="W463" i="1" a="1"/>
  <c r="W463" i="1" s="1"/>
  <c r="V463" i="1"/>
  <c r="U463" i="1"/>
  <c r="AA462" i="1" a="1"/>
  <c r="AA462" i="1" s="1"/>
  <c r="Z462" i="1"/>
  <c r="W462" i="1" a="1"/>
  <c r="W462" i="1" s="1"/>
  <c r="V462" i="1"/>
  <c r="U462" i="1"/>
  <c r="AA461" i="1" a="1"/>
  <c r="AA461" i="1" s="1"/>
  <c r="Z461" i="1"/>
  <c r="W461" i="1" a="1"/>
  <c r="W461" i="1" s="1"/>
  <c r="V461" i="1"/>
  <c r="U461" i="1"/>
  <c r="AA460" i="1" a="1"/>
  <c r="AA460" i="1" s="1"/>
  <c r="Z460" i="1"/>
  <c r="W460" i="1" a="1"/>
  <c r="W460" i="1" s="1"/>
  <c r="V460" i="1"/>
  <c r="U460" i="1"/>
  <c r="AA459" i="1" a="1"/>
  <c r="AA459" i="1" s="1"/>
  <c r="Z459" i="1"/>
  <c r="W459" i="1" a="1"/>
  <c r="W459" i="1" s="1"/>
  <c r="V459" i="1"/>
  <c r="X459" i="1" s="1"/>
  <c r="Y459" i="1" s="1"/>
  <c r="U459" i="1"/>
  <c r="AA458" i="1" a="1"/>
  <c r="AA458" i="1" s="1"/>
  <c r="Z458" i="1"/>
  <c r="W458" i="1" a="1"/>
  <c r="W458" i="1" s="1"/>
  <c r="V458" i="1"/>
  <c r="U458" i="1"/>
  <c r="AA457" i="1" a="1"/>
  <c r="AA457" i="1" s="1"/>
  <c r="Z457" i="1"/>
  <c r="W457" i="1" a="1"/>
  <c r="W457" i="1" s="1"/>
  <c r="V457" i="1"/>
  <c r="U457" i="1"/>
  <c r="AA456" i="1" a="1"/>
  <c r="AA456" i="1" s="1"/>
  <c r="Z456" i="1"/>
  <c r="W456" i="1" a="1"/>
  <c r="W456" i="1" s="1"/>
  <c r="V456" i="1"/>
  <c r="X456" i="1" s="1"/>
  <c r="Y456" i="1" s="1"/>
  <c r="U456" i="1"/>
  <c r="AA455" i="1" a="1"/>
  <c r="AA455" i="1" s="1"/>
  <c r="Z455" i="1"/>
  <c r="W455" i="1" a="1"/>
  <c r="W455" i="1" s="1"/>
  <c r="V455" i="1"/>
  <c r="U455" i="1"/>
  <c r="AA454" i="1" a="1"/>
  <c r="AA454" i="1" s="1"/>
  <c r="Z454" i="1"/>
  <c r="W454" i="1" a="1"/>
  <c r="W454" i="1" s="1"/>
  <c r="V454" i="1"/>
  <c r="U454" i="1"/>
  <c r="AA453" i="1" a="1"/>
  <c r="AA453" i="1" s="1"/>
  <c r="Z453" i="1"/>
  <c r="W453" i="1" a="1"/>
  <c r="W453" i="1" s="1"/>
  <c r="V453" i="1"/>
  <c r="X453" i="1" s="1"/>
  <c r="Y453" i="1" s="1"/>
  <c r="U453" i="1"/>
  <c r="AA452" i="1" a="1"/>
  <c r="AA452" i="1" s="1"/>
  <c r="Z452" i="1"/>
  <c r="W452" i="1" a="1"/>
  <c r="W452" i="1" s="1"/>
  <c r="V452" i="1"/>
  <c r="U452" i="1"/>
  <c r="AA451" i="1" a="1"/>
  <c r="AA451" i="1" s="1"/>
  <c r="Z451" i="1"/>
  <c r="W451" i="1" a="1"/>
  <c r="W451" i="1" s="1"/>
  <c r="V451" i="1"/>
  <c r="U451" i="1"/>
  <c r="AA450" i="1" a="1"/>
  <c r="AA450" i="1" s="1"/>
  <c r="Z450" i="1"/>
  <c r="W450" i="1" a="1"/>
  <c r="W450" i="1" s="1"/>
  <c r="V450" i="1"/>
  <c r="U450" i="1"/>
  <c r="AA449" i="1" a="1"/>
  <c r="AA449" i="1" s="1"/>
  <c r="Z449" i="1"/>
  <c r="W449" i="1" a="1"/>
  <c r="W449" i="1" s="1"/>
  <c r="V449" i="1"/>
  <c r="U449" i="1"/>
  <c r="AA448" i="1" a="1"/>
  <c r="AA448" i="1" s="1"/>
  <c r="Z448" i="1"/>
  <c r="W448" i="1" a="1"/>
  <c r="W448" i="1" s="1"/>
  <c r="V448" i="1"/>
  <c r="X448" i="1" s="1"/>
  <c r="Y448" i="1" s="1"/>
  <c r="U448" i="1"/>
  <c r="AA447" i="1" a="1"/>
  <c r="AA447" i="1" s="1"/>
  <c r="Z447" i="1"/>
  <c r="W447" i="1" a="1"/>
  <c r="W447" i="1" s="1"/>
  <c r="V447" i="1"/>
  <c r="U447" i="1"/>
  <c r="AA446" i="1" a="1"/>
  <c r="AA446" i="1" s="1"/>
  <c r="Z446" i="1"/>
  <c r="W446" i="1" a="1"/>
  <c r="W446" i="1" s="1"/>
  <c r="V446" i="1"/>
  <c r="U446" i="1"/>
  <c r="AA445" i="1" a="1"/>
  <c r="AA445" i="1" s="1"/>
  <c r="Z445" i="1"/>
  <c r="W445" i="1" a="1"/>
  <c r="W445" i="1" s="1"/>
  <c r="V445" i="1"/>
  <c r="U445" i="1"/>
  <c r="AA444" i="1" a="1"/>
  <c r="AA444" i="1" s="1"/>
  <c r="Z444" i="1"/>
  <c r="W444" i="1" a="1"/>
  <c r="W444" i="1" s="1"/>
  <c r="V444" i="1"/>
  <c r="U444" i="1"/>
  <c r="AA443" i="1" a="1"/>
  <c r="AA443" i="1" s="1"/>
  <c r="Z443" i="1"/>
  <c r="W443" i="1" a="1"/>
  <c r="W443" i="1" s="1"/>
  <c r="V443" i="1"/>
  <c r="U443" i="1"/>
  <c r="AA442" i="1" a="1"/>
  <c r="AA442" i="1" s="1"/>
  <c r="Z442" i="1"/>
  <c r="W442" i="1" a="1"/>
  <c r="W442" i="1" s="1"/>
  <c r="V442" i="1"/>
  <c r="U442" i="1"/>
  <c r="AA441" i="1" a="1"/>
  <c r="AA441" i="1" s="1"/>
  <c r="Z441" i="1"/>
  <c r="W441" i="1" a="1"/>
  <c r="W441" i="1" s="1"/>
  <c r="V441" i="1"/>
  <c r="U441" i="1"/>
  <c r="AA440" i="1" a="1"/>
  <c r="AA440" i="1" s="1"/>
  <c r="Z440" i="1"/>
  <c r="W440" i="1" a="1"/>
  <c r="W440" i="1" s="1"/>
  <c r="V440" i="1"/>
  <c r="U440" i="1"/>
  <c r="AA439" i="1" a="1"/>
  <c r="AA439" i="1" s="1"/>
  <c r="Z439" i="1"/>
  <c r="W439" i="1" a="1"/>
  <c r="W439" i="1" s="1"/>
  <c r="V439" i="1"/>
  <c r="U439" i="1"/>
  <c r="AA438" i="1" a="1"/>
  <c r="AA438" i="1" s="1"/>
  <c r="Z438" i="1"/>
  <c r="W438" i="1" a="1"/>
  <c r="W438" i="1" s="1"/>
  <c r="X438" i="1" s="1"/>
  <c r="Y438" i="1" s="1"/>
  <c r="V438" i="1"/>
  <c r="U438" i="1"/>
  <c r="AA437" i="1" a="1"/>
  <c r="AA437" i="1" s="1"/>
  <c r="Z437" i="1"/>
  <c r="W437" i="1" a="1"/>
  <c r="W437" i="1" s="1"/>
  <c r="V437" i="1"/>
  <c r="X437" i="1" s="1"/>
  <c r="Y437" i="1" s="1"/>
  <c r="U437" i="1"/>
  <c r="AA436" i="1" a="1"/>
  <c r="AA436" i="1" s="1"/>
  <c r="Z436" i="1"/>
  <c r="W436" i="1" a="1"/>
  <c r="W436" i="1" s="1"/>
  <c r="V436" i="1"/>
  <c r="U436" i="1"/>
  <c r="AA435" i="1" a="1"/>
  <c r="AA435" i="1" s="1"/>
  <c r="Z435" i="1"/>
  <c r="W435" i="1" a="1"/>
  <c r="W435" i="1" s="1"/>
  <c r="V435" i="1"/>
  <c r="U435" i="1"/>
  <c r="AA434" i="1" a="1"/>
  <c r="AA434" i="1" s="1"/>
  <c r="Z434" i="1"/>
  <c r="W434" i="1" a="1"/>
  <c r="W434" i="1" s="1"/>
  <c r="V434" i="1"/>
  <c r="U434" i="1"/>
  <c r="AA433" i="1" a="1"/>
  <c r="AA433" i="1" s="1"/>
  <c r="Z433" i="1"/>
  <c r="W433" i="1" a="1"/>
  <c r="W433" i="1" s="1"/>
  <c r="V433" i="1"/>
  <c r="X433" i="1" s="1"/>
  <c r="Y433" i="1" s="1"/>
  <c r="U433" i="1"/>
  <c r="AA432" i="1" a="1"/>
  <c r="AA432" i="1" s="1"/>
  <c r="Z432" i="1"/>
  <c r="W432" i="1" a="1"/>
  <c r="W432" i="1" s="1"/>
  <c r="V432" i="1"/>
  <c r="U432" i="1"/>
  <c r="AA431" i="1" a="1"/>
  <c r="AA431" i="1" s="1"/>
  <c r="Z431" i="1"/>
  <c r="W431" i="1" a="1"/>
  <c r="W431" i="1" s="1"/>
  <c r="V431" i="1"/>
  <c r="U431" i="1"/>
  <c r="AA430" i="1" a="1"/>
  <c r="AA430" i="1" s="1"/>
  <c r="Z430" i="1"/>
  <c r="W430" i="1" a="1"/>
  <c r="W430" i="1" s="1"/>
  <c r="V430" i="1"/>
  <c r="U430" i="1"/>
  <c r="AA429" i="1" a="1"/>
  <c r="AA429" i="1" s="1"/>
  <c r="Z429" i="1"/>
  <c r="W429" i="1" a="1"/>
  <c r="W429" i="1" s="1"/>
  <c r="V429" i="1"/>
  <c r="U429" i="1"/>
  <c r="AA428" i="1" a="1"/>
  <c r="AA428" i="1" s="1"/>
  <c r="Z428" i="1"/>
  <c r="W428" i="1" a="1"/>
  <c r="W428" i="1" s="1"/>
  <c r="V428" i="1"/>
  <c r="U428" i="1"/>
  <c r="AA427" i="1" a="1"/>
  <c r="AA427" i="1" s="1"/>
  <c r="Z427" i="1"/>
  <c r="W427" i="1" a="1"/>
  <c r="W427" i="1" s="1"/>
  <c r="V427" i="1"/>
  <c r="U427" i="1"/>
  <c r="AA426" i="1" a="1"/>
  <c r="AA426" i="1" s="1"/>
  <c r="Z426" i="1"/>
  <c r="W426" i="1" a="1"/>
  <c r="W426" i="1" s="1"/>
  <c r="V426" i="1"/>
  <c r="U426" i="1"/>
  <c r="AA425" i="1" a="1"/>
  <c r="AA425" i="1" s="1"/>
  <c r="Z425" i="1"/>
  <c r="W425" i="1" a="1"/>
  <c r="W425" i="1" s="1"/>
  <c r="V425" i="1"/>
  <c r="U425" i="1"/>
  <c r="AA424" i="1" a="1"/>
  <c r="AA424" i="1" s="1"/>
  <c r="Z424" i="1"/>
  <c r="W424" i="1" a="1"/>
  <c r="W424" i="1" s="1"/>
  <c r="V424" i="1"/>
  <c r="U424" i="1"/>
  <c r="AA423" i="1" a="1"/>
  <c r="AA423" i="1" s="1"/>
  <c r="Z423" i="1"/>
  <c r="W423" i="1" a="1"/>
  <c r="W423" i="1" s="1"/>
  <c r="V423" i="1"/>
  <c r="U423" i="1"/>
  <c r="AA422" i="1" a="1"/>
  <c r="AA422" i="1" s="1"/>
  <c r="Z422" i="1"/>
  <c r="W422" i="1" a="1"/>
  <c r="W422" i="1" s="1"/>
  <c r="V422" i="1"/>
  <c r="U422" i="1"/>
  <c r="AA421" i="1" a="1"/>
  <c r="AA421" i="1" s="1"/>
  <c r="Z421" i="1"/>
  <c r="W421" i="1" a="1"/>
  <c r="W421" i="1" s="1"/>
  <c r="V421" i="1"/>
  <c r="X421" i="1" s="1"/>
  <c r="Y421" i="1" s="1"/>
  <c r="U421" i="1"/>
  <c r="AA420" i="1" a="1"/>
  <c r="AA420" i="1" s="1"/>
  <c r="Z420" i="1"/>
  <c r="W420" i="1" a="1"/>
  <c r="W420" i="1" s="1"/>
  <c r="V420" i="1"/>
  <c r="U420" i="1"/>
  <c r="AA419" i="1" a="1"/>
  <c r="AA419" i="1" s="1"/>
  <c r="Z419" i="1"/>
  <c r="W419" i="1" a="1"/>
  <c r="W419" i="1" s="1"/>
  <c r="V419" i="1"/>
  <c r="U419" i="1"/>
  <c r="AA418" i="1" a="1"/>
  <c r="AA418" i="1" s="1"/>
  <c r="Z418" i="1"/>
  <c r="W418" i="1" a="1"/>
  <c r="W418" i="1" s="1"/>
  <c r="V418" i="1"/>
  <c r="X418" i="1" s="1"/>
  <c r="Y418" i="1" s="1"/>
  <c r="U418" i="1"/>
  <c r="AA417" i="1" a="1"/>
  <c r="AA417" i="1" s="1"/>
  <c r="Z417" i="1"/>
  <c r="W417" i="1" a="1"/>
  <c r="W417" i="1" s="1"/>
  <c r="V417" i="1"/>
  <c r="U417" i="1"/>
  <c r="AA416" i="1" a="1"/>
  <c r="AA416" i="1" s="1"/>
  <c r="Z416" i="1"/>
  <c r="W416" i="1" a="1"/>
  <c r="W416" i="1" s="1"/>
  <c r="V416" i="1"/>
  <c r="U416" i="1"/>
  <c r="AA415" i="1" a="1"/>
  <c r="AA415" i="1" s="1"/>
  <c r="Z415" i="1"/>
  <c r="W415" i="1" a="1"/>
  <c r="W415" i="1" s="1"/>
  <c r="V415" i="1"/>
  <c r="U415" i="1"/>
  <c r="AA414" i="1" a="1"/>
  <c r="AA414" i="1" s="1"/>
  <c r="Z414" i="1"/>
  <c r="W414" i="1" a="1"/>
  <c r="W414" i="1" s="1"/>
  <c r="V414" i="1"/>
  <c r="U414" i="1"/>
  <c r="AA413" i="1" a="1"/>
  <c r="AA413" i="1" s="1"/>
  <c r="Z413" i="1"/>
  <c r="W413" i="1" a="1"/>
  <c r="W413" i="1" s="1"/>
  <c r="V413" i="1"/>
  <c r="U413" i="1"/>
  <c r="AA412" i="1" a="1"/>
  <c r="AA412" i="1" s="1"/>
  <c r="Z412" i="1"/>
  <c r="W412" i="1" a="1"/>
  <c r="W412" i="1" s="1"/>
  <c r="V412" i="1"/>
  <c r="U412" i="1"/>
  <c r="AA411" i="1" a="1"/>
  <c r="AA411" i="1" s="1"/>
  <c r="Z411" i="1"/>
  <c r="W411" i="1" a="1"/>
  <c r="W411" i="1" s="1"/>
  <c r="V411" i="1"/>
  <c r="U411" i="1"/>
  <c r="AA410" i="1" a="1"/>
  <c r="AA410" i="1" s="1"/>
  <c r="Z410" i="1"/>
  <c r="W410" i="1" a="1"/>
  <c r="W410" i="1" s="1"/>
  <c r="V410" i="1"/>
  <c r="U410" i="1"/>
  <c r="AA409" i="1" a="1"/>
  <c r="AA409" i="1" s="1"/>
  <c r="Z409" i="1"/>
  <c r="W409" i="1" a="1"/>
  <c r="W409" i="1" s="1"/>
  <c r="V409" i="1"/>
  <c r="U409" i="1"/>
  <c r="AA408" i="1" a="1"/>
  <c r="AA408" i="1" s="1"/>
  <c r="Z408" i="1"/>
  <c r="W408" i="1" a="1"/>
  <c r="W408" i="1" s="1"/>
  <c r="V408" i="1"/>
  <c r="X408" i="1" s="1"/>
  <c r="Y408" i="1" s="1"/>
  <c r="U408" i="1"/>
  <c r="AA407" i="1" a="1"/>
  <c r="AA407" i="1" s="1"/>
  <c r="Z407" i="1"/>
  <c r="W407" i="1" a="1"/>
  <c r="W407" i="1" s="1"/>
  <c r="V407" i="1"/>
  <c r="U407" i="1"/>
  <c r="AA406" i="1" a="1"/>
  <c r="AA406" i="1" s="1"/>
  <c r="Z406" i="1"/>
  <c r="W406" i="1" a="1"/>
  <c r="W406" i="1" s="1"/>
  <c r="V406" i="1"/>
  <c r="U406" i="1"/>
  <c r="AA405" i="1" a="1"/>
  <c r="AA405" i="1" s="1"/>
  <c r="Z405" i="1"/>
  <c r="W405" i="1" a="1"/>
  <c r="W405" i="1" s="1"/>
  <c r="V405" i="1"/>
  <c r="U405" i="1"/>
  <c r="AA404" i="1" a="1"/>
  <c r="AA404" i="1" s="1"/>
  <c r="Z404" i="1"/>
  <c r="W404" i="1" a="1"/>
  <c r="W404" i="1" s="1"/>
  <c r="V404" i="1"/>
  <c r="U404" i="1"/>
  <c r="AA403" i="1" a="1"/>
  <c r="AA403" i="1" s="1"/>
  <c r="Z403" i="1"/>
  <c r="W403" i="1" a="1"/>
  <c r="W403" i="1" s="1"/>
  <c r="V403" i="1"/>
  <c r="U403" i="1"/>
  <c r="AA402" i="1" a="1"/>
  <c r="AA402" i="1" s="1"/>
  <c r="Z402" i="1"/>
  <c r="W402" i="1" a="1"/>
  <c r="W402" i="1" s="1"/>
  <c r="V402" i="1"/>
  <c r="U402" i="1"/>
  <c r="AA401" i="1" a="1"/>
  <c r="AA401" i="1" s="1"/>
  <c r="Z401" i="1"/>
  <c r="W401" i="1" a="1"/>
  <c r="W401" i="1" s="1"/>
  <c r="V401" i="1"/>
  <c r="X401" i="1" s="1"/>
  <c r="Y401" i="1" s="1"/>
  <c r="U401" i="1"/>
  <c r="AA400" i="1" a="1"/>
  <c r="AA400" i="1" s="1"/>
  <c r="Z400" i="1"/>
  <c r="W400" i="1" a="1"/>
  <c r="W400" i="1" s="1"/>
  <c r="V400" i="1"/>
  <c r="X400" i="1" s="1"/>
  <c r="Y400" i="1" s="1"/>
  <c r="U400" i="1"/>
  <c r="AA399" i="1" a="1"/>
  <c r="AA399" i="1" s="1"/>
  <c r="Z399" i="1"/>
  <c r="W399" i="1" a="1"/>
  <c r="W399" i="1" s="1"/>
  <c r="V399" i="1"/>
  <c r="U399" i="1"/>
  <c r="AA398" i="1" a="1"/>
  <c r="AA398" i="1" s="1"/>
  <c r="Z398" i="1"/>
  <c r="W398" i="1" a="1"/>
  <c r="W398" i="1" s="1"/>
  <c r="V398" i="1"/>
  <c r="U398" i="1"/>
  <c r="AA397" i="1" a="1"/>
  <c r="AA397" i="1" s="1"/>
  <c r="Z397" i="1"/>
  <c r="W397" i="1" a="1"/>
  <c r="W397" i="1" s="1"/>
  <c r="V397" i="1"/>
  <c r="U397" i="1"/>
  <c r="AA396" i="1" a="1"/>
  <c r="AA396" i="1" s="1"/>
  <c r="Z396" i="1"/>
  <c r="W396" i="1" a="1"/>
  <c r="W396" i="1" s="1"/>
  <c r="V396" i="1"/>
  <c r="U396" i="1"/>
  <c r="AA395" i="1" a="1"/>
  <c r="AA395" i="1" s="1"/>
  <c r="Z395" i="1"/>
  <c r="W395" i="1" a="1"/>
  <c r="W395" i="1" s="1"/>
  <c r="V395" i="1"/>
  <c r="U395" i="1"/>
  <c r="AA394" i="1" a="1"/>
  <c r="AA394" i="1" s="1"/>
  <c r="Z394" i="1"/>
  <c r="W394" i="1" a="1"/>
  <c r="W394" i="1" s="1"/>
  <c r="V394" i="1"/>
  <c r="U394" i="1"/>
  <c r="AA393" i="1" a="1"/>
  <c r="AA393" i="1" s="1"/>
  <c r="Z393" i="1"/>
  <c r="W393" i="1" a="1"/>
  <c r="W393" i="1" s="1"/>
  <c r="V393" i="1"/>
  <c r="X393" i="1" s="1"/>
  <c r="Y393" i="1" s="1"/>
  <c r="U393" i="1"/>
  <c r="AA392" i="1" a="1"/>
  <c r="AA392" i="1" s="1"/>
  <c r="Z392" i="1"/>
  <c r="W392" i="1" a="1"/>
  <c r="W392" i="1" s="1"/>
  <c r="V392" i="1"/>
  <c r="X392" i="1" s="1"/>
  <c r="Y392" i="1" s="1"/>
  <c r="U392" i="1"/>
  <c r="AA391" i="1" a="1"/>
  <c r="AA391" i="1" s="1"/>
  <c r="Z391" i="1"/>
  <c r="W391" i="1" a="1"/>
  <c r="W391" i="1" s="1"/>
  <c r="V391" i="1"/>
  <c r="U391" i="1"/>
  <c r="AA390" i="1" a="1"/>
  <c r="AA390" i="1" s="1"/>
  <c r="Z390" i="1"/>
  <c r="W390" i="1" a="1"/>
  <c r="W390" i="1" s="1"/>
  <c r="V390" i="1"/>
  <c r="U390" i="1"/>
  <c r="AA389" i="1" a="1"/>
  <c r="AA389" i="1" s="1"/>
  <c r="Z389" i="1"/>
  <c r="W389" i="1" a="1"/>
  <c r="W389" i="1" s="1"/>
  <c r="V389" i="1"/>
  <c r="X389" i="1" s="1"/>
  <c r="Y389" i="1" s="1"/>
  <c r="U389" i="1"/>
  <c r="AA388" i="1" a="1"/>
  <c r="AA388" i="1" s="1"/>
  <c r="Z388" i="1"/>
  <c r="W388" i="1" a="1"/>
  <c r="W388" i="1" s="1"/>
  <c r="V388" i="1"/>
  <c r="U388" i="1"/>
  <c r="AA387" i="1" a="1"/>
  <c r="AA387" i="1" s="1"/>
  <c r="Z387" i="1"/>
  <c r="W387" i="1" a="1"/>
  <c r="W387" i="1" s="1"/>
  <c r="V387" i="1"/>
  <c r="U387" i="1"/>
  <c r="AA386" i="1" a="1"/>
  <c r="AA386" i="1" s="1"/>
  <c r="Z386" i="1"/>
  <c r="W386" i="1" a="1"/>
  <c r="W386" i="1" s="1"/>
  <c r="V386" i="1"/>
  <c r="U386" i="1"/>
  <c r="AA385" i="1" a="1"/>
  <c r="AA385" i="1" s="1"/>
  <c r="Z385" i="1"/>
  <c r="W385" i="1" a="1"/>
  <c r="W385" i="1" s="1"/>
  <c r="V385" i="1"/>
  <c r="U385" i="1"/>
  <c r="AA384" i="1" a="1"/>
  <c r="AA384" i="1" s="1"/>
  <c r="Z384" i="1"/>
  <c r="W384" i="1" a="1"/>
  <c r="W384" i="1" s="1"/>
  <c r="V384" i="1"/>
  <c r="U384" i="1"/>
  <c r="AA383" i="1" a="1"/>
  <c r="AA383" i="1" s="1"/>
  <c r="Z383" i="1"/>
  <c r="W383" i="1" a="1"/>
  <c r="W383" i="1" s="1"/>
  <c r="V383" i="1"/>
  <c r="U383" i="1"/>
  <c r="AA382" i="1" a="1"/>
  <c r="AA382" i="1" s="1"/>
  <c r="Z382" i="1"/>
  <c r="W382" i="1" a="1"/>
  <c r="W382" i="1" s="1"/>
  <c r="V382" i="1"/>
  <c r="U382" i="1"/>
  <c r="AA381" i="1" a="1"/>
  <c r="AA381" i="1" s="1"/>
  <c r="Z381" i="1"/>
  <c r="W381" i="1" a="1"/>
  <c r="W381" i="1" s="1"/>
  <c r="V381" i="1"/>
  <c r="U381" i="1"/>
  <c r="AA380" i="1" a="1"/>
  <c r="AA380" i="1" s="1"/>
  <c r="Z380" i="1"/>
  <c r="W380" i="1" a="1"/>
  <c r="W380" i="1" s="1"/>
  <c r="V380" i="1"/>
  <c r="U380" i="1"/>
  <c r="AA379" i="1" a="1"/>
  <c r="AA379" i="1" s="1"/>
  <c r="Z379" i="1"/>
  <c r="W379" i="1" a="1"/>
  <c r="W379" i="1" s="1"/>
  <c r="V379" i="1"/>
  <c r="U379" i="1"/>
  <c r="AA378" i="1" a="1"/>
  <c r="AA378" i="1" s="1"/>
  <c r="Z378" i="1"/>
  <c r="W378" i="1" a="1"/>
  <c r="W378" i="1" s="1"/>
  <c r="V378" i="1"/>
  <c r="U378" i="1"/>
  <c r="AA377" i="1" a="1"/>
  <c r="AA377" i="1" s="1"/>
  <c r="Z377" i="1"/>
  <c r="W377" i="1" a="1"/>
  <c r="W377" i="1" s="1"/>
  <c r="V377" i="1"/>
  <c r="U377" i="1"/>
  <c r="AA376" i="1" a="1"/>
  <c r="AA376" i="1" s="1"/>
  <c r="Z376" i="1"/>
  <c r="W376" i="1" a="1"/>
  <c r="W376" i="1" s="1"/>
  <c r="V376" i="1"/>
  <c r="U376" i="1"/>
  <c r="AA375" i="1" a="1"/>
  <c r="AA375" i="1" s="1"/>
  <c r="Z375" i="1"/>
  <c r="W375" i="1" a="1"/>
  <c r="W375" i="1" s="1"/>
  <c r="V375" i="1"/>
  <c r="U375" i="1"/>
  <c r="AA374" i="1" a="1"/>
  <c r="AA374" i="1" s="1"/>
  <c r="Z374" i="1"/>
  <c r="W374" i="1" a="1"/>
  <c r="W374" i="1" s="1"/>
  <c r="V374" i="1"/>
  <c r="U374" i="1"/>
  <c r="AA373" i="1" a="1"/>
  <c r="AA373" i="1" s="1"/>
  <c r="Z373" i="1"/>
  <c r="W373" i="1" a="1"/>
  <c r="W373" i="1" s="1"/>
  <c r="V373" i="1"/>
  <c r="U373" i="1"/>
  <c r="AA372" i="1" a="1"/>
  <c r="AA372" i="1" s="1"/>
  <c r="Z372" i="1"/>
  <c r="W372" i="1" a="1"/>
  <c r="W372" i="1" s="1"/>
  <c r="V372" i="1"/>
  <c r="U372" i="1"/>
  <c r="AA371" i="1" a="1"/>
  <c r="AA371" i="1" s="1"/>
  <c r="Z371" i="1"/>
  <c r="W371" i="1" a="1"/>
  <c r="W371" i="1" s="1"/>
  <c r="V371" i="1"/>
  <c r="U371" i="1"/>
  <c r="AA370" i="1" a="1"/>
  <c r="AA370" i="1" s="1"/>
  <c r="Z370" i="1"/>
  <c r="W370" i="1" a="1"/>
  <c r="W370" i="1" s="1"/>
  <c r="V370" i="1"/>
  <c r="X370" i="1" s="1"/>
  <c r="Y370" i="1" s="1"/>
  <c r="U370" i="1"/>
  <c r="AA369" i="1" a="1"/>
  <c r="AA369" i="1" s="1"/>
  <c r="Z369" i="1"/>
  <c r="W369" i="1" a="1"/>
  <c r="W369" i="1" s="1"/>
  <c r="V369" i="1"/>
  <c r="U369" i="1"/>
  <c r="AA368" i="1" a="1"/>
  <c r="AA368" i="1" s="1"/>
  <c r="Z368" i="1"/>
  <c r="W368" i="1" a="1"/>
  <c r="W368" i="1" s="1"/>
  <c r="V368" i="1"/>
  <c r="U368" i="1"/>
  <c r="AA367" i="1" a="1"/>
  <c r="AA367" i="1" s="1"/>
  <c r="Z367" i="1"/>
  <c r="W367" i="1" a="1"/>
  <c r="W367" i="1" s="1"/>
  <c r="V367" i="1"/>
  <c r="U367" i="1"/>
  <c r="AA366" i="1" a="1"/>
  <c r="AA366" i="1" s="1"/>
  <c r="Z366" i="1"/>
  <c r="W366" i="1" a="1"/>
  <c r="W366" i="1" s="1"/>
  <c r="V366" i="1"/>
  <c r="U366" i="1"/>
  <c r="AA365" i="1" a="1"/>
  <c r="AA365" i="1" s="1"/>
  <c r="Z365" i="1"/>
  <c r="W365" i="1" a="1"/>
  <c r="W365" i="1" s="1"/>
  <c r="V365" i="1"/>
  <c r="U365" i="1"/>
  <c r="AA364" i="1" a="1"/>
  <c r="AA364" i="1" s="1"/>
  <c r="Z364" i="1"/>
  <c r="W364" i="1" a="1"/>
  <c r="W364" i="1" s="1"/>
  <c r="V364" i="1"/>
  <c r="U364" i="1"/>
  <c r="AA363" i="1" a="1"/>
  <c r="AA363" i="1" s="1"/>
  <c r="Z363" i="1"/>
  <c r="W363" i="1" a="1"/>
  <c r="W363" i="1" s="1"/>
  <c r="V363" i="1"/>
  <c r="U363" i="1"/>
  <c r="AA362" i="1" a="1"/>
  <c r="AA362" i="1" s="1"/>
  <c r="Z362" i="1"/>
  <c r="W362" i="1" a="1"/>
  <c r="W362" i="1" s="1"/>
  <c r="V362" i="1"/>
  <c r="U362" i="1"/>
  <c r="AA361" i="1" a="1"/>
  <c r="AA361" i="1" s="1"/>
  <c r="Z361" i="1"/>
  <c r="W361" i="1" a="1"/>
  <c r="W361" i="1" s="1"/>
  <c r="V361" i="1"/>
  <c r="U361" i="1"/>
  <c r="AA360" i="1" a="1"/>
  <c r="AA360" i="1" s="1"/>
  <c r="Z360" i="1"/>
  <c r="W360" i="1" a="1"/>
  <c r="W360" i="1" s="1"/>
  <c r="V360" i="1"/>
  <c r="X360" i="1" s="1"/>
  <c r="Y360" i="1" s="1"/>
  <c r="U360" i="1"/>
  <c r="AA359" i="1" a="1"/>
  <c r="AA359" i="1" s="1"/>
  <c r="Z359" i="1"/>
  <c r="W359" i="1" a="1"/>
  <c r="W359" i="1" s="1"/>
  <c r="V359" i="1"/>
  <c r="U359" i="1"/>
  <c r="AA358" i="1" a="1"/>
  <c r="AA358" i="1" s="1"/>
  <c r="Z358" i="1"/>
  <c r="W358" i="1" a="1"/>
  <c r="W358" i="1" s="1"/>
  <c r="V358" i="1"/>
  <c r="U358" i="1"/>
  <c r="AA357" i="1" a="1"/>
  <c r="AA357" i="1" s="1"/>
  <c r="Z357" i="1"/>
  <c r="W357" i="1" a="1"/>
  <c r="W357" i="1" s="1"/>
  <c r="V357" i="1"/>
  <c r="X357" i="1" s="1"/>
  <c r="Y357" i="1" s="1"/>
  <c r="U357" i="1"/>
  <c r="AA356" i="1" a="1"/>
  <c r="AA356" i="1" s="1"/>
  <c r="Z356" i="1"/>
  <c r="W356" i="1" a="1"/>
  <c r="W356" i="1" s="1"/>
  <c r="V356" i="1"/>
  <c r="U356" i="1"/>
  <c r="AA355" i="1" a="1"/>
  <c r="AA355" i="1" s="1"/>
  <c r="Z355" i="1"/>
  <c r="W355" i="1" a="1"/>
  <c r="W355" i="1" s="1"/>
  <c r="V355" i="1"/>
  <c r="X355" i="1" s="1"/>
  <c r="Y355" i="1" s="1"/>
  <c r="U355" i="1"/>
  <c r="AA354" i="1" a="1"/>
  <c r="AA354" i="1" s="1"/>
  <c r="Z354" i="1"/>
  <c r="W354" i="1" a="1"/>
  <c r="W354" i="1" s="1"/>
  <c r="V354" i="1"/>
  <c r="X354" i="1" s="1"/>
  <c r="Y354" i="1" s="1"/>
  <c r="U354" i="1"/>
  <c r="AA353" i="1" a="1"/>
  <c r="AA353" i="1" s="1"/>
  <c r="Z353" i="1"/>
  <c r="W353" i="1" a="1"/>
  <c r="W353" i="1" s="1"/>
  <c r="V353" i="1"/>
  <c r="U353" i="1"/>
  <c r="AA352" i="1" a="1"/>
  <c r="AA352" i="1" s="1"/>
  <c r="Z352" i="1"/>
  <c r="W352" i="1" a="1"/>
  <c r="W352" i="1" s="1"/>
  <c r="V352" i="1"/>
  <c r="U352" i="1"/>
  <c r="AA351" i="1" a="1"/>
  <c r="AA351" i="1" s="1"/>
  <c r="Z351" i="1"/>
  <c r="W351" i="1" a="1"/>
  <c r="W351" i="1" s="1"/>
  <c r="V351" i="1"/>
  <c r="U351" i="1"/>
  <c r="AA350" i="1" a="1"/>
  <c r="AA350" i="1" s="1"/>
  <c r="Z350" i="1"/>
  <c r="W350" i="1" a="1"/>
  <c r="W350" i="1" s="1"/>
  <c r="V350" i="1"/>
  <c r="U350" i="1"/>
  <c r="AA349" i="1" a="1"/>
  <c r="AA349" i="1" s="1"/>
  <c r="Z349" i="1"/>
  <c r="W349" i="1" a="1"/>
  <c r="W349" i="1" s="1"/>
  <c r="V349" i="1"/>
  <c r="U349" i="1"/>
  <c r="AA348" i="1" a="1"/>
  <c r="AA348" i="1" s="1"/>
  <c r="Z348" i="1"/>
  <c r="W348" i="1" a="1"/>
  <c r="W348" i="1" s="1"/>
  <c r="V348" i="1"/>
  <c r="U348" i="1"/>
  <c r="AA347" i="1" a="1"/>
  <c r="AA347" i="1" s="1"/>
  <c r="Z347" i="1"/>
  <c r="W347" i="1" a="1"/>
  <c r="W347" i="1" s="1"/>
  <c r="V347" i="1"/>
  <c r="U347" i="1"/>
  <c r="AA346" i="1" a="1"/>
  <c r="AA346" i="1" s="1"/>
  <c r="Z346" i="1"/>
  <c r="W346" i="1" a="1"/>
  <c r="W346" i="1" s="1"/>
  <c r="V346" i="1"/>
  <c r="U346" i="1"/>
  <c r="AA345" i="1" a="1"/>
  <c r="AA345" i="1" s="1"/>
  <c r="Z345" i="1"/>
  <c r="W345" i="1" a="1"/>
  <c r="W345" i="1" s="1"/>
  <c r="V345" i="1"/>
  <c r="U345" i="1"/>
  <c r="AA344" i="1" a="1"/>
  <c r="AA344" i="1" s="1"/>
  <c r="Z344" i="1"/>
  <c r="W344" i="1" a="1"/>
  <c r="W344" i="1" s="1"/>
  <c r="V344" i="1"/>
  <c r="U344" i="1"/>
  <c r="AA343" i="1" a="1"/>
  <c r="AA343" i="1" s="1"/>
  <c r="Z343" i="1"/>
  <c r="W343" i="1" a="1"/>
  <c r="W343" i="1" s="1"/>
  <c r="V343" i="1"/>
  <c r="U343" i="1"/>
  <c r="AA342" i="1" a="1"/>
  <c r="AA342" i="1" s="1"/>
  <c r="Z342" i="1"/>
  <c r="W342" i="1" a="1"/>
  <c r="W342" i="1" s="1"/>
  <c r="V342" i="1"/>
  <c r="X342" i="1" s="1"/>
  <c r="Y342" i="1" s="1"/>
  <c r="U342" i="1"/>
  <c r="AA341" i="1" a="1"/>
  <c r="AA341" i="1" s="1"/>
  <c r="Z341" i="1"/>
  <c r="W341" i="1" a="1"/>
  <c r="W341" i="1" s="1"/>
  <c r="V341" i="1"/>
  <c r="U341" i="1"/>
  <c r="AA340" i="1" a="1"/>
  <c r="AA340" i="1" s="1"/>
  <c r="Z340" i="1"/>
  <c r="W340" i="1" a="1"/>
  <c r="W340" i="1" s="1"/>
  <c r="V340" i="1"/>
  <c r="U340" i="1"/>
  <c r="AA339" i="1" a="1"/>
  <c r="AA339" i="1" s="1"/>
  <c r="Z339" i="1"/>
  <c r="W339" i="1" a="1"/>
  <c r="W339" i="1" s="1"/>
  <c r="V339" i="1"/>
  <c r="U339" i="1"/>
  <c r="AA338" i="1" a="1"/>
  <c r="AA338" i="1" s="1"/>
  <c r="Z338" i="1"/>
  <c r="W338" i="1" a="1"/>
  <c r="W338" i="1" s="1"/>
  <c r="V338" i="1"/>
  <c r="X338" i="1" s="1"/>
  <c r="Y338" i="1" s="1"/>
  <c r="U338" i="1"/>
  <c r="AA337" i="1" a="1"/>
  <c r="AA337" i="1" s="1"/>
  <c r="Z337" i="1"/>
  <c r="W337" i="1" a="1"/>
  <c r="W337" i="1" s="1"/>
  <c r="V337" i="1"/>
  <c r="U337" i="1"/>
  <c r="AA336" i="1" a="1"/>
  <c r="AA336" i="1" s="1"/>
  <c r="Z336" i="1"/>
  <c r="W336" i="1" a="1"/>
  <c r="W336" i="1" s="1"/>
  <c r="V336" i="1"/>
  <c r="U336" i="1"/>
  <c r="AA335" i="1" a="1"/>
  <c r="AA335" i="1" s="1"/>
  <c r="Z335" i="1"/>
  <c r="W335" i="1" a="1"/>
  <c r="W335" i="1" s="1"/>
  <c r="V335" i="1"/>
  <c r="U335" i="1"/>
  <c r="AA334" i="1" a="1"/>
  <c r="AA334" i="1" s="1"/>
  <c r="Z334" i="1"/>
  <c r="W334" i="1" a="1"/>
  <c r="W334" i="1" s="1"/>
  <c r="V334" i="1"/>
  <c r="U334" i="1"/>
  <c r="AA333" i="1" a="1"/>
  <c r="AA333" i="1" s="1"/>
  <c r="Z333" i="1"/>
  <c r="W333" i="1" a="1"/>
  <c r="W333" i="1" s="1"/>
  <c r="V333" i="1"/>
  <c r="U333" i="1"/>
  <c r="AA332" i="1" a="1"/>
  <c r="AA332" i="1" s="1"/>
  <c r="Z332" i="1"/>
  <c r="W332" i="1" a="1"/>
  <c r="W332" i="1" s="1"/>
  <c r="V332" i="1"/>
  <c r="U332" i="1"/>
  <c r="AA331" i="1" a="1"/>
  <c r="AA331" i="1" s="1"/>
  <c r="Z331" i="1"/>
  <c r="W331" i="1" a="1"/>
  <c r="W331" i="1" s="1"/>
  <c r="V331" i="1"/>
  <c r="U331" i="1"/>
  <c r="AA330" i="1" a="1"/>
  <c r="AA330" i="1" s="1"/>
  <c r="Z330" i="1"/>
  <c r="W330" i="1" a="1"/>
  <c r="W330" i="1" s="1"/>
  <c r="V330" i="1"/>
  <c r="U330" i="1"/>
  <c r="AA329" i="1" a="1"/>
  <c r="AA329" i="1" s="1"/>
  <c r="Z329" i="1"/>
  <c r="W329" i="1" a="1"/>
  <c r="W329" i="1" s="1"/>
  <c r="V329" i="1"/>
  <c r="U329" i="1"/>
  <c r="AA328" i="1" a="1"/>
  <c r="AA328" i="1" s="1"/>
  <c r="Z328" i="1"/>
  <c r="W328" i="1" a="1"/>
  <c r="W328" i="1" s="1"/>
  <c r="V328" i="1"/>
  <c r="U328" i="1"/>
  <c r="AA327" i="1" a="1"/>
  <c r="AA327" i="1" s="1"/>
  <c r="Z327" i="1"/>
  <c r="W327" i="1" a="1"/>
  <c r="W327" i="1" s="1"/>
  <c r="V327" i="1"/>
  <c r="U327" i="1"/>
  <c r="AA326" i="1" a="1"/>
  <c r="AA326" i="1" s="1"/>
  <c r="Z326" i="1"/>
  <c r="W326" i="1" a="1"/>
  <c r="W326" i="1" s="1"/>
  <c r="V326" i="1"/>
  <c r="U326" i="1"/>
  <c r="AA325" i="1" a="1"/>
  <c r="AA325" i="1" s="1"/>
  <c r="Z325" i="1"/>
  <c r="W325" i="1" a="1"/>
  <c r="W325" i="1" s="1"/>
  <c r="V325" i="1"/>
  <c r="U325" i="1"/>
  <c r="AA324" i="1" a="1"/>
  <c r="AA324" i="1" s="1"/>
  <c r="Z324" i="1"/>
  <c r="W324" i="1" a="1"/>
  <c r="W324" i="1" s="1"/>
  <c r="V324" i="1"/>
  <c r="U324" i="1"/>
  <c r="AA323" i="1" a="1"/>
  <c r="AA323" i="1" s="1"/>
  <c r="Z323" i="1"/>
  <c r="W323" i="1" a="1"/>
  <c r="W323" i="1" s="1"/>
  <c r="V323" i="1"/>
  <c r="U323" i="1"/>
  <c r="AA322" i="1" a="1"/>
  <c r="AA322" i="1" s="1"/>
  <c r="Z322" i="1"/>
  <c r="W322" i="1" a="1"/>
  <c r="W322" i="1" s="1"/>
  <c r="V322" i="1"/>
  <c r="X322" i="1" s="1"/>
  <c r="Y322" i="1" s="1"/>
  <c r="U322" i="1"/>
  <c r="AA321" i="1" a="1"/>
  <c r="AA321" i="1" s="1"/>
  <c r="Z321" i="1"/>
  <c r="W321" i="1" a="1"/>
  <c r="W321" i="1" s="1"/>
  <c r="V321" i="1"/>
  <c r="U321" i="1"/>
  <c r="AA320" i="1" a="1"/>
  <c r="AA320" i="1" s="1"/>
  <c r="Z320" i="1"/>
  <c r="W320" i="1" a="1"/>
  <c r="W320" i="1" s="1"/>
  <c r="V320" i="1"/>
  <c r="U320" i="1"/>
  <c r="AA319" i="1" a="1"/>
  <c r="AA319" i="1" s="1"/>
  <c r="Z319" i="1"/>
  <c r="W319" i="1" a="1"/>
  <c r="W319" i="1" s="1"/>
  <c r="V319" i="1"/>
  <c r="U319" i="1"/>
  <c r="AA318" i="1" a="1"/>
  <c r="AA318" i="1" s="1"/>
  <c r="Z318" i="1"/>
  <c r="W318" i="1" a="1"/>
  <c r="W318" i="1" s="1"/>
  <c r="V318" i="1"/>
  <c r="U318" i="1"/>
  <c r="AA317" i="1" a="1"/>
  <c r="AA317" i="1" s="1"/>
  <c r="Z317" i="1"/>
  <c r="W317" i="1" a="1"/>
  <c r="W317" i="1" s="1"/>
  <c r="V317" i="1"/>
  <c r="X317" i="1" s="1"/>
  <c r="Y317" i="1" s="1"/>
  <c r="U317" i="1"/>
  <c r="AA316" i="1" a="1"/>
  <c r="AA316" i="1" s="1"/>
  <c r="Z316" i="1"/>
  <c r="W316" i="1" a="1"/>
  <c r="W316" i="1" s="1"/>
  <c r="V316" i="1"/>
  <c r="U316" i="1"/>
  <c r="AA315" i="1" a="1"/>
  <c r="AA315" i="1" s="1"/>
  <c r="Z315" i="1"/>
  <c r="W315" i="1" a="1"/>
  <c r="W315" i="1" s="1"/>
  <c r="V315" i="1"/>
  <c r="U315" i="1"/>
  <c r="AA314" i="1" a="1"/>
  <c r="AA314" i="1" s="1"/>
  <c r="Z314" i="1"/>
  <c r="W314" i="1" a="1"/>
  <c r="W314" i="1" s="1"/>
  <c r="V314" i="1"/>
  <c r="U314" i="1"/>
  <c r="AA313" i="1" a="1"/>
  <c r="AA313" i="1" s="1"/>
  <c r="Z313" i="1"/>
  <c r="W313" i="1" a="1"/>
  <c r="W313" i="1" s="1"/>
  <c r="V313" i="1"/>
  <c r="U313" i="1"/>
  <c r="AA312" i="1" a="1"/>
  <c r="AA312" i="1" s="1"/>
  <c r="Z312" i="1"/>
  <c r="W312" i="1" a="1"/>
  <c r="W312" i="1" s="1"/>
  <c r="V312" i="1"/>
  <c r="U312" i="1"/>
  <c r="AA311" i="1" a="1"/>
  <c r="AA311" i="1" s="1"/>
  <c r="Z311" i="1"/>
  <c r="W311" i="1" a="1"/>
  <c r="W311" i="1" s="1"/>
  <c r="V311" i="1"/>
  <c r="U311" i="1"/>
  <c r="AA310" i="1" a="1"/>
  <c r="AA310" i="1" s="1"/>
  <c r="Z310" i="1"/>
  <c r="W310" i="1" a="1"/>
  <c r="W310" i="1" s="1"/>
  <c r="V310" i="1"/>
  <c r="U310" i="1"/>
  <c r="AA309" i="1" a="1"/>
  <c r="AA309" i="1" s="1"/>
  <c r="Z309" i="1"/>
  <c r="W309" i="1" a="1"/>
  <c r="W309" i="1" s="1"/>
  <c r="V309" i="1"/>
  <c r="U309" i="1"/>
  <c r="AA308" i="1" a="1"/>
  <c r="AA308" i="1" s="1"/>
  <c r="Z308" i="1"/>
  <c r="W308" i="1" a="1"/>
  <c r="W308" i="1" s="1"/>
  <c r="V308" i="1"/>
  <c r="U308" i="1"/>
  <c r="AA307" i="1" a="1"/>
  <c r="AA307" i="1" s="1"/>
  <c r="Z307" i="1"/>
  <c r="W307" i="1" a="1"/>
  <c r="W307" i="1" s="1"/>
  <c r="V307" i="1"/>
  <c r="U307" i="1"/>
  <c r="AA306" i="1" a="1"/>
  <c r="AA306" i="1" s="1"/>
  <c r="Z306" i="1"/>
  <c r="W306" i="1" a="1"/>
  <c r="W306" i="1" s="1"/>
  <c r="V306" i="1"/>
  <c r="U306" i="1"/>
  <c r="AA305" i="1" a="1"/>
  <c r="AA305" i="1" s="1"/>
  <c r="Z305" i="1"/>
  <c r="W305" i="1" a="1"/>
  <c r="W305" i="1" s="1"/>
  <c r="V305" i="1"/>
  <c r="U305" i="1"/>
  <c r="AA304" i="1" a="1"/>
  <c r="AA304" i="1" s="1"/>
  <c r="Z304" i="1"/>
  <c r="W304" i="1" a="1"/>
  <c r="W304" i="1" s="1"/>
  <c r="V304" i="1"/>
  <c r="U304" i="1"/>
  <c r="AA303" i="1" a="1"/>
  <c r="AA303" i="1" s="1"/>
  <c r="Z303" i="1"/>
  <c r="W303" i="1" a="1"/>
  <c r="W303" i="1" s="1"/>
  <c r="V303" i="1"/>
  <c r="U303" i="1"/>
  <c r="AA302" i="1" a="1"/>
  <c r="AA302" i="1" s="1"/>
  <c r="Z302" i="1"/>
  <c r="W302" i="1" a="1"/>
  <c r="W302" i="1" s="1"/>
  <c r="V302" i="1"/>
  <c r="U302" i="1"/>
  <c r="AA301" i="1" a="1"/>
  <c r="AA301" i="1" s="1"/>
  <c r="Z301" i="1"/>
  <c r="W301" i="1" a="1"/>
  <c r="W301" i="1" s="1"/>
  <c r="V301" i="1"/>
  <c r="U301" i="1"/>
  <c r="AA300" i="1" a="1"/>
  <c r="AA300" i="1" s="1"/>
  <c r="Z300" i="1"/>
  <c r="W300" i="1" a="1"/>
  <c r="W300" i="1" s="1"/>
  <c r="V300" i="1"/>
  <c r="X300" i="1" s="1"/>
  <c r="Y300" i="1" s="1"/>
  <c r="U300" i="1"/>
  <c r="AA299" i="1" a="1"/>
  <c r="AA299" i="1" s="1"/>
  <c r="Z299" i="1"/>
  <c r="W299" i="1" a="1"/>
  <c r="W299" i="1" s="1"/>
  <c r="V299" i="1"/>
  <c r="U299" i="1"/>
  <c r="AA298" i="1" a="1"/>
  <c r="AA298" i="1" s="1"/>
  <c r="Z298" i="1"/>
  <c r="W298" i="1" a="1"/>
  <c r="W298" i="1" s="1"/>
  <c r="V298" i="1"/>
  <c r="X298" i="1" s="1"/>
  <c r="Y298" i="1" s="1"/>
  <c r="U298" i="1"/>
  <c r="AA297" i="1" a="1"/>
  <c r="AA297" i="1" s="1"/>
  <c r="Z297" i="1"/>
  <c r="W297" i="1" a="1"/>
  <c r="W297" i="1" s="1"/>
  <c r="V297" i="1"/>
  <c r="U297" i="1"/>
  <c r="AA296" i="1" a="1"/>
  <c r="AA296" i="1" s="1"/>
  <c r="Z296" i="1"/>
  <c r="W296" i="1" a="1"/>
  <c r="W296" i="1" s="1"/>
  <c r="V296" i="1"/>
  <c r="U296" i="1"/>
  <c r="AA295" i="1" a="1"/>
  <c r="AA295" i="1" s="1"/>
  <c r="Z295" i="1"/>
  <c r="W295" i="1" a="1"/>
  <c r="W295" i="1" s="1"/>
  <c r="V295" i="1"/>
  <c r="U295" i="1"/>
  <c r="AA294" i="1" a="1"/>
  <c r="AA294" i="1" s="1"/>
  <c r="Z294" i="1"/>
  <c r="W294" i="1" a="1"/>
  <c r="W294" i="1" s="1"/>
  <c r="V294" i="1"/>
  <c r="U294" i="1"/>
  <c r="AA293" i="1" a="1"/>
  <c r="AA293" i="1" s="1"/>
  <c r="Z293" i="1"/>
  <c r="W293" i="1" a="1"/>
  <c r="W293" i="1" s="1"/>
  <c r="V293" i="1"/>
  <c r="U293" i="1"/>
  <c r="AA292" i="1" a="1"/>
  <c r="AA292" i="1" s="1"/>
  <c r="Z292" i="1"/>
  <c r="W292" i="1" a="1"/>
  <c r="W292" i="1" s="1"/>
  <c r="V292" i="1"/>
  <c r="U292" i="1"/>
  <c r="AA291" i="1" a="1"/>
  <c r="AA291" i="1" s="1"/>
  <c r="Z291" i="1"/>
  <c r="W291" i="1" a="1"/>
  <c r="W291" i="1" s="1"/>
  <c r="V291" i="1"/>
  <c r="U291" i="1"/>
  <c r="AA290" i="1" a="1"/>
  <c r="AA290" i="1" s="1"/>
  <c r="Z290" i="1"/>
  <c r="W290" i="1" a="1"/>
  <c r="W290" i="1" s="1"/>
  <c r="V290" i="1"/>
  <c r="X290" i="1" s="1"/>
  <c r="Y290" i="1" s="1"/>
  <c r="U290" i="1"/>
  <c r="AA289" i="1" a="1"/>
  <c r="AA289" i="1" s="1"/>
  <c r="Z289" i="1"/>
  <c r="W289" i="1" a="1"/>
  <c r="W289" i="1" s="1"/>
  <c r="V289" i="1"/>
  <c r="U289" i="1"/>
  <c r="AA288" i="1" a="1"/>
  <c r="AA288" i="1" s="1"/>
  <c r="Z288" i="1"/>
  <c r="W288" i="1" a="1"/>
  <c r="W288" i="1" s="1"/>
  <c r="V288" i="1"/>
  <c r="U288" i="1"/>
  <c r="AA287" i="1" a="1"/>
  <c r="AA287" i="1" s="1"/>
  <c r="Z287" i="1"/>
  <c r="W287" i="1" a="1"/>
  <c r="W287" i="1" s="1"/>
  <c r="V287" i="1"/>
  <c r="U287" i="1"/>
  <c r="AA286" i="1" a="1"/>
  <c r="AA286" i="1" s="1"/>
  <c r="Z286" i="1"/>
  <c r="W286" i="1" a="1"/>
  <c r="W286" i="1" s="1"/>
  <c r="V286" i="1"/>
  <c r="U286" i="1"/>
  <c r="AA285" i="1" a="1"/>
  <c r="AA285" i="1" s="1"/>
  <c r="Z285" i="1"/>
  <c r="W285" i="1" a="1"/>
  <c r="W285" i="1" s="1"/>
  <c r="V285" i="1"/>
  <c r="U285" i="1"/>
  <c r="AA284" i="1" a="1"/>
  <c r="AA284" i="1" s="1"/>
  <c r="Z284" i="1"/>
  <c r="W284" i="1" a="1"/>
  <c r="W284" i="1" s="1"/>
  <c r="V284" i="1"/>
  <c r="U284" i="1"/>
  <c r="AA283" i="1" a="1"/>
  <c r="AA283" i="1" s="1"/>
  <c r="Z283" i="1"/>
  <c r="W283" i="1" a="1"/>
  <c r="W283" i="1" s="1"/>
  <c r="V283" i="1"/>
  <c r="U283" i="1"/>
  <c r="AA282" i="1" a="1"/>
  <c r="AA282" i="1" s="1"/>
  <c r="Z282" i="1"/>
  <c r="W282" i="1" a="1"/>
  <c r="W282" i="1" s="1"/>
  <c r="V282" i="1"/>
  <c r="U282" i="1"/>
  <c r="AA281" i="1" a="1"/>
  <c r="AA281" i="1" s="1"/>
  <c r="Z281" i="1"/>
  <c r="W281" i="1" a="1"/>
  <c r="W281" i="1" s="1"/>
  <c r="V281" i="1"/>
  <c r="U281" i="1"/>
  <c r="AA280" i="1" a="1"/>
  <c r="AA280" i="1" s="1"/>
  <c r="Z280" i="1"/>
  <c r="W280" i="1" a="1"/>
  <c r="W280" i="1" s="1"/>
  <c r="V280" i="1"/>
  <c r="U280" i="1"/>
  <c r="AA279" i="1" a="1"/>
  <c r="AA279" i="1" s="1"/>
  <c r="Z279" i="1"/>
  <c r="W279" i="1" a="1"/>
  <c r="W279" i="1" s="1"/>
  <c r="V279" i="1"/>
  <c r="U279" i="1"/>
  <c r="AA278" i="1" a="1"/>
  <c r="AA278" i="1" s="1"/>
  <c r="Z278" i="1"/>
  <c r="W278" i="1" a="1"/>
  <c r="W278" i="1" s="1"/>
  <c r="V278" i="1"/>
  <c r="U278" i="1"/>
  <c r="AA277" i="1" a="1"/>
  <c r="AA277" i="1" s="1"/>
  <c r="Z277" i="1"/>
  <c r="W277" i="1" a="1"/>
  <c r="W277" i="1" s="1"/>
  <c r="V277" i="1"/>
  <c r="U277" i="1"/>
  <c r="AA276" i="1" a="1"/>
  <c r="AA276" i="1" s="1"/>
  <c r="Z276" i="1"/>
  <c r="W276" i="1" a="1"/>
  <c r="W276" i="1" s="1"/>
  <c r="V276" i="1"/>
  <c r="U276" i="1"/>
  <c r="AA275" i="1" a="1"/>
  <c r="AA275" i="1" s="1"/>
  <c r="Z275" i="1"/>
  <c r="W275" i="1" a="1"/>
  <c r="W275" i="1" s="1"/>
  <c r="V275" i="1"/>
  <c r="U275" i="1"/>
  <c r="AA274" i="1" a="1"/>
  <c r="AA274" i="1" s="1"/>
  <c r="Z274" i="1"/>
  <c r="W274" i="1" a="1"/>
  <c r="W274" i="1" s="1"/>
  <c r="V274" i="1"/>
  <c r="U274" i="1"/>
  <c r="AA273" i="1" a="1"/>
  <c r="AA273" i="1" s="1"/>
  <c r="Z273" i="1"/>
  <c r="W273" i="1" a="1"/>
  <c r="W273" i="1" s="1"/>
  <c r="V273" i="1"/>
  <c r="X273" i="1" s="1"/>
  <c r="Y273" i="1" s="1"/>
  <c r="U273" i="1"/>
  <c r="AA272" i="1" a="1"/>
  <c r="AA272" i="1" s="1"/>
  <c r="Z272" i="1"/>
  <c r="W272" i="1" a="1"/>
  <c r="W272" i="1" s="1"/>
  <c r="V272" i="1"/>
  <c r="U272" i="1"/>
  <c r="AA271" i="1" a="1"/>
  <c r="AA271" i="1" s="1"/>
  <c r="Z271" i="1"/>
  <c r="W271" i="1" a="1"/>
  <c r="W271" i="1" s="1"/>
  <c r="V271" i="1"/>
  <c r="U271" i="1"/>
  <c r="AA270" i="1" a="1"/>
  <c r="AA270" i="1" s="1"/>
  <c r="Z270" i="1"/>
  <c r="W270" i="1" a="1"/>
  <c r="W270" i="1" s="1"/>
  <c r="V270" i="1"/>
  <c r="U270" i="1"/>
  <c r="AA269" i="1" a="1"/>
  <c r="AA269" i="1" s="1"/>
  <c r="Z269" i="1"/>
  <c r="W269" i="1" a="1"/>
  <c r="W269" i="1" s="1"/>
  <c r="V269" i="1"/>
  <c r="U269" i="1"/>
  <c r="AA268" i="1" a="1"/>
  <c r="AA268" i="1" s="1"/>
  <c r="Z268" i="1"/>
  <c r="W268" i="1" a="1"/>
  <c r="W268" i="1" s="1"/>
  <c r="V268" i="1"/>
  <c r="X268" i="1" s="1"/>
  <c r="Y268" i="1" s="1"/>
  <c r="U268" i="1"/>
  <c r="AA267" i="1" a="1"/>
  <c r="AA267" i="1" s="1"/>
  <c r="Z267" i="1"/>
  <c r="W267" i="1" a="1"/>
  <c r="W267" i="1" s="1"/>
  <c r="V267" i="1"/>
  <c r="U267" i="1"/>
  <c r="AA266" i="1" a="1"/>
  <c r="AA266" i="1" s="1"/>
  <c r="Z266" i="1"/>
  <c r="W266" i="1" a="1"/>
  <c r="W266" i="1" s="1"/>
  <c r="V266" i="1"/>
  <c r="U266" i="1"/>
  <c r="AA265" i="1" a="1"/>
  <c r="AA265" i="1" s="1"/>
  <c r="Z265" i="1"/>
  <c r="W265" i="1" a="1"/>
  <c r="W265" i="1" s="1"/>
  <c r="V265" i="1"/>
  <c r="U265" i="1"/>
  <c r="AA264" i="1" a="1"/>
  <c r="AA264" i="1" s="1"/>
  <c r="Z264" i="1"/>
  <c r="W264" i="1" a="1"/>
  <c r="W264" i="1" s="1"/>
  <c r="V264" i="1"/>
  <c r="U264" i="1"/>
  <c r="AA263" i="1" a="1"/>
  <c r="AA263" i="1" s="1"/>
  <c r="Z263" i="1"/>
  <c r="W263" i="1" a="1"/>
  <c r="W263" i="1" s="1"/>
  <c r="V263" i="1"/>
  <c r="U263" i="1"/>
  <c r="AA262" i="1" a="1"/>
  <c r="AA262" i="1" s="1"/>
  <c r="Z262" i="1"/>
  <c r="W262" i="1" a="1"/>
  <c r="W262" i="1" s="1"/>
  <c r="V262" i="1"/>
  <c r="U262" i="1"/>
  <c r="AA261" i="1" a="1"/>
  <c r="AA261" i="1" s="1"/>
  <c r="Z261" i="1"/>
  <c r="W261" i="1" a="1"/>
  <c r="W261" i="1" s="1"/>
  <c r="V261" i="1"/>
  <c r="U261" i="1"/>
  <c r="AA260" i="1" a="1"/>
  <c r="AA260" i="1" s="1"/>
  <c r="Z260" i="1"/>
  <c r="W260" i="1" a="1"/>
  <c r="W260" i="1" s="1"/>
  <c r="V260" i="1"/>
  <c r="U260" i="1"/>
  <c r="AA259" i="1" a="1"/>
  <c r="AA259" i="1" s="1"/>
  <c r="Z259" i="1"/>
  <c r="W259" i="1" a="1"/>
  <c r="W259" i="1" s="1"/>
  <c r="V259" i="1"/>
  <c r="U259" i="1"/>
  <c r="AA258" i="1" a="1"/>
  <c r="AA258" i="1" s="1"/>
  <c r="Z258" i="1"/>
  <c r="W258" i="1" a="1"/>
  <c r="W258" i="1" s="1"/>
  <c r="V258" i="1"/>
  <c r="U258" i="1"/>
  <c r="AA257" i="1" a="1"/>
  <c r="AA257" i="1" s="1"/>
  <c r="Z257" i="1"/>
  <c r="W257" i="1" a="1"/>
  <c r="W257" i="1" s="1"/>
  <c r="V257" i="1"/>
  <c r="U257" i="1"/>
  <c r="AA256" i="1" a="1"/>
  <c r="AA256" i="1" s="1"/>
  <c r="Z256" i="1"/>
  <c r="W256" i="1" a="1"/>
  <c r="W256" i="1" s="1"/>
  <c r="V256" i="1"/>
  <c r="U256" i="1"/>
  <c r="AA255" i="1" a="1"/>
  <c r="AA255" i="1" s="1"/>
  <c r="Z255" i="1"/>
  <c r="W255" i="1" a="1"/>
  <c r="W255" i="1" s="1"/>
  <c r="V255" i="1"/>
  <c r="U255" i="1"/>
  <c r="AA254" i="1" a="1"/>
  <c r="AA254" i="1" s="1"/>
  <c r="Z254" i="1"/>
  <c r="W254" i="1" a="1"/>
  <c r="W254" i="1" s="1"/>
  <c r="V254" i="1"/>
  <c r="U254" i="1"/>
  <c r="AA253" i="1" a="1"/>
  <c r="AA253" i="1" s="1"/>
  <c r="Z253" i="1"/>
  <c r="W253" i="1" a="1"/>
  <c r="W253" i="1" s="1"/>
  <c r="V253" i="1"/>
  <c r="U253" i="1"/>
  <c r="AA252" i="1" a="1"/>
  <c r="AA252" i="1" s="1"/>
  <c r="Z252" i="1"/>
  <c r="W252" i="1" a="1"/>
  <c r="W252" i="1" s="1"/>
  <c r="V252" i="1"/>
  <c r="U252" i="1"/>
  <c r="AA251" i="1" a="1"/>
  <c r="AA251" i="1" s="1"/>
  <c r="Z251" i="1"/>
  <c r="W251" i="1" a="1"/>
  <c r="W251" i="1" s="1"/>
  <c r="V251" i="1"/>
  <c r="U251" i="1"/>
  <c r="AA250" i="1" a="1"/>
  <c r="AA250" i="1" s="1"/>
  <c r="Z250" i="1"/>
  <c r="W250" i="1" a="1"/>
  <c r="W250" i="1" s="1"/>
  <c r="V250" i="1"/>
  <c r="U250" i="1"/>
  <c r="AA249" i="1" a="1"/>
  <c r="AA249" i="1" s="1"/>
  <c r="Z249" i="1"/>
  <c r="W249" i="1" a="1"/>
  <c r="W249" i="1" s="1"/>
  <c r="V249" i="1"/>
  <c r="U249" i="1"/>
  <c r="AA248" i="1" a="1"/>
  <c r="AA248" i="1" s="1"/>
  <c r="Z248" i="1"/>
  <c r="W248" i="1" a="1"/>
  <c r="W248" i="1" s="1"/>
  <c r="V248" i="1"/>
  <c r="U248" i="1"/>
  <c r="AA247" i="1" a="1"/>
  <c r="AA247" i="1" s="1"/>
  <c r="Z247" i="1"/>
  <c r="W247" i="1" a="1"/>
  <c r="W247" i="1" s="1"/>
  <c r="V247" i="1"/>
  <c r="U247" i="1"/>
  <c r="AA246" i="1" a="1"/>
  <c r="AA246" i="1" s="1"/>
  <c r="Z246" i="1"/>
  <c r="W246" i="1" a="1"/>
  <c r="W246" i="1" s="1"/>
  <c r="V246" i="1"/>
  <c r="U246" i="1"/>
  <c r="AA245" i="1" a="1"/>
  <c r="AA245" i="1" s="1"/>
  <c r="Z245" i="1"/>
  <c r="W245" i="1" a="1"/>
  <c r="W245" i="1" s="1"/>
  <c r="V245" i="1"/>
  <c r="U245" i="1"/>
  <c r="AA244" i="1" a="1"/>
  <c r="AA244" i="1" s="1"/>
  <c r="Z244" i="1"/>
  <c r="W244" i="1" a="1"/>
  <c r="W244" i="1" s="1"/>
  <c r="V244" i="1"/>
  <c r="U244" i="1"/>
  <c r="AA243" i="1" a="1"/>
  <c r="AA243" i="1" s="1"/>
  <c r="Z243" i="1"/>
  <c r="W243" i="1" a="1"/>
  <c r="W243" i="1" s="1"/>
  <c r="V243" i="1"/>
  <c r="U243" i="1"/>
  <c r="AA242" i="1" a="1"/>
  <c r="AA242" i="1" s="1"/>
  <c r="Z242" i="1"/>
  <c r="W242" i="1" a="1"/>
  <c r="W242" i="1" s="1"/>
  <c r="V242" i="1"/>
  <c r="U242" i="1"/>
  <c r="AA241" i="1" a="1"/>
  <c r="AA241" i="1" s="1"/>
  <c r="Z241" i="1"/>
  <c r="W241" i="1" a="1"/>
  <c r="W241" i="1" s="1"/>
  <c r="V241" i="1"/>
  <c r="U241" i="1"/>
  <c r="AA240" i="1" a="1"/>
  <c r="AA240" i="1" s="1"/>
  <c r="Z240" i="1"/>
  <c r="W240" i="1" a="1"/>
  <c r="W240" i="1" s="1"/>
  <c r="V240" i="1"/>
  <c r="X240" i="1" s="1"/>
  <c r="Y240" i="1" s="1"/>
  <c r="U240" i="1"/>
  <c r="AA239" i="1" a="1"/>
  <c r="AA239" i="1" s="1"/>
  <c r="Z239" i="1"/>
  <c r="W239" i="1" a="1"/>
  <c r="W239" i="1" s="1"/>
  <c r="V239" i="1"/>
  <c r="U239" i="1"/>
  <c r="AA238" i="1" a="1"/>
  <c r="AA238" i="1" s="1"/>
  <c r="Z238" i="1"/>
  <c r="W238" i="1" a="1"/>
  <c r="W238" i="1" s="1"/>
  <c r="V238" i="1"/>
  <c r="U238" i="1"/>
  <c r="AA237" i="1" a="1"/>
  <c r="AA237" i="1" s="1"/>
  <c r="Z237" i="1"/>
  <c r="W237" i="1" a="1"/>
  <c r="W237" i="1" s="1"/>
  <c r="V237" i="1"/>
  <c r="U237" i="1"/>
  <c r="AA236" i="1" a="1"/>
  <c r="AA236" i="1" s="1"/>
  <c r="Z236" i="1"/>
  <c r="W236" i="1" a="1"/>
  <c r="W236" i="1" s="1"/>
  <c r="V236" i="1"/>
  <c r="U236" i="1"/>
  <c r="AA235" i="1" a="1"/>
  <c r="AA235" i="1" s="1"/>
  <c r="Z235" i="1"/>
  <c r="W235" i="1" a="1"/>
  <c r="W235" i="1" s="1"/>
  <c r="V235" i="1"/>
  <c r="U235" i="1"/>
  <c r="AA234" i="1" a="1"/>
  <c r="AA234" i="1" s="1"/>
  <c r="Z234" i="1"/>
  <c r="W234" i="1" a="1"/>
  <c r="W234" i="1" s="1"/>
  <c r="V234" i="1"/>
  <c r="X234" i="1" s="1"/>
  <c r="Y234" i="1" s="1"/>
  <c r="U234" i="1"/>
  <c r="AA233" i="1" a="1"/>
  <c r="AA233" i="1" s="1"/>
  <c r="Z233" i="1"/>
  <c r="W233" i="1" a="1"/>
  <c r="W233" i="1" s="1"/>
  <c r="V233" i="1"/>
  <c r="U233" i="1"/>
  <c r="AA232" i="1" a="1"/>
  <c r="AA232" i="1" s="1"/>
  <c r="Z232" i="1"/>
  <c r="W232" i="1" a="1"/>
  <c r="W232" i="1" s="1"/>
  <c r="V232" i="1"/>
  <c r="U232" i="1"/>
  <c r="AA231" i="1" a="1"/>
  <c r="AA231" i="1" s="1"/>
  <c r="Z231" i="1"/>
  <c r="W231" i="1" a="1"/>
  <c r="W231" i="1" s="1"/>
  <c r="V231" i="1"/>
  <c r="U231" i="1"/>
  <c r="AA230" i="1" a="1"/>
  <c r="AA230" i="1" s="1"/>
  <c r="Z230" i="1"/>
  <c r="W230" i="1" a="1"/>
  <c r="W230" i="1" s="1"/>
  <c r="V230" i="1"/>
  <c r="U230" i="1"/>
  <c r="AA229" i="1" a="1"/>
  <c r="AA229" i="1" s="1"/>
  <c r="Z229" i="1"/>
  <c r="W229" i="1" a="1"/>
  <c r="W229" i="1" s="1"/>
  <c r="V229" i="1"/>
  <c r="U229" i="1"/>
  <c r="AA228" i="1" a="1"/>
  <c r="AA228" i="1" s="1"/>
  <c r="Z228" i="1"/>
  <c r="W228" i="1" a="1"/>
  <c r="W228" i="1" s="1"/>
  <c r="V228" i="1"/>
  <c r="U228" i="1"/>
  <c r="AA227" i="1" a="1"/>
  <c r="AA227" i="1" s="1"/>
  <c r="Z227" i="1"/>
  <c r="W227" i="1" a="1"/>
  <c r="W227" i="1" s="1"/>
  <c r="V227" i="1"/>
  <c r="U227" i="1"/>
  <c r="AA226" i="1" a="1"/>
  <c r="AA226" i="1" s="1"/>
  <c r="Z226" i="1"/>
  <c r="W226" i="1" a="1"/>
  <c r="W226" i="1" s="1"/>
  <c r="V226" i="1"/>
  <c r="U226" i="1"/>
  <c r="AA225" i="1" a="1"/>
  <c r="AA225" i="1" s="1"/>
  <c r="Z225" i="1"/>
  <c r="W225" i="1" a="1"/>
  <c r="W225" i="1" s="1"/>
  <c r="V225" i="1"/>
  <c r="U225" i="1"/>
  <c r="AA224" i="1" a="1"/>
  <c r="AA224" i="1" s="1"/>
  <c r="Z224" i="1"/>
  <c r="W224" i="1" a="1"/>
  <c r="W224" i="1" s="1"/>
  <c r="V224" i="1"/>
  <c r="X224" i="1" s="1"/>
  <c r="Y224" i="1" s="1"/>
  <c r="U224" i="1"/>
  <c r="AA223" i="1" a="1"/>
  <c r="AA223" i="1" s="1"/>
  <c r="Z223" i="1"/>
  <c r="W223" i="1" a="1"/>
  <c r="W223" i="1" s="1"/>
  <c r="V223" i="1"/>
  <c r="U223" i="1"/>
  <c r="AA222" i="1" a="1"/>
  <c r="AA222" i="1" s="1"/>
  <c r="Z222" i="1"/>
  <c r="W222" i="1" a="1"/>
  <c r="W222" i="1" s="1"/>
  <c r="V222" i="1"/>
  <c r="U222" i="1"/>
  <c r="AA221" i="1" a="1"/>
  <c r="AA221" i="1" s="1"/>
  <c r="Z221" i="1"/>
  <c r="W221" i="1" a="1"/>
  <c r="W221" i="1" s="1"/>
  <c r="V221" i="1"/>
  <c r="U221" i="1"/>
  <c r="AA220" i="1" a="1"/>
  <c r="AA220" i="1" s="1"/>
  <c r="Z220" i="1"/>
  <c r="W220" i="1" a="1"/>
  <c r="W220" i="1" s="1"/>
  <c r="V220" i="1"/>
  <c r="U220" i="1"/>
  <c r="AA219" i="1" a="1"/>
  <c r="AA219" i="1" s="1"/>
  <c r="Z219" i="1"/>
  <c r="W219" i="1" a="1"/>
  <c r="W219" i="1" s="1"/>
  <c r="V219" i="1"/>
  <c r="U219" i="1"/>
  <c r="AA218" i="1" a="1"/>
  <c r="AA218" i="1" s="1"/>
  <c r="Z218" i="1"/>
  <c r="W218" i="1" a="1"/>
  <c r="W218" i="1" s="1"/>
  <c r="V218" i="1"/>
  <c r="X218" i="1" s="1"/>
  <c r="Y218" i="1" s="1"/>
  <c r="U218" i="1"/>
  <c r="AA217" i="1" a="1"/>
  <c r="AA217" i="1" s="1"/>
  <c r="Z217" i="1"/>
  <c r="W217" i="1" a="1"/>
  <c r="W217" i="1" s="1"/>
  <c r="V217" i="1"/>
  <c r="U217" i="1"/>
  <c r="AA216" i="1" a="1"/>
  <c r="AA216" i="1" s="1"/>
  <c r="Z216" i="1"/>
  <c r="W216" i="1" a="1"/>
  <c r="W216" i="1" s="1"/>
  <c r="V216" i="1"/>
  <c r="U216" i="1"/>
  <c r="AA215" i="1" a="1"/>
  <c r="AA215" i="1" s="1"/>
  <c r="Z215" i="1"/>
  <c r="W215" i="1" a="1"/>
  <c r="W215" i="1" s="1"/>
  <c r="V215" i="1"/>
  <c r="U215" i="1"/>
  <c r="AA214" i="1" a="1"/>
  <c r="AA214" i="1" s="1"/>
  <c r="Z214" i="1"/>
  <c r="W214" i="1" a="1"/>
  <c r="W214" i="1" s="1"/>
  <c r="V214" i="1"/>
  <c r="U214" i="1"/>
  <c r="AA213" i="1" a="1"/>
  <c r="AA213" i="1" s="1"/>
  <c r="Z213" i="1"/>
  <c r="W213" i="1" a="1"/>
  <c r="W213" i="1" s="1"/>
  <c r="V213" i="1"/>
  <c r="U213" i="1"/>
  <c r="AA212" i="1" a="1"/>
  <c r="AA212" i="1" s="1"/>
  <c r="Z212" i="1"/>
  <c r="W212" i="1" a="1"/>
  <c r="W212" i="1" s="1"/>
  <c r="V212" i="1"/>
  <c r="U212" i="1"/>
  <c r="AA211" i="1" a="1"/>
  <c r="AA211" i="1" s="1"/>
  <c r="Z211" i="1"/>
  <c r="W211" i="1" a="1"/>
  <c r="W211" i="1" s="1"/>
  <c r="V211" i="1"/>
  <c r="U211" i="1"/>
  <c r="AA210" i="1" a="1"/>
  <c r="AA210" i="1" s="1"/>
  <c r="Z210" i="1"/>
  <c r="W210" i="1" a="1"/>
  <c r="W210" i="1" s="1"/>
  <c r="V210" i="1"/>
  <c r="U210" i="1"/>
  <c r="AA209" i="1" a="1"/>
  <c r="AA209" i="1" s="1"/>
  <c r="Z209" i="1"/>
  <c r="W209" i="1" a="1"/>
  <c r="W209" i="1" s="1"/>
  <c r="V209" i="1"/>
  <c r="U209" i="1"/>
  <c r="AA208" i="1" a="1"/>
  <c r="AA208" i="1" s="1"/>
  <c r="Z208" i="1"/>
  <c r="W208" i="1" a="1"/>
  <c r="W208" i="1" s="1"/>
  <c r="V208" i="1"/>
  <c r="U208" i="1"/>
  <c r="AA207" i="1" a="1"/>
  <c r="AA207" i="1" s="1"/>
  <c r="Z207" i="1"/>
  <c r="W207" i="1" a="1"/>
  <c r="W207" i="1" s="1"/>
  <c r="V207" i="1"/>
  <c r="U207" i="1"/>
  <c r="AA206" i="1" a="1"/>
  <c r="AA206" i="1" s="1"/>
  <c r="Z206" i="1"/>
  <c r="W206" i="1" a="1"/>
  <c r="W206" i="1" s="1"/>
  <c r="V206" i="1"/>
  <c r="U206" i="1"/>
  <c r="AA205" i="1" a="1"/>
  <c r="AA205" i="1" s="1"/>
  <c r="Z205" i="1"/>
  <c r="W205" i="1" a="1"/>
  <c r="W205" i="1" s="1"/>
  <c r="V205" i="1"/>
  <c r="U205" i="1"/>
  <c r="AA204" i="1" a="1"/>
  <c r="AA204" i="1" s="1"/>
  <c r="Z204" i="1"/>
  <c r="W204" i="1" a="1"/>
  <c r="W204" i="1" s="1"/>
  <c r="V204" i="1"/>
  <c r="X204" i="1" s="1"/>
  <c r="Y204" i="1" s="1"/>
  <c r="U204" i="1"/>
  <c r="AA203" i="1" a="1"/>
  <c r="AA203" i="1" s="1"/>
  <c r="Z203" i="1"/>
  <c r="W203" i="1" a="1"/>
  <c r="W203" i="1" s="1"/>
  <c r="V203" i="1"/>
  <c r="U203" i="1"/>
  <c r="AA202" i="1" a="1"/>
  <c r="AA202" i="1" s="1"/>
  <c r="Z202" i="1"/>
  <c r="W202" i="1" a="1"/>
  <c r="W202" i="1" s="1"/>
  <c r="V202" i="1"/>
  <c r="U202" i="1"/>
  <c r="AA201" i="1" a="1"/>
  <c r="AA201" i="1" s="1"/>
  <c r="Z201" i="1"/>
  <c r="W201" i="1" a="1"/>
  <c r="W201" i="1" s="1"/>
  <c r="V201" i="1"/>
  <c r="U201" i="1"/>
  <c r="AA200" i="1" a="1"/>
  <c r="AA200" i="1" s="1"/>
  <c r="Z200" i="1"/>
  <c r="W200" i="1" a="1"/>
  <c r="W200" i="1" s="1"/>
  <c r="V200" i="1"/>
  <c r="U200" i="1"/>
  <c r="AA199" i="1" a="1"/>
  <c r="AA199" i="1" s="1"/>
  <c r="Z199" i="1"/>
  <c r="W199" i="1" a="1"/>
  <c r="W199" i="1" s="1"/>
  <c r="V199" i="1"/>
  <c r="U199" i="1"/>
  <c r="AA198" i="1" a="1"/>
  <c r="AA198" i="1" s="1"/>
  <c r="Z198" i="1"/>
  <c r="W198" i="1" a="1"/>
  <c r="W198" i="1" s="1"/>
  <c r="V198" i="1"/>
  <c r="U198" i="1"/>
  <c r="AA197" i="1" a="1"/>
  <c r="AA197" i="1" s="1"/>
  <c r="Z197" i="1"/>
  <c r="W197" i="1" a="1"/>
  <c r="W197" i="1" s="1"/>
  <c r="V197" i="1"/>
  <c r="U197" i="1"/>
  <c r="AA196" i="1" a="1"/>
  <c r="AA196" i="1" s="1"/>
  <c r="Z196" i="1"/>
  <c r="W196" i="1" a="1"/>
  <c r="W196" i="1" s="1"/>
  <c r="V196" i="1"/>
  <c r="U196" i="1"/>
  <c r="AA195" i="1" a="1"/>
  <c r="AA195" i="1" s="1"/>
  <c r="Z195" i="1"/>
  <c r="W195" i="1" a="1"/>
  <c r="W195" i="1" s="1"/>
  <c r="V195" i="1"/>
  <c r="U195" i="1"/>
  <c r="AA194" i="1" a="1"/>
  <c r="AA194" i="1" s="1"/>
  <c r="Z194" i="1"/>
  <c r="W194" i="1" a="1"/>
  <c r="W194" i="1" s="1"/>
  <c r="V194" i="1"/>
  <c r="X194" i="1" s="1"/>
  <c r="Y194" i="1" s="1"/>
  <c r="U194" i="1"/>
  <c r="AA193" i="1" a="1"/>
  <c r="AA193" i="1" s="1"/>
  <c r="Z193" i="1"/>
  <c r="W193" i="1" a="1"/>
  <c r="W193" i="1" s="1"/>
  <c r="V193" i="1"/>
  <c r="U193" i="1"/>
  <c r="AA192" i="1" a="1"/>
  <c r="AA192" i="1" s="1"/>
  <c r="Z192" i="1"/>
  <c r="W192" i="1" a="1"/>
  <c r="W192" i="1" s="1"/>
  <c r="V192" i="1"/>
  <c r="U192" i="1"/>
  <c r="AA191" i="1" a="1"/>
  <c r="AA191" i="1" s="1"/>
  <c r="Z191" i="1"/>
  <c r="W191" i="1" a="1"/>
  <c r="W191" i="1" s="1"/>
  <c r="V191" i="1"/>
  <c r="U191" i="1"/>
  <c r="AA190" i="1" a="1"/>
  <c r="AA190" i="1" s="1"/>
  <c r="Z190" i="1"/>
  <c r="W190" i="1" a="1"/>
  <c r="W190" i="1" s="1"/>
  <c r="V190" i="1"/>
  <c r="U190" i="1"/>
  <c r="AA189" i="1" a="1"/>
  <c r="AA189" i="1" s="1"/>
  <c r="Z189" i="1"/>
  <c r="W189" i="1" a="1"/>
  <c r="W189" i="1" s="1"/>
  <c r="V189" i="1"/>
  <c r="U189" i="1"/>
  <c r="AA188" i="1" a="1"/>
  <c r="AA188" i="1" s="1"/>
  <c r="Z188" i="1"/>
  <c r="W188" i="1" a="1"/>
  <c r="W188" i="1" s="1"/>
  <c r="V188" i="1"/>
  <c r="U188" i="1"/>
  <c r="AA187" i="1" a="1"/>
  <c r="AA187" i="1" s="1"/>
  <c r="Z187" i="1"/>
  <c r="W187" i="1" a="1"/>
  <c r="W187" i="1" s="1"/>
  <c r="V187" i="1"/>
  <c r="U187" i="1"/>
  <c r="AA186" i="1" a="1"/>
  <c r="AA186" i="1" s="1"/>
  <c r="Z186" i="1"/>
  <c r="W186" i="1" a="1"/>
  <c r="W186" i="1" s="1"/>
  <c r="V186" i="1"/>
  <c r="U186" i="1"/>
  <c r="AA185" i="1" a="1"/>
  <c r="AA185" i="1" s="1"/>
  <c r="Z185" i="1"/>
  <c r="W185" i="1" a="1"/>
  <c r="W185" i="1" s="1"/>
  <c r="V185" i="1"/>
  <c r="U185" i="1"/>
  <c r="AA184" i="1" a="1"/>
  <c r="AA184" i="1" s="1"/>
  <c r="Z184" i="1"/>
  <c r="W184" i="1" a="1"/>
  <c r="W184" i="1" s="1"/>
  <c r="V184" i="1"/>
  <c r="U184" i="1"/>
  <c r="AA183" i="1" a="1"/>
  <c r="AA183" i="1" s="1"/>
  <c r="Z183" i="1"/>
  <c r="W183" i="1" a="1"/>
  <c r="W183" i="1" s="1"/>
  <c r="V183" i="1"/>
  <c r="U183" i="1"/>
  <c r="AA182" i="1" a="1"/>
  <c r="AA182" i="1" s="1"/>
  <c r="Z182" i="1"/>
  <c r="W182" i="1" a="1"/>
  <c r="W182" i="1" s="1"/>
  <c r="V182" i="1"/>
  <c r="U182" i="1"/>
  <c r="AA181" i="1" a="1"/>
  <c r="AA181" i="1" s="1"/>
  <c r="Z181" i="1"/>
  <c r="W181" i="1" a="1"/>
  <c r="W181" i="1" s="1"/>
  <c r="V181" i="1"/>
  <c r="U181" i="1"/>
  <c r="AA180" i="1" a="1"/>
  <c r="AA180" i="1" s="1"/>
  <c r="Z180" i="1"/>
  <c r="W180" i="1" a="1"/>
  <c r="W180" i="1" s="1"/>
  <c r="V180" i="1"/>
  <c r="U180" i="1"/>
  <c r="AA179" i="1" a="1"/>
  <c r="AA179" i="1" s="1"/>
  <c r="Z179" i="1"/>
  <c r="W179" i="1" a="1"/>
  <c r="W179" i="1" s="1"/>
  <c r="V179" i="1"/>
  <c r="U179" i="1"/>
  <c r="AA178" i="1" a="1"/>
  <c r="AA178" i="1" s="1"/>
  <c r="Z178" i="1"/>
  <c r="W178" i="1" a="1"/>
  <c r="W178" i="1" s="1"/>
  <c r="V178" i="1"/>
  <c r="X178" i="1" s="1"/>
  <c r="Y178" i="1" s="1"/>
  <c r="U178" i="1"/>
  <c r="AA177" i="1" a="1"/>
  <c r="AA177" i="1" s="1"/>
  <c r="Z177" i="1"/>
  <c r="W177" i="1" a="1"/>
  <c r="W177" i="1" s="1"/>
  <c r="V177" i="1"/>
  <c r="U177" i="1"/>
  <c r="AA176" i="1" a="1"/>
  <c r="AA176" i="1" s="1"/>
  <c r="Z176" i="1"/>
  <c r="W176" i="1" a="1"/>
  <c r="W176" i="1" s="1"/>
  <c r="V176" i="1"/>
  <c r="U176" i="1"/>
  <c r="AA175" i="1" a="1"/>
  <c r="AA175" i="1" s="1"/>
  <c r="Z175" i="1"/>
  <c r="W175" i="1" a="1"/>
  <c r="W175" i="1" s="1"/>
  <c r="V175" i="1"/>
  <c r="U175" i="1"/>
  <c r="AA174" i="1" a="1"/>
  <c r="AA174" i="1" s="1"/>
  <c r="Z174" i="1"/>
  <c r="W174" i="1" a="1"/>
  <c r="W174" i="1" s="1"/>
  <c r="V174" i="1"/>
  <c r="U174" i="1"/>
  <c r="AA173" i="1" a="1"/>
  <c r="AA173" i="1" s="1"/>
  <c r="Z173" i="1"/>
  <c r="W173" i="1" a="1"/>
  <c r="W173" i="1" s="1"/>
  <c r="V173" i="1"/>
  <c r="U173" i="1"/>
  <c r="AA172" i="1" a="1"/>
  <c r="AA172" i="1" s="1"/>
  <c r="Z172" i="1"/>
  <c r="W172" i="1" a="1"/>
  <c r="W172" i="1" s="1"/>
  <c r="V172" i="1"/>
  <c r="X172" i="1" s="1"/>
  <c r="Y172" i="1" s="1"/>
  <c r="U172" i="1"/>
  <c r="AA171" i="1" a="1"/>
  <c r="AA171" i="1" s="1"/>
  <c r="Z171" i="1"/>
  <c r="W171" i="1" a="1"/>
  <c r="W171" i="1" s="1"/>
  <c r="V171" i="1"/>
  <c r="U171" i="1"/>
  <c r="AA170" i="1" a="1"/>
  <c r="AA170" i="1" s="1"/>
  <c r="Z170" i="1"/>
  <c r="W170" i="1" a="1"/>
  <c r="W170" i="1" s="1"/>
  <c r="V170" i="1"/>
  <c r="U170" i="1"/>
  <c r="AA169" i="1" a="1"/>
  <c r="AA169" i="1" s="1"/>
  <c r="Z169" i="1"/>
  <c r="W169" i="1" a="1"/>
  <c r="W169" i="1" s="1"/>
  <c r="V169" i="1"/>
  <c r="U169" i="1"/>
  <c r="AA168" i="1" a="1"/>
  <c r="AA168" i="1" s="1"/>
  <c r="Z168" i="1"/>
  <c r="W168" i="1" a="1"/>
  <c r="W168" i="1" s="1"/>
  <c r="V168" i="1"/>
  <c r="U168" i="1"/>
  <c r="AA167" i="1" a="1"/>
  <c r="AA167" i="1" s="1"/>
  <c r="Z167" i="1"/>
  <c r="W167" i="1" a="1"/>
  <c r="W167" i="1" s="1"/>
  <c r="V167" i="1"/>
  <c r="U167" i="1"/>
  <c r="AA166" i="1" a="1"/>
  <c r="AA166" i="1" s="1"/>
  <c r="Z166" i="1"/>
  <c r="W166" i="1" a="1"/>
  <c r="W166" i="1" s="1"/>
  <c r="V166" i="1"/>
  <c r="U166" i="1"/>
  <c r="AA165" i="1" a="1"/>
  <c r="AA165" i="1" s="1"/>
  <c r="Z165" i="1"/>
  <c r="W165" i="1" a="1"/>
  <c r="W165" i="1" s="1"/>
  <c r="V165" i="1"/>
  <c r="U165" i="1"/>
  <c r="AA164" i="1" a="1"/>
  <c r="AA164" i="1" s="1"/>
  <c r="Z164" i="1"/>
  <c r="W164" i="1" a="1"/>
  <c r="W164" i="1" s="1"/>
  <c r="V164" i="1"/>
  <c r="U164" i="1"/>
  <c r="AA163" i="1" a="1"/>
  <c r="AA163" i="1" s="1"/>
  <c r="Z163" i="1"/>
  <c r="W163" i="1" a="1"/>
  <c r="W163" i="1" s="1"/>
  <c r="V163" i="1"/>
  <c r="U163" i="1"/>
  <c r="AA162" i="1" a="1"/>
  <c r="AA162" i="1" s="1"/>
  <c r="Z162" i="1"/>
  <c r="W162" i="1" a="1"/>
  <c r="W162" i="1" s="1"/>
  <c r="V162" i="1"/>
  <c r="X162" i="1" s="1"/>
  <c r="Y162" i="1" s="1"/>
  <c r="U162" i="1"/>
  <c r="AA161" i="1" a="1"/>
  <c r="AA161" i="1" s="1"/>
  <c r="Z161" i="1"/>
  <c r="W161" i="1" a="1"/>
  <c r="W161" i="1" s="1"/>
  <c r="V161" i="1"/>
  <c r="U161" i="1"/>
  <c r="AA160" i="1" a="1"/>
  <c r="AA160" i="1" s="1"/>
  <c r="Z160" i="1"/>
  <c r="W160" i="1" a="1"/>
  <c r="W160" i="1" s="1"/>
  <c r="V160" i="1"/>
  <c r="U160" i="1"/>
  <c r="AA159" i="1" a="1"/>
  <c r="AA159" i="1" s="1"/>
  <c r="Z159" i="1"/>
  <c r="W159" i="1" a="1"/>
  <c r="W159" i="1" s="1"/>
  <c r="V159" i="1"/>
  <c r="U159" i="1"/>
  <c r="AA158" i="1" a="1"/>
  <c r="AA158" i="1" s="1"/>
  <c r="Z158" i="1"/>
  <c r="W158" i="1" a="1"/>
  <c r="W158" i="1" s="1"/>
  <c r="V158" i="1"/>
  <c r="X158" i="1" s="1"/>
  <c r="Y158" i="1" s="1"/>
  <c r="U158" i="1"/>
  <c r="AA157" i="1" a="1"/>
  <c r="AA157" i="1" s="1"/>
  <c r="Z157" i="1"/>
  <c r="W157" i="1" a="1"/>
  <c r="W157" i="1" s="1"/>
  <c r="V157" i="1"/>
  <c r="U157" i="1"/>
  <c r="AA156" i="1" a="1"/>
  <c r="AA156" i="1" s="1"/>
  <c r="Z156" i="1"/>
  <c r="W156" i="1" a="1"/>
  <c r="W156" i="1" s="1"/>
  <c r="V156" i="1"/>
  <c r="X156" i="1" s="1"/>
  <c r="Y156" i="1" s="1"/>
  <c r="U156" i="1"/>
  <c r="AA155" i="1" a="1"/>
  <c r="AA155" i="1" s="1"/>
  <c r="Z155" i="1"/>
  <c r="W155" i="1" a="1"/>
  <c r="W155" i="1" s="1"/>
  <c r="V155" i="1"/>
  <c r="U155" i="1"/>
  <c r="AA154" i="1" a="1"/>
  <c r="AA154" i="1" s="1"/>
  <c r="Z154" i="1"/>
  <c r="W154" i="1" a="1"/>
  <c r="W154" i="1" s="1"/>
  <c r="V154" i="1"/>
  <c r="U154" i="1"/>
  <c r="AA153" i="1" a="1"/>
  <c r="AA153" i="1" s="1"/>
  <c r="Z153" i="1"/>
  <c r="W153" i="1" a="1"/>
  <c r="W153" i="1" s="1"/>
  <c r="V153" i="1"/>
  <c r="U153" i="1"/>
  <c r="AA152" i="1" a="1"/>
  <c r="AA152" i="1" s="1"/>
  <c r="Z152" i="1"/>
  <c r="W152" i="1" a="1"/>
  <c r="W152" i="1" s="1"/>
  <c r="V152" i="1"/>
  <c r="U152" i="1"/>
  <c r="AA151" i="1" a="1"/>
  <c r="AA151" i="1" s="1"/>
  <c r="Z151" i="1"/>
  <c r="W151" i="1" a="1"/>
  <c r="W151" i="1" s="1"/>
  <c r="V151" i="1"/>
  <c r="U151" i="1"/>
  <c r="AA150" i="1" a="1"/>
  <c r="AA150" i="1" s="1"/>
  <c r="Z150" i="1"/>
  <c r="W150" i="1" a="1"/>
  <c r="W150" i="1" s="1"/>
  <c r="V150" i="1"/>
  <c r="U150" i="1"/>
  <c r="AA149" i="1" a="1"/>
  <c r="AA149" i="1" s="1"/>
  <c r="Z149" i="1"/>
  <c r="W149" i="1" a="1"/>
  <c r="W149" i="1" s="1"/>
  <c r="V149" i="1"/>
  <c r="U149" i="1"/>
  <c r="AA148" i="1" a="1"/>
  <c r="AA148" i="1" s="1"/>
  <c r="Z148" i="1"/>
  <c r="W148" i="1" a="1"/>
  <c r="W148" i="1" s="1"/>
  <c r="V148" i="1"/>
  <c r="U148" i="1"/>
  <c r="AA147" i="1" a="1"/>
  <c r="AA147" i="1" s="1"/>
  <c r="Z147" i="1"/>
  <c r="W147" i="1" a="1"/>
  <c r="W147" i="1" s="1"/>
  <c r="V147" i="1"/>
  <c r="U147" i="1"/>
  <c r="AA146" i="1" a="1"/>
  <c r="AA146" i="1" s="1"/>
  <c r="Z146" i="1"/>
  <c r="W146" i="1" a="1"/>
  <c r="W146" i="1" s="1"/>
  <c r="V146" i="1"/>
  <c r="U146" i="1"/>
  <c r="AA145" i="1" a="1"/>
  <c r="AA145" i="1" s="1"/>
  <c r="Z145" i="1"/>
  <c r="W145" i="1" a="1"/>
  <c r="W145" i="1" s="1"/>
  <c r="V145" i="1"/>
  <c r="U145" i="1"/>
  <c r="AA144" i="1" a="1"/>
  <c r="AA144" i="1" s="1"/>
  <c r="Z144" i="1"/>
  <c r="W144" i="1" a="1"/>
  <c r="W144" i="1" s="1"/>
  <c r="V144" i="1"/>
  <c r="U144" i="1"/>
  <c r="AA143" i="1" a="1"/>
  <c r="AA143" i="1" s="1"/>
  <c r="Z143" i="1"/>
  <c r="W143" i="1" a="1"/>
  <c r="W143" i="1" s="1"/>
  <c r="V143" i="1"/>
  <c r="U143" i="1"/>
  <c r="AA142" i="1" a="1"/>
  <c r="AA142" i="1" s="1"/>
  <c r="Z142" i="1"/>
  <c r="W142" i="1" a="1"/>
  <c r="W142" i="1" s="1"/>
  <c r="V142" i="1"/>
  <c r="U142" i="1"/>
  <c r="AA141" i="1" a="1"/>
  <c r="AA141" i="1" s="1"/>
  <c r="Z141" i="1"/>
  <c r="W141" i="1" a="1"/>
  <c r="W141" i="1" s="1"/>
  <c r="V141" i="1"/>
  <c r="U141" i="1"/>
  <c r="AA140" i="1" a="1"/>
  <c r="AA140" i="1" s="1"/>
  <c r="Z140" i="1"/>
  <c r="W140" i="1" a="1"/>
  <c r="W140" i="1" s="1"/>
  <c r="V140" i="1"/>
  <c r="U140" i="1"/>
  <c r="AA139" i="1" a="1"/>
  <c r="AA139" i="1" s="1"/>
  <c r="Z139" i="1"/>
  <c r="W139" i="1" a="1"/>
  <c r="W139" i="1" s="1"/>
  <c r="V139" i="1"/>
  <c r="U139" i="1"/>
  <c r="AA138" i="1" a="1"/>
  <c r="AA138" i="1" s="1"/>
  <c r="Z138" i="1"/>
  <c r="W138" i="1" a="1"/>
  <c r="W138" i="1" s="1"/>
  <c r="V138" i="1"/>
  <c r="U138" i="1"/>
  <c r="AA137" i="1" a="1"/>
  <c r="AA137" i="1" s="1"/>
  <c r="Z137" i="1"/>
  <c r="W137" i="1" a="1"/>
  <c r="W137" i="1" s="1"/>
  <c r="V137" i="1"/>
  <c r="U137" i="1"/>
  <c r="AA136" i="1" a="1"/>
  <c r="AA136" i="1" s="1"/>
  <c r="Z136" i="1"/>
  <c r="W136" i="1" a="1"/>
  <c r="W136" i="1" s="1"/>
  <c r="V136" i="1"/>
  <c r="U136" i="1"/>
  <c r="AA135" i="1" a="1"/>
  <c r="AA135" i="1" s="1"/>
  <c r="Z135" i="1"/>
  <c r="W135" i="1" a="1"/>
  <c r="W135" i="1" s="1"/>
  <c r="V135" i="1"/>
  <c r="U135" i="1"/>
  <c r="AA134" i="1" a="1"/>
  <c r="AA134" i="1" s="1"/>
  <c r="Z134" i="1"/>
  <c r="W134" i="1" a="1"/>
  <c r="W134" i="1" s="1"/>
  <c r="V134" i="1"/>
  <c r="U134" i="1"/>
  <c r="AA133" i="1" a="1"/>
  <c r="AA133" i="1" s="1"/>
  <c r="Z133" i="1"/>
  <c r="W133" i="1" a="1"/>
  <c r="W133" i="1" s="1"/>
  <c r="V133" i="1"/>
  <c r="U133" i="1"/>
  <c r="AA132" i="1" a="1"/>
  <c r="AA132" i="1" s="1"/>
  <c r="Z132" i="1"/>
  <c r="W132" i="1" a="1"/>
  <c r="W132" i="1" s="1"/>
  <c r="V132" i="1"/>
  <c r="U132" i="1"/>
  <c r="AA131" i="1" a="1"/>
  <c r="AA131" i="1" s="1"/>
  <c r="Z131" i="1"/>
  <c r="W131" i="1" a="1"/>
  <c r="W131" i="1" s="1"/>
  <c r="V131" i="1"/>
  <c r="U131" i="1"/>
  <c r="AA130" i="1" a="1"/>
  <c r="AA130" i="1" s="1"/>
  <c r="Z130" i="1"/>
  <c r="W130" i="1" a="1"/>
  <c r="W130" i="1" s="1"/>
  <c r="V130" i="1"/>
  <c r="U130" i="1"/>
  <c r="AA129" i="1" a="1"/>
  <c r="AA129" i="1" s="1"/>
  <c r="Z129" i="1"/>
  <c r="W129" i="1" a="1"/>
  <c r="W129" i="1" s="1"/>
  <c r="V129" i="1"/>
  <c r="U129" i="1"/>
  <c r="AA128" i="1" a="1"/>
  <c r="AA128" i="1" s="1"/>
  <c r="Z128" i="1"/>
  <c r="W128" i="1" a="1"/>
  <c r="W128" i="1" s="1"/>
  <c r="V128" i="1"/>
  <c r="U128" i="1"/>
  <c r="AA127" i="1" a="1"/>
  <c r="AA127" i="1" s="1"/>
  <c r="Z127" i="1"/>
  <c r="W127" i="1" a="1"/>
  <c r="W127" i="1" s="1"/>
  <c r="V127" i="1"/>
  <c r="U127" i="1"/>
  <c r="AA126" i="1" a="1"/>
  <c r="AA126" i="1" s="1"/>
  <c r="Z126" i="1"/>
  <c r="W126" i="1" a="1"/>
  <c r="W126" i="1" s="1"/>
  <c r="V126" i="1"/>
  <c r="X126" i="1" s="1"/>
  <c r="Y126" i="1" s="1"/>
  <c r="U126" i="1"/>
  <c r="AA125" i="1" a="1"/>
  <c r="AA125" i="1" s="1"/>
  <c r="Z125" i="1"/>
  <c r="W125" i="1" a="1"/>
  <c r="W125" i="1" s="1"/>
  <c r="V125" i="1"/>
  <c r="U125" i="1"/>
  <c r="AA124" i="1" a="1"/>
  <c r="AA124" i="1" s="1"/>
  <c r="Z124" i="1"/>
  <c r="W124" i="1" a="1"/>
  <c r="W124" i="1" s="1"/>
  <c r="V124" i="1"/>
  <c r="U124" i="1"/>
  <c r="AA123" i="1" a="1"/>
  <c r="AA123" i="1" s="1"/>
  <c r="Z123" i="1"/>
  <c r="W123" i="1" a="1"/>
  <c r="W123" i="1" s="1"/>
  <c r="V123" i="1"/>
  <c r="U123" i="1"/>
  <c r="AA122" i="1" a="1"/>
  <c r="AA122" i="1" s="1"/>
  <c r="Z122" i="1"/>
  <c r="W122" i="1" a="1"/>
  <c r="W122" i="1" s="1"/>
  <c r="V122" i="1"/>
  <c r="U122" i="1"/>
  <c r="AA121" i="1" a="1"/>
  <c r="AA121" i="1" s="1"/>
  <c r="Z121" i="1"/>
  <c r="W121" i="1" a="1"/>
  <c r="W121" i="1" s="1"/>
  <c r="V121" i="1"/>
  <c r="U121" i="1"/>
  <c r="AA120" i="1" a="1"/>
  <c r="AA120" i="1" s="1"/>
  <c r="Z120" i="1"/>
  <c r="W120" i="1" a="1"/>
  <c r="W120" i="1" s="1"/>
  <c r="V120" i="1"/>
  <c r="U120" i="1"/>
  <c r="AA119" i="1" a="1"/>
  <c r="AA119" i="1" s="1"/>
  <c r="Z119" i="1"/>
  <c r="W119" i="1" a="1"/>
  <c r="W119" i="1" s="1"/>
  <c r="V119" i="1"/>
  <c r="U119" i="1"/>
  <c r="AA118" i="1" a="1"/>
  <c r="AA118" i="1" s="1"/>
  <c r="Z118" i="1"/>
  <c r="W118" i="1" a="1"/>
  <c r="W118" i="1" s="1"/>
  <c r="V118" i="1"/>
  <c r="X118" i="1" s="1"/>
  <c r="Y118" i="1" s="1"/>
  <c r="U118" i="1"/>
  <c r="AA117" i="1" a="1"/>
  <c r="AA117" i="1" s="1"/>
  <c r="Z117" i="1"/>
  <c r="W117" i="1" a="1"/>
  <c r="W117" i="1" s="1"/>
  <c r="V117" i="1"/>
  <c r="U117" i="1"/>
  <c r="AA116" i="1" a="1"/>
  <c r="AA116" i="1" s="1"/>
  <c r="Z116" i="1"/>
  <c r="W116" i="1" a="1"/>
  <c r="W116" i="1" s="1"/>
  <c r="V116" i="1"/>
  <c r="U116" i="1"/>
  <c r="AA115" i="1" a="1"/>
  <c r="AA115" i="1" s="1"/>
  <c r="Z115" i="1"/>
  <c r="W115" i="1" a="1"/>
  <c r="W115" i="1" s="1"/>
  <c r="V115" i="1"/>
  <c r="U115" i="1"/>
  <c r="AA114" i="1" a="1"/>
  <c r="AA114" i="1" s="1"/>
  <c r="Z114" i="1"/>
  <c r="W114" i="1" a="1"/>
  <c r="W114" i="1" s="1"/>
  <c r="V114" i="1"/>
  <c r="U114" i="1"/>
  <c r="AA113" i="1" a="1"/>
  <c r="AA113" i="1" s="1"/>
  <c r="Z113" i="1"/>
  <c r="W113" i="1" a="1"/>
  <c r="W113" i="1" s="1"/>
  <c r="V113" i="1"/>
  <c r="U113" i="1"/>
  <c r="AA112" i="1" a="1"/>
  <c r="AA112" i="1" s="1"/>
  <c r="Z112" i="1"/>
  <c r="W112" i="1" a="1"/>
  <c r="W112" i="1" s="1"/>
  <c r="V112" i="1"/>
  <c r="U112" i="1"/>
  <c r="AA111" i="1" a="1"/>
  <c r="AA111" i="1" s="1"/>
  <c r="Z111" i="1"/>
  <c r="W111" i="1" a="1"/>
  <c r="W111" i="1" s="1"/>
  <c r="V111" i="1"/>
  <c r="U111" i="1"/>
  <c r="AA110" i="1" a="1"/>
  <c r="AA110" i="1" s="1"/>
  <c r="Z110" i="1"/>
  <c r="W110" i="1" a="1"/>
  <c r="W110" i="1" s="1"/>
  <c r="V110" i="1"/>
  <c r="U110" i="1"/>
  <c r="AA109" i="1" a="1"/>
  <c r="AA109" i="1" s="1"/>
  <c r="Z109" i="1"/>
  <c r="W109" i="1" a="1"/>
  <c r="W109" i="1" s="1"/>
  <c r="V109" i="1"/>
  <c r="U109" i="1"/>
  <c r="AA108" i="1" a="1"/>
  <c r="AA108" i="1" s="1"/>
  <c r="Z108" i="1"/>
  <c r="W108" i="1" a="1"/>
  <c r="W108" i="1" s="1"/>
  <c r="V108" i="1"/>
  <c r="U108" i="1"/>
  <c r="AA107" i="1" a="1"/>
  <c r="AA107" i="1" s="1"/>
  <c r="Z107" i="1"/>
  <c r="W107" i="1" a="1"/>
  <c r="W107" i="1" s="1"/>
  <c r="V107" i="1"/>
  <c r="U107" i="1"/>
  <c r="AA106" i="1" a="1"/>
  <c r="AA106" i="1" s="1"/>
  <c r="Z106" i="1"/>
  <c r="W106" i="1" a="1"/>
  <c r="W106" i="1" s="1"/>
  <c r="V106" i="1"/>
  <c r="U106" i="1"/>
  <c r="AA105" i="1" a="1"/>
  <c r="AA105" i="1" s="1"/>
  <c r="Z105" i="1"/>
  <c r="W105" i="1" a="1"/>
  <c r="W105" i="1" s="1"/>
  <c r="V105" i="1"/>
  <c r="U105" i="1"/>
  <c r="AA104" i="1" a="1"/>
  <c r="AA104" i="1" s="1"/>
  <c r="Z104" i="1"/>
  <c r="W104" i="1" a="1"/>
  <c r="W104" i="1" s="1"/>
  <c r="V104" i="1"/>
  <c r="U104" i="1"/>
  <c r="AA103" i="1" a="1"/>
  <c r="AA103" i="1" s="1"/>
  <c r="Z103" i="1"/>
  <c r="W103" i="1" a="1"/>
  <c r="W103" i="1" s="1"/>
  <c r="V103" i="1"/>
  <c r="U103" i="1"/>
  <c r="AA102" i="1" a="1"/>
  <c r="AA102" i="1" s="1"/>
  <c r="Z102" i="1"/>
  <c r="W102" i="1" a="1"/>
  <c r="W102" i="1" s="1"/>
  <c r="V102" i="1"/>
  <c r="U102" i="1"/>
  <c r="AA101" i="1" a="1"/>
  <c r="AA101" i="1" s="1"/>
  <c r="Z101" i="1"/>
  <c r="W101" i="1" a="1"/>
  <c r="W101" i="1" s="1"/>
  <c r="V101" i="1"/>
  <c r="U101" i="1"/>
  <c r="AA100" i="1" a="1"/>
  <c r="AA100" i="1" s="1"/>
  <c r="Z100" i="1"/>
  <c r="W100" i="1" a="1"/>
  <c r="W100" i="1" s="1"/>
  <c r="V100" i="1"/>
  <c r="U100" i="1"/>
  <c r="AA99" i="1" a="1"/>
  <c r="AA99" i="1" s="1"/>
  <c r="Z99" i="1"/>
  <c r="W99" i="1" a="1"/>
  <c r="W99" i="1" s="1"/>
  <c r="V99" i="1"/>
  <c r="U99" i="1"/>
  <c r="AA98" i="1" a="1"/>
  <c r="AA98" i="1" s="1"/>
  <c r="Z98" i="1"/>
  <c r="W98" i="1" a="1"/>
  <c r="W98" i="1" s="1"/>
  <c r="V98" i="1"/>
  <c r="U98" i="1"/>
  <c r="AA97" i="1" a="1"/>
  <c r="AA97" i="1" s="1"/>
  <c r="Z97" i="1"/>
  <c r="W97" i="1" a="1"/>
  <c r="W97" i="1" s="1"/>
  <c r="X97" i="1" s="1"/>
  <c r="Y97" i="1" s="1"/>
  <c r="V97" i="1"/>
  <c r="U97" i="1"/>
  <c r="AA96" i="1" a="1"/>
  <c r="AA96" i="1" s="1"/>
  <c r="Z96" i="1"/>
  <c r="W96" i="1" a="1"/>
  <c r="W96" i="1" s="1"/>
  <c r="V96" i="1"/>
  <c r="U96" i="1"/>
  <c r="AA95" i="1" a="1"/>
  <c r="AA95" i="1" s="1"/>
  <c r="Z95" i="1"/>
  <c r="W95" i="1" a="1"/>
  <c r="W95" i="1" s="1"/>
  <c r="V95" i="1"/>
  <c r="X95" i="1" s="1"/>
  <c r="Y95" i="1" s="1"/>
  <c r="U95" i="1"/>
  <c r="AA94" i="1" a="1"/>
  <c r="AA94" i="1" s="1"/>
  <c r="Z94" i="1"/>
  <c r="W94" i="1" a="1"/>
  <c r="W94" i="1" s="1"/>
  <c r="V94" i="1"/>
  <c r="U94" i="1"/>
  <c r="AA93" i="1" a="1"/>
  <c r="AA93" i="1" s="1"/>
  <c r="Z93" i="1"/>
  <c r="W93" i="1" a="1"/>
  <c r="W93" i="1" s="1"/>
  <c r="V93" i="1"/>
  <c r="U93" i="1"/>
  <c r="AA92" i="1" a="1"/>
  <c r="AA92" i="1" s="1"/>
  <c r="Z92" i="1"/>
  <c r="W92" i="1" a="1"/>
  <c r="W92" i="1" s="1"/>
  <c r="V92" i="1"/>
  <c r="U92" i="1"/>
  <c r="AA91" i="1" a="1"/>
  <c r="AA91" i="1" s="1"/>
  <c r="Z91" i="1"/>
  <c r="W91" i="1" a="1"/>
  <c r="W91" i="1" s="1"/>
  <c r="V91" i="1"/>
  <c r="U91" i="1"/>
  <c r="AA90" i="1" a="1"/>
  <c r="AA90" i="1" s="1"/>
  <c r="Z90" i="1"/>
  <c r="W90" i="1" a="1"/>
  <c r="W90" i="1" s="1"/>
  <c r="V90" i="1"/>
  <c r="U90" i="1"/>
  <c r="AA89" i="1" a="1"/>
  <c r="AA89" i="1" s="1"/>
  <c r="Z89" i="1"/>
  <c r="W89" i="1" a="1"/>
  <c r="W89" i="1" s="1"/>
  <c r="V89" i="1"/>
  <c r="U89" i="1"/>
  <c r="AA88" i="1" a="1"/>
  <c r="AA88" i="1" s="1"/>
  <c r="Z88" i="1"/>
  <c r="W88" i="1" a="1"/>
  <c r="W88" i="1" s="1"/>
  <c r="V88" i="1"/>
  <c r="U88" i="1"/>
  <c r="AA87" i="1" a="1"/>
  <c r="AA87" i="1" s="1"/>
  <c r="Z87" i="1"/>
  <c r="W87" i="1" a="1"/>
  <c r="W87" i="1" s="1"/>
  <c r="V87" i="1"/>
  <c r="U87" i="1"/>
  <c r="AA86" i="1" a="1"/>
  <c r="AA86" i="1" s="1"/>
  <c r="Z86" i="1"/>
  <c r="W86" i="1" a="1"/>
  <c r="W86" i="1" s="1"/>
  <c r="V86" i="1"/>
  <c r="U86" i="1"/>
  <c r="AA85" i="1" a="1"/>
  <c r="AA85" i="1" s="1"/>
  <c r="Z85" i="1"/>
  <c r="W85" i="1" a="1"/>
  <c r="W85" i="1" s="1"/>
  <c r="V85" i="1"/>
  <c r="X85" i="1" s="1"/>
  <c r="Y85" i="1" s="1"/>
  <c r="U85" i="1"/>
  <c r="AA84" i="1" a="1"/>
  <c r="AA84" i="1" s="1"/>
  <c r="Z84" i="1"/>
  <c r="W84" i="1" a="1"/>
  <c r="W84" i="1" s="1"/>
  <c r="V84" i="1"/>
  <c r="U84" i="1"/>
  <c r="AA83" i="1" a="1"/>
  <c r="AA83" i="1" s="1"/>
  <c r="Z83" i="1"/>
  <c r="W83" i="1" a="1"/>
  <c r="W83" i="1" s="1"/>
  <c r="V83" i="1"/>
  <c r="U83" i="1"/>
  <c r="AA82" i="1" a="1"/>
  <c r="AA82" i="1" s="1"/>
  <c r="Z82" i="1"/>
  <c r="W82" i="1" a="1"/>
  <c r="W82" i="1" s="1"/>
  <c r="V82" i="1"/>
  <c r="U82" i="1"/>
  <c r="AA81" i="1" a="1"/>
  <c r="AA81" i="1" s="1"/>
  <c r="Z81" i="1"/>
  <c r="W81" i="1" a="1"/>
  <c r="W81" i="1" s="1"/>
  <c r="V81" i="1"/>
  <c r="U81" i="1"/>
  <c r="AA80" i="1" a="1"/>
  <c r="AA80" i="1" s="1"/>
  <c r="Z80" i="1"/>
  <c r="W80" i="1" a="1"/>
  <c r="W80" i="1" s="1"/>
  <c r="X80" i="1" s="1"/>
  <c r="Y80" i="1" s="1"/>
  <c r="V80" i="1"/>
  <c r="U80" i="1"/>
  <c r="AA79" i="1" a="1"/>
  <c r="AA79" i="1" s="1"/>
  <c r="Z79" i="1"/>
  <c r="W79" i="1" a="1"/>
  <c r="W79" i="1" s="1"/>
  <c r="V79" i="1"/>
  <c r="U79" i="1"/>
  <c r="AA78" i="1" a="1"/>
  <c r="AA78" i="1" s="1"/>
  <c r="Z78" i="1"/>
  <c r="W78" i="1" a="1"/>
  <c r="W78" i="1" s="1"/>
  <c r="V78" i="1"/>
  <c r="U78" i="1"/>
  <c r="AA77" i="1" a="1"/>
  <c r="AA77" i="1" s="1"/>
  <c r="Z77" i="1"/>
  <c r="W77" i="1" a="1"/>
  <c r="W77" i="1" s="1"/>
  <c r="V77" i="1"/>
  <c r="X77" i="1" s="1"/>
  <c r="Y77" i="1" s="1"/>
  <c r="U77" i="1"/>
  <c r="AA76" i="1" a="1"/>
  <c r="AA76" i="1" s="1"/>
  <c r="Z76" i="1"/>
  <c r="W76" i="1" a="1"/>
  <c r="W76" i="1" s="1"/>
  <c r="V76" i="1"/>
  <c r="U76" i="1"/>
  <c r="AA75" i="1" a="1"/>
  <c r="AA75" i="1" s="1"/>
  <c r="Z75" i="1"/>
  <c r="W75" i="1" a="1"/>
  <c r="W75" i="1" s="1"/>
  <c r="V75" i="1"/>
  <c r="U75" i="1"/>
  <c r="AA74" i="1" a="1"/>
  <c r="AA74" i="1" s="1"/>
  <c r="Z74" i="1"/>
  <c r="W74" i="1" a="1"/>
  <c r="W74" i="1" s="1"/>
  <c r="V74" i="1"/>
  <c r="U74" i="1"/>
  <c r="AA73" i="1" a="1"/>
  <c r="AA73" i="1" s="1"/>
  <c r="Z73" i="1"/>
  <c r="W73" i="1" a="1"/>
  <c r="W73" i="1" s="1"/>
  <c r="V73" i="1"/>
  <c r="U73" i="1"/>
  <c r="AA72" i="1" a="1"/>
  <c r="AA72" i="1" s="1"/>
  <c r="Z72" i="1"/>
  <c r="W72" i="1" a="1"/>
  <c r="W72" i="1" s="1"/>
  <c r="V72" i="1"/>
  <c r="U72" i="1"/>
  <c r="AA71" i="1" a="1"/>
  <c r="AA71" i="1" s="1"/>
  <c r="Z71" i="1"/>
  <c r="W71" i="1" a="1"/>
  <c r="W71" i="1" s="1"/>
  <c r="V71" i="1"/>
  <c r="U71" i="1"/>
  <c r="AA70" i="1" a="1"/>
  <c r="AA70" i="1" s="1"/>
  <c r="Z70" i="1"/>
  <c r="W70" i="1" a="1"/>
  <c r="W70" i="1" s="1"/>
  <c r="V70" i="1"/>
  <c r="U70" i="1"/>
  <c r="AA69" i="1" a="1"/>
  <c r="AA69" i="1" s="1"/>
  <c r="Z69" i="1"/>
  <c r="W69" i="1" a="1"/>
  <c r="W69" i="1" s="1"/>
  <c r="V69" i="1"/>
  <c r="X69" i="1" s="1"/>
  <c r="Y69" i="1" s="1"/>
  <c r="U69" i="1"/>
  <c r="AA68" i="1" a="1"/>
  <c r="AA68" i="1" s="1"/>
  <c r="Z68" i="1"/>
  <c r="W68" i="1" a="1"/>
  <c r="W68" i="1" s="1"/>
  <c r="V68" i="1"/>
  <c r="U68" i="1"/>
  <c r="AA67" i="1" a="1"/>
  <c r="AA67" i="1" s="1"/>
  <c r="Z67" i="1"/>
  <c r="W67" i="1" a="1"/>
  <c r="W67" i="1" s="1"/>
  <c r="V67" i="1"/>
  <c r="U67" i="1"/>
  <c r="AA66" i="1" a="1"/>
  <c r="AA66" i="1" s="1"/>
  <c r="Z66" i="1"/>
  <c r="W66" i="1" a="1"/>
  <c r="W66" i="1" s="1"/>
  <c r="V66" i="1"/>
  <c r="U66" i="1"/>
  <c r="AA65" i="1" a="1"/>
  <c r="AA65" i="1" s="1"/>
  <c r="Z65" i="1"/>
  <c r="W65" i="1" a="1"/>
  <c r="W65" i="1" s="1"/>
  <c r="V65" i="1"/>
  <c r="U65" i="1"/>
  <c r="AA64" i="1" a="1"/>
  <c r="AA64" i="1" s="1"/>
  <c r="Z64" i="1"/>
  <c r="W64" i="1" a="1"/>
  <c r="W64" i="1" s="1"/>
  <c r="V64" i="1"/>
  <c r="U64" i="1"/>
  <c r="AA63" i="1" a="1"/>
  <c r="AA63" i="1" s="1"/>
  <c r="Z63" i="1"/>
  <c r="W63" i="1" a="1"/>
  <c r="W63" i="1" s="1"/>
  <c r="V63" i="1"/>
  <c r="U63" i="1"/>
  <c r="AA62" i="1" a="1"/>
  <c r="AA62" i="1" s="1"/>
  <c r="Z62" i="1"/>
  <c r="W62" i="1" a="1"/>
  <c r="W62" i="1" s="1"/>
  <c r="V62" i="1"/>
  <c r="U62" i="1"/>
  <c r="AA61" i="1" a="1"/>
  <c r="AA61" i="1" s="1"/>
  <c r="Z61" i="1"/>
  <c r="W61" i="1" a="1"/>
  <c r="W61" i="1" s="1"/>
  <c r="V61" i="1"/>
  <c r="U61" i="1"/>
  <c r="AA60" i="1" a="1"/>
  <c r="AA60" i="1" s="1"/>
  <c r="Z60" i="1"/>
  <c r="W60" i="1" a="1"/>
  <c r="W60" i="1" s="1"/>
  <c r="V60" i="1"/>
  <c r="U60" i="1"/>
  <c r="AA59" i="1" a="1"/>
  <c r="AA59" i="1" s="1"/>
  <c r="Z59" i="1"/>
  <c r="W59" i="1" a="1"/>
  <c r="W59" i="1" s="1"/>
  <c r="V59" i="1"/>
  <c r="U59" i="1"/>
  <c r="AA58" i="1" a="1"/>
  <c r="AA58" i="1" s="1"/>
  <c r="Z58" i="1"/>
  <c r="W58" i="1" a="1"/>
  <c r="W58" i="1" s="1"/>
  <c r="V58" i="1"/>
  <c r="U58" i="1"/>
  <c r="AA57" i="1" a="1"/>
  <c r="AA57" i="1" s="1"/>
  <c r="Z57" i="1"/>
  <c r="W57" i="1" a="1"/>
  <c r="W57" i="1" s="1"/>
  <c r="V57" i="1"/>
  <c r="U57" i="1"/>
  <c r="AA56" i="1" a="1"/>
  <c r="AA56" i="1" s="1"/>
  <c r="Z56" i="1"/>
  <c r="W56" i="1" a="1"/>
  <c r="W56" i="1" s="1"/>
  <c r="V56" i="1"/>
  <c r="U56" i="1"/>
  <c r="AA55" i="1" a="1"/>
  <c r="AA55" i="1" s="1"/>
  <c r="Z55" i="1"/>
  <c r="W55" i="1" a="1"/>
  <c r="W55" i="1" s="1"/>
  <c r="V55" i="1"/>
  <c r="X55" i="1" s="1"/>
  <c r="Y55" i="1" s="1"/>
  <c r="U55" i="1"/>
  <c r="AA54" i="1" a="1"/>
  <c r="AA54" i="1" s="1"/>
  <c r="Z54" i="1"/>
  <c r="W54" i="1" a="1"/>
  <c r="W54" i="1" s="1"/>
  <c r="V54" i="1"/>
  <c r="U54" i="1"/>
  <c r="AA53" i="1" a="1"/>
  <c r="AA53" i="1" s="1"/>
  <c r="Z53" i="1"/>
  <c r="W53" i="1" a="1"/>
  <c r="W53" i="1" s="1"/>
  <c r="V53" i="1"/>
  <c r="U53" i="1"/>
  <c r="AA52" i="1" a="1"/>
  <c r="AA52" i="1" s="1"/>
  <c r="Z52" i="1"/>
  <c r="W52" i="1" a="1"/>
  <c r="W52" i="1" s="1"/>
  <c r="V52" i="1"/>
  <c r="U52" i="1"/>
  <c r="AA51" i="1" a="1"/>
  <c r="AA51" i="1" s="1"/>
  <c r="Z51" i="1"/>
  <c r="W51" i="1" a="1"/>
  <c r="W51" i="1" s="1"/>
  <c r="V51" i="1"/>
  <c r="X51" i="1" s="1"/>
  <c r="Y51" i="1" s="1"/>
  <c r="U51" i="1"/>
  <c r="AA50" i="1" a="1"/>
  <c r="AA50" i="1" s="1"/>
  <c r="Z50" i="1"/>
  <c r="W50" i="1" a="1"/>
  <c r="W50" i="1" s="1"/>
  <c r="V50" i="1"/>
  <c r="U50" i="1"/>
  <c r="AA49" i="1" a="1"/>
  <c r="AA49" i="1" s="1"/>
  <c r="Z49" i="1"/>
  <c r="W49" i="1" a="1"/>
  <c r="W49" i="1" s="1"/>
  <c r="V49" i="1"/>
  <c r="U49" i="1"/>
  <c r="AA48" i="1" a="1"/>
  <c r="AA48" i="1" s="1"/>
  <c r="Z48" i="1"/>
  <c r="W48" i="1" a="1"/>
  <c r="W48" i="1" s="1"/>
  <c r="V48" i="1"/>
  <c r="U48" i="1"/>
  <c r="AA47" i="1" a="1"/>
  <c r="AA47" i="1" s="1"/>
  <c r="Z47" i="1"/>
  <c r="W47" i="1" a="1"/>
  <c r="W47" i="1" s="1"/>
  <c r="V47" i="1"/>
  <c r="U47" i="1"/>
  <c r="AA46" i="1" a="1"/>
  <c r="AA46" i="1" s="1"/>
  <c r="Z46" i="1"/>
  <c r="W46" i="1" a="1"/>
  <c r="W46" i="1" s="1"/>
  <c r="V46" i="1"/>
  <c r="U46" i="1"/>
  <c r="AA45" i="1" a="1"/>
  <c r="AA45" i="1" s="1"/>
  <c r="Z45" i="1"/>
  <c r="W45" i="1" a="1"/>
  <c r="W45" i="1" s="1"/>
  <c r="V45" i="1"/>
  <c r="U45" i="1"/>
  <c r="AA44" i="1" a="1"/>
  <c r="AA44" i="1" s="1"/>
  <c r="Z44" i="1"/>
  <c r="W44" i="1" a="1"/>
  <c r="W44" i="1" s="1"/>
  <c r="V44" i="1"/>
  <c r="U44" i="1"/>
  <c r="AA43" i="1" a="1"/>
  <c r="AA43" i="1" s="1"/>
  <c r="Z43" i="1"/>
  <c r="W43" i="1" a="1"/>
  <c r="W43" i="1" s="1"/>
  <c r="V43" i="1"/>
  <c r="U43" i="1"/>
  <c r="AA42" i="1" a="1"/>
  <c r="AA42" i="1" s="1"/>
  <c r="Z42" i="1"/>
  <c r="W42" i="1" a="1"/>
  <c r="W42" i="1" s="1"/>
  <c r="V42" i="1"/>
  <c r="U42" i="1"/>
  <c r="AA41" i="1" a="1"/>
  <c r="AA41" i="1" s="1"/>
  <c r="Z41" i="1"/>
  <c r="W41" i="1" a="1"/>
  <c r="W41" i="1" s="1"/>
  <c r="V41" i="1"/>
  <c r="U41" i="1"/>
  <c r="AA40" i="1" a="1"/>
  <c r="AA40" i="1" s="1"/>
  <c r="Z40" i="1"/>
  <c r="W40" i="1" a="1"/>
  <c r="W40" i="1" s="1"/>
  <c r="V40" i="1"/>
  <c r="U40" i="1"/>
  <c r="AA39" i="1" a="1"/>
  <c r="AA39" i="1" s="1"/>
  <c r="Z39" i="1"/>
  <c r="W39" i="1" a="1"/>
  <c r="W39" i="1" s="1"/>
  <c r="V39" i="1"/>
  <c r="U39" i="1"/>
  <c r="AA38" i="1" a="1"/>
  <c r="AA38" i="1" s="1"/>
  <c r="Z38" i="1"/>
  <c r="W38" i="1" a="1"/>
  <c r="W38" i="1" s="1"/>
  <c r="V38" i="1"/>
  <c r="U38" i="1"/>
  <c r="AA37" i="1" a="1"/>
  <c r="AA37" i="1" s="1"/>
  <c r="Z37" i="1"/>
  <c r="W37" i="1" a="1"/>
  <c r="W37" i="1" s="1"/>
  <c r="V37" i="1"/>
  <c r="U37" i="1"/>
  <c r="AA36" i="1" a="1"/>
  <c r="AA36" i="1" s="1"/>
  <c r="Z36" i="1"/>
  <c r="W36" i="1" a="1"/>
  <c r="W36" i="1" s="1"/>
  <c r="V36" i="1"/>
  <c r="U36" i="1"/>
  <c r="AA35" i="1" a="1"/>
  <c r="AA35" i="1" s="1"/>
  <c r="Z35" i="1"/>
  <c r="W35" i="1" a="1"/>
  <c r="W35" i="1" s="1"/>
  <c r="V35" i="1"/>
  <c r="U35" i="1"/>
  <c r="AA34" i="1" a="1"/>
  <c r="AA34" i="1" s="1"/>
  <c r="Z34" i="1"/>
  <c r="W34" i="1" a="1"/>
  <c r="W34" i="1" s="1"/>
  <c r="V34" i="1"/>
  <c r="U34" i="1"/>
  <c r="AA33" i="1" a="1"/>
  <c r="AA33" i="1" s="1"/>
  <c r="Z33" i="1"/>
  <c r="W33" i="1" a="1"/>
  <c r="W33" i="1" s="1"/>
  <c r="V33" i="1"/>
  <c r="U33" i="1"/>
  <c r="AA32" i="1" a="1"/>
  <c r="AA32" i="1" s="1"/>
  <c r="Z32" i="1"/>
  <c r="W32" i="1" a="1"/>
  <c r="W32" i="1" s="1"/>
  <c r="V32" i="1"/>
  <c r="U32" i="1"/>
  <c r="AA31" i="1" a="1"/>
  <c r="AA31" i="1" s="1"/>
  <c r="Z31" i="1"/>
  <c r="W31" i="1" a="1"/>
  <c r="W31" i="1" s="1"/>
  <c r="V31" i="1"/>
  <c r="U31" i="1"/>
  <c r="AA30" i="1" a="1"/>
  <c r="AA30" i="1" s="1"/>
  <c r="Z30" i="1"/>
  <c r="W30" i="1" a="1"/>
  <c r="W30" i="1" s="1"/>
  <c r="V30" i="1"/>
  <c r="U30" i="1"/>
  <c r="AA29" i="1" a="1"/>
  <c r="AA29" i="1" s="1"/>
  <c r="Z29" i="1"/>
  <c r="W29" i="1" a="1"/>
  <c r="W29" i="1" s="1"/>
  <c r="V29" i="1"/>
  <c r="U29" i="1"/>
  <c r="AA28" i="1" a="1"/>
  <c r="AA28" i="1" s="1"/>
  <c r="Z28" i="1"/>
  <c r="W28" i="1" a="1"/>
  <c r="W28" i="1" s="1"/>
  <c r="V28" i="1"/>
  <c r="U28" i="1"/>
  <c r="AA27" i="1" a="1"/>
  <c r="AA27" i="1" s="1"/>
  <c r="Z27" i="1"/>
  <c r="W27" i="1" a="1"/>
  <c r="W27" i="1" s="1"/>
  <c r="V27" i="1"/>
  <c r="U27" i="1"/>
  <c r="AA26" i="1" a="1"/>
  <c r="AA26" i="1" s="1"/>
  <c r="Z26" i="1"/>
  <c r="W26" i="1" a="1"/>
  <c r="W26" i="1" s="1"/>
  <c r="V26" i="1"/>
  <c r="U26" i="1"/>
  <c r="AA25" i="1" a="1"/>
  <c r="AA25" i="1" s="1"/>
  <c r="Z25" i="1"/>
  <c r="W25" i="1" a="1"/>
  <c r="W25" i="1" s="1"/>
  <c r="V25" i="1"/>
  <c r="U25" i="1"/>
  <c r="AA24" i="1" a="1"/>
  <c r="AA24" i="1" s="1"/>
  <c r="Z24" i="1"/>
  <c r="W24" i="1" a="1"/>
  <c r="W24" i="1" s="1"/>
  <c r="V24" i="1"/>
  <c r="U24" i="1"/>
  <c r="AA23" i="1" a="1"/>
  <c r="AA23" i="1" s="1"/>
  <c r="Z23" i="1"/>
  <c r="W23" i="1" a="1"/>
  <c r="W23" i="1" s="1"/>
  <c r="V23" i="1"/>
  <c r="U23" i="1"/>
  <c r="AA22" i="1" a="1"/>
  <c r="AA22" i="1" s="1"/>
  <c r="Z22" i="1"/>
  <c r="W22" i="1" a="1"/>
  <c r="W22" i="1" s="1"/>
  <c r="V22" i="1"/>
  <c r="U22" i="1"/>
  <c r="AA21" i="1" a="1"/>
  <c r="AA21" i="1" s="1"/>
  <c r="Z21" i="1"/>
  <c r="W21" i="1" a="1"/>
  <c r="W21" i="1" s="1"/>
  <c r="V21" i="1"/>
  <c r="U21" i="1"/>
  <c r="AA20" i="1" a="1"/>
  <c r="AA20" i="1" s="1"/>
  <c r="Z20" i="1"/>
  <c r="W20" i="1" a="1"/>
  <c r="W20" i="1" s="1"/>
  <c r="V20" i="1"/>
  <c r="U20" i="1"/>
  <c r="AA19" i="1" a="1"/>
  <c r="AA19" i="1" s="1"/>
  <c r="Z19" i="1"/>
  <c r="W19" i="1" a="1"/>
  <c r="W19" i="1" s="1"/>
  <c r="V19" i="1"/>
  <c r="U19" i="1"/>
  <c r="AA18" i="1" a="1"/>
  <c r="AA18" i="1" s="1"/>
  <c r="Z18" i="1"/>
  <c r="W18" i="1" a="1"/>
  <c r="W18" i="1" s="1"/>
  <c r="V18" i="1"/>
  <c r="X18" i="1" s="1"/>
  <c r="Y18" i="1" s="1"/>
  <c r="U18" i="1"/>
  <c r="AA17" i="1" a="1"/>
  <c r="AA17" i="1" s="1"/>
  <c r="Z17" i="1"/>
  <c r="W17" i="1" a="1"/>
  <c r="W17" i="1" s="1"/>
  <c r="V17" i="1"/>
  <c r="U17" i="1"/>
  <c r="AA16" i="1" a="1"/>
  <c r="AA16" i="1" s="1"/>
  <c r="Z16" i="1"/>
  <c r="W16" i="1" a="1"/>
  <c r="W16" i="1" s="1"/>
  <c r="V16" i="1"/>
  <c r="U16" i="1"/>
  <c r="AA15" i="1" a="1"/>
  <c r="AA15" i="1" s="1"/>
  <c r="Z15" i="1"/>
  <c r="W15" i="1" a="1"/>
  <c r="W15" i="1" s="1"/>
  <c r="V15" i="1"/>
  <c r="X15" i="1" s="1"/>
  <c r="Y15" i="1" s="1"/>
  <c r="U15" i="1"/>
  <c r="AA14" i="1" a="1"/>
  <c r="AA14" i="1" s="1"/>
  <c r="Z14" i="1"/>
  <c r="W14" i="1" a="1"/>
  <c r="W14" i="1" s="1"/>
  <c r="V14" i="1"/>
  <c r="U14" i="1"/>
  <c r="AA13" i="1" a="1"/>
  <c r="AA13" i="1" s="1"/>
  <c r="Z13" i="1"/>
  <c r="W13" i="1" a="1"/>
  <c r="W13" i="1" s="1"/>
  <c r="V13" i="1"/>
  <c r="U13" i="1"/>
  <c r="AA12" i="1" a="1"/>
  <c r="AA12" i="1" s="1"/>
  <c r="Z12" i="1"/>
  <c r="W12" i="1" a="1"/>
  <c r="W12" i="1" s="1"/>
  <c r="V12" i="1"/>
  <c r="U12" i="1"/>
  <c r="AA11" i="1" a="1"/>
  <c r="AA11" i="1" s="1"/>
  <c r="Z11" i="1"/>
  <c r="W11" i="1" a="1"/>
  <c r="W11" i="1" s="1"/>
  <c r="V11" i="1"/>
  <c r="U11" i="1"/>
  <c r="AA10" i="1" a="1"/>
  <c r="AA10" i="1" s="1"/>
  <c r="Z10" i="1"/>
  <c r="W10" i="1" a="1"/>
  <c r="W10" i="1" s="1"/>
  <c r="V10" i="1"/>
  <c r="U10" i="1"/>
  <c r="AA9" i="1" a="1"/>
  <c r="AA9" i="1" s="1"/>
  <c r="Z9" i="1"/>
  <c r="W9" i="1" a="1"/>
  <c r="W9" i="1" s="1"/>
  <c r="V9" i="1"/>
  <c r="U9" i="1"/>
  <c r="AA8" i="1" a="1"/>
  <c r="AA8" i="1" s="1"/>
  <c r="Z8" i="1"/>
  <c r="W8" i="1" a="1"/>
  <c r="W8" i="1" s="1"/>
  <c r="V8" i="1"/>
  <c r="U8" i="1"/>
  <c r="AA7" i="1" a="1"/>
  <c r="AA7" i="1" s="1"/>
  <c r="Z7" i="1"/>
  <c r="W7" i="1" a="1"/>
  <c r="W7" i="1" s="1"/>
  <c r="V7" i="1"/>
  <c r="U7" i="1"/>
  <c r="AA6" i="1" a="1"/>
  <c r="AA6" i="1" s="1"/>
  <c r="Z6" i="1"/>
  <c r="W6" i="1" a="1"/>
  <c r="W6" i="1" s="1"/>
  <c r="V6" i="1"/>
  <c r="U6" i="1"/>
  <c r="AA5" i="1" a="1"/>
  <c r="AA5" i="1" s="1"/>
  <c r="Z5" i="1"/>
  <c r="W5" i="1" a="1"/>
  <c r="W5" i="1" s="1"/>
  <c r="V5" i="1"/>
  <c r="U5" i="1"/>
  <c r="AA4" i="1" a="1"/>
  <c r="AA4" i="1" s="1"/>
  <c r="Z4" i="1"/>
  <c r="W4" i="1" a="1"/>
  <c r="W4" i="1" s="1"/>
  <c r="V4" i="1"/>
  <c r="U4" i="1"/>
  <c r="AA3" i="1" a="1"/>
  <c r="AA3" i="1" s="1"/>
  <c r="Z3" i="1"/>
  <c r="W3" i="1" a="1"/>
  <c r="W3" i="1" s="1"/>
  <c r="V3" i="1"/>
  <c r="U3" i="1"/>
  <c r="AA2" i="1" a="1"/>
  <c r="AA2" i="1" s="1"/>
  <c r="Z2" i="1"/>
  <c r="W2" i="1" a="1"/>
  <c r="W2" i="1" s="1"/>
  <c r="V2" i="1"/>
  <c r="U2" i="1"/>
  <c r="B26" i="3"/>
  <c r="B7" i="3"/>
  <c r="B30" i="3"/>
  <c r="B15" i="3"/>
  <c r="B35" i="3"/>
  <c r="X46" i="1" l="1"/>
  <c r="Y46" i="1" s="1"/>
  <c r="X407" i="1"/>
  <c r="Y407" i="1" s="1"/>
  <c r="X388" i="1"/>
  <c r="Y388" i="1" s="1"/>
  <c r="X363" i="1"/>
  <c r="Y363" i="1" s="1"/>
  <c r="X176" i="1"/>
  <c r="Y176" i="1" s="1"/>
  <c r="X192" i="1"/>
  <c r="Y192" i="1" s="1"/>
  <c r="X345" i="1"/>
  <c r="Y345" i="1" s="1"/>
  <c r="X364" i="1"/>
  <c r="Y364" i="1" s="1"/>
  <c r="X380" i="1"/>
  <c r="Y380" i="1" s="1"/>
  <c r="X412" i="1"/>
  <c r="Y412" i="1" s="1"/>
  <c r="X428" i="1"/>
  <c r="Y428" i="1" s="1"/>
  <c r="X382" i="1"/>
  <c r="Y382" i="1" s="1"/>
  <c r="X58" i="1"/>
  <c r="Y58" i="1" s="1"/>
  <c r="X221" i="1"/>
  <c r="Y221" i="1" s="1"/>
  <c r="X237" i="1"/>
  <c r="Y237" i="1" s="1"/>
  <c r="X253" i="1"/>
  <c r="Y253" i="1" s="1"/>
  <c r="X307" i="1"/>
  <c r="Y307" i="1" s="1"/>
  <c r="X323" i="1"/>
  <c r="Y323" i="1" s="1"/>
  <c r="X23" i="1"/>
  <c r="Y23" i="1" s="1"/>
  <c r="X39" i="1"/>
  <c r="Y39" i="1" s="1"/>
  <c r="X420" i="1"/>
  <c r="Y420" i="1" s="1"/>
  <c r="X17" i="1"/>
  <c r="Y17" i="1" s="1"/>
  <c r="X33" i="1"/>
  <c r="Y33" i="1" s="1"/>
  <c r="X113" i="1"/>
  <c r="Y113" i="1" s="1"/>
  <c r="X260" i="1"/>
  <c r="Y260" i="1" s="1"/>
  <c r="X330" i="1"/>
  <c r="Y330" i="1" s="1"/>
  <c r="X196" i="1"/>
  <c r="Y196" i="1" s="1"/>
  <c r="X285" i="1"/>
  <c r="Y285" i="1" s="1"/>
  <c r="X42" i="1"/>
  <c r="Y42" i="1" s="1"/>
  <c r="X61" i="1"/>
  <c r="Y61" i="1" s="1"/>
  <c r="X258" i="1"/>
  <c r="Y258" i="1" s="1"/>
  <c r="X277" i="1"/>
  <c r="Y277" i="1" s="1"/>
  <c r="X296" i="1"/>
  <c r="Y296" i="1" s="1"/>
  <c r="X464" i="1"/>
  <c r="Y464" i="1" s="1"/>
  <c r="X306" i="1"/>
  <c r="Y306" i="1" s="1"/>
  <c r="X436" i="1"/>
  <c r="Y436" i="1" s="1"/>
  <c r="X455" i="1"/>
  <c r="Y455" i="1" s="1"/>
  <c r="X74" i="1"/>
  <c r="Y74" i="1" s="1"/>
  <c r="X109" i="1"/>
  <c r="Y109" i="1" s="1"/>
  <c r="X141" i="1"/>
  <c r="Y141" i="1" s="1"/>
  <c r="X157" i="1"/>
  <c r="Y157" i="1" s="1"/>
  <c r="X262" i="1"/>
  <c r="Y262" i="1" s="1"/>
  <c r="X297" i="1"/>
  <c r="Y297" i="1" s="1"/>
  <c r="X332" i="1"/>
  <c r="Y332" i="1" s="1"/>
  <c r="X405" i="1"/>
  <c r="Y405" i="1" s="1"/>
  <c r="X484" i="1"/>
  <c r="Y484" i="1" s="1"/>
  <c r="X491" i="1"/>
  <c r="Y491" i="1" s="1"/>
  <c r="X53" i="1"/>
  <c r="Y53" i="1" s="1"/>
  <c r="X180" i="1"/>
  <c r="Y180" i="1" s="1"/>
  <c r="X415" i="1"/>
  <c r="Y415" i="1" s="1"/>
  <c r="X266" i="1"/>
  <c r="Y266" i="1" s="1"/>
  <c r="X371" i="1"/>
  <c r="Y371" i="1" s="1"/>
  <c r="X91" i="1"/>
  <c r="Y91" i="1" s="1"/>
  <c r="X482" i="1"/>
  <c r="Y482" i="1" s="1"/>
  <c r="X38" i="1"/>
  <c r="Y38" i="1" s="1"/>
  <c r="X104" i="1"/>
  <c r="Y104" i="1" s="1"/>
  <c r="X139" i="1"/>
  <c r="Y139" i="1" s="1"/>
  <c r="X203" i="1"/>
  <c r="Y203" i="1" s="1"/>
  <c r="X381" i="1"/>
  <c r="Y381" i="1" s="1"/>
  <c r="X397" i="1"/>
  <c r="Y397" i="1" s="1"/>
  <c r="X479" i="1"/>
  <c r="Y479" i="1" s="1"/>
  <c r="X116" i="1"/>
  <c r="Y116" i="1" s="1"/>
  <c r="X336" i="1"/>
  <c r="Y336" i="1" s="1"/>
  <c r="X466" i="1"/>
  <c r="Y466" i="1" s="1"/>
  <c r="X19" i="1"/>
  <c r="Y19" i="1" s="1"/>
  <c r="X101" i="1"/>
  <c r="Y101" i="1" s="1"/>
  <c r="X270" i="1"/>
  <c r="Y270" i="1" s="1"/>
  <c r="X305" i="1"/>
  <c r="Y305" i="1" s="1"/>
  <c r="X359" i="1"/>
  <c r="Y359" i="1" s="1"/>
  <c r="X378" i="1"/>
  <c r="Y378" i="1" s="1"/>
  <c r="X416" i="1"/>
  <c r="Y416" i="1" s="1"/>
  <c r="X451" i="1"/>
  <c r="Y451" i="1" s="1"/>
  <c r="X2" i="1"/>
  <c r="Y2" i="1" s="1"/>
  <c r="X111" i="1"/>
  <c r="Y111" i="1" s="1"/>
  <c r="X127" i="1"/>
  <c r="Y127" i="1" s="1"/>
  <c r="X146" i="1"/>
  <c r="Y146" i="1" s="1"/>
  <c r="X159" i="1"/>
  <c r="Y159" i="1" s="1"/>
  <c r="X175" i="1"/>
  <c r="Y175" i="1" s="1"/>
  <c r="X210" i="1"/>
  <c r="Y210" i="1" s="1"/>
  <c r="X229" i="1"/>
  <c r="Y229" i="1" s="1"/>
  <c r="X264" i="1"/>
  <c r="Y264" i="1" s="1"/>
  <c r="X353" i="1"/>
  <c r="Y353" i="1" s="1"/>
  <c r="X391" i="1"/>
  <c r="Y391" i="1" s="1"/>
  <c r="X426" i="1"/>
  <c r="Y426" i="1" s="1"/>
  <c r="X445" i="1"/>
  <c r="Y445" i="1" s="1"/>
  <c r="X99" i="1"/>
  <c r="Y99" i="1" s="1"/>
  <c r="X190" i="1"/>
  <c r="Y190" i="1" s="1"/>
  <c r="X465" i="1"/>
  <c r="Y465" i="1" s="1"/>
  <c r="X44" i="1"/>
  <c r="Y44" i="1" s="1"/>
  <c r="X279" i="1"/>
  <c r="Y279" i="1" s="1"/>
  <c r="X362" i="1"/>
  <c r="Y362" i="1" s="1"/>
  <c r="X468" i="1"/>
  <c r="Y468" i="1" s="1"/>
  <c r="X78" i="1"/>
  <c r="Y78" i="1" s="1"/>
  <c r="X81" i="1"/>
  <c r="Y81" i="1" s="1"/>
  <c r="X84" i="1"/>
  <c r="Y84" i="1" s="1"/>
  <c r="X112" i="1"/>
  <c r="Y112" i="1" s="1"/>
  <c r="X212" i="1"/>
  <c r="Y212" i="1" s="1"/>
  <c r="X301" i="1"/>
  <c r="Y301" i="1" s="1"/>
  <c r="X350" i="1"/>
  <c r="Y350" i="1" s="1"/>
  <c r="X356" i="1"/>
  <c r="Y356" i="1" s="1"/>
  <c r="X200" i="1"/>
  <c r="Y200" i="1" s="1"/>
  <c r="X206" i="1"/>
  <c r="Y206" i="1" s="1"/>
  <c r="X295" i="1"/>
  <c r="Y295" i="1" s="1"/>
  <c r="X344" i="1"/>
  <c r="Y344" i="1" s="1"/>
  <c r="X375" i="1"/>
  <c r="Y375" i="1" s="1"/>
  <c r="X424" i="1"/>
  <c r="Y424" i="1" s="1"/>
  <c r="X499" i="1"/>
  <c r="Y499" i="1" s="1"/>
  <c r="X103" i="1"/>
  <c r="Y103" i="1" s="1"/>
  <c r="X292" i="1"/>
  <c r="Y292" i="1" s="1"/>
  <c r="X403" i="1"/>
  <c r="Y403" i="1" s="1"/>
  <c r="X454" i="1"/>
  <c r="Y454" i="1" s="1"/>
  <c r="X20" i="1"/>
  <c r="Y20" i="1" s="1"/>
  <c r="X100" i="1"/>
  <c r="Y100" i="1" s="1"/>
  <c r="X122" i="1"/>
  <c r="Y122" i="1" s="1"/>
  <c r="X135" i="1"/>
  <c r="Y135" i="1" s="1"/>
  <c r="X243" i="1"/>
  <c r="Y243" i="1" s="1"/>
  <c r="X280" i="1"/>
  <c r="Y280" i="1" s="1"/>
  <c r="X478" i="1"/>
  <c r="Y478" i="1" s="1"/>
  <c r="X481" i="1"/>
  <c r="Y481" i="1" s="1"/>
  <c r="X276" i="1"/>
  <c r="Y276" i="1" s="1"/>
  <c r="X219" i="1"/>
  <c r="Y219" i="1" s="1"/>
  <c r="X222" i="1"/>
  <c r="Y222" i="1" s="1"/>
  <c r="X302" i="1"/>
  <c r="Y302" i="1" s="1"/>
  <c r="X76" i="1"/>
  <c r="Y76" i="1" s="1"/>
  <c r="X228" i="1"/>
  <c r="Y228" i="1" s="1"/>
  <c r="X299" i="1"/>
  <c r="Y299" i="1" s="1"/>
  <c r="X376" i="1"/>
  <c r="Y376" i="1" s="1"/>
  <c r="X247" i="1"/>
  <c r="Y247" i="1" s="1"/>
  <c r="X333" i="1"/>
  <c r="Y333" i="1" s="1"/>
  <c r="X449" i="1"/>
  <c r="Y449" i="1" s="1"/>
  <c r="X452" i="1"/>
  <c r="Y452" i="1" s="1"/>
  <c r="X83" i="1"/>
  <c r="Y83" i="1" s="1"/>
  <c r="X86" i="1"/>
  <c r="Y86" i="1" s="1"/>
  <c r="X117" i="1"/>
  <c r="Y117" i="1" s="1"/>
  <c r="X133" i="1"/>
  <c r="Y133" i="1" s="1"/>
  <c r="X136" i="1"/>
  <c r="Y136" i="1" s="1"/>
  <c r="X235" i="1"/>
  <c r="Y235" i="1" s="1"/>
  <c r="X272" i="1"/>
  <c r="Y272" i="1" s="1"/>
  <c r="X275" i="1"/>
  <c r="Y275" i="1" s="1"/>
  <c r="X278" i="1"/>
  <c r="Y278" i="1" s="1"/>
  <c r="X352" i="1"/>
  <c r="Y352" i="1" s="1"/>
  <c r="X361" i="1"/>
  <c r="Y361" i="1" s="1"/>
  <c r="X386" i="1"/>
  <c r="Y386" i="1" s="1"/>
  <c r="X461" i="1"/>
  <c r="Y461" i="1" s="1"/>
  <c r="X470" i="1"/>
  <c r="Y470" i="1" s="1"/>
  <c r="X93" i="1"/>
  <c r="Y93" i="1" s="1"/>
  <c r="X365" i="1"/>
  <c r="Y365" i="1" s="1"/>
  <c r="X486" i="1"/>
  <c r="Y486" i="1" s="1"/>
  <c r="X154" i="1"/>
  <c r="Y154" i="1" s="1"/>
  <c r="X12" i="1"/>
  <c r="Y12" i="1" s="1"/>
  <c r="X31" i="1"/>
  <c r="Y31" i="1" s="1"/>
  <c r="X34" i="1"/>
  <c r="Y34" i="1" s="1"/>
  <c r="X208" i="1"/>
  <c r="Y208" i="1" s="1"/>
  <c r="X211" i="1"/>
  <c r="Y211" i="1" s="1"/>
  <c r="X220" i="1"/>
  <c r="Y220" i="1" s="1"/>
  <c r="X223" i="1"/>
  <c r="Y223" i="1" s="1"/>
  <c r="X263" i="1"/>
  <c r="Y263" i="1" s="1"/>
  <c r="X321" i="1"/>
  <c r="Y321" i="1" s="1"/>
  <c r="X324" i="1"/>
  <c r="Y324" i="1" s="1"/>
  <c r="X346" i="1"/>
  <c r="Y346" i="1" s="1"/>
  <c r="X414" i="1"/>
  <c r="Y414" i="1" s="1"/>
  <c r="X498" i="1"/>
  <c r="Y498" i="1" s="1"/>
  <c r="X4" i="1"/>
  <c r="Y4" i="1" s="1"/>
  <c r="X368" i="1"/>
  <c r="Y368" i="1" s="1"/>
  <c r="X447" i="1"/>
  <c r="Y447" i="1" s="1"/>
  <c r="X41" i="1"/>
  <c r="Y41" i="1" s="1"/>
  <c r="X187" i="1"/>
  <c r="Y187" i="1" s="1"/>
  <c r="X110" i="1"/>
  <c r="Y110" i="1" s="1"/>
  <c r="X160" i="1"/>
  <c r="Y160" i="1" s="1"/>
  <c r="X198" i="1"/>
  <c r="Y198" i="1" s="1"/>
  <c r="X28" i="1"/>
  <c r="Y28" i="1" s="1"/>
  <c r="X124" i="1"/>
  <c r="Y124" i="1" s="1"/>
  <c r="X143" i="1"/>
  <c r="Y143" i="1" s="1"/>
  <c r="X288" i="1"/>
  <c r="Y288" i="1" s="1"/>
  <c r="X312" i="1"/>
  <c r="Y312" i="1" s="1"/>
  <c r="X334" i="1"/>
  <c r="Y334" i="1" s="1"/>
  <c r="X337" i="1"/>
  <c r="Y337" i="1" s="1"/>
  <c r="X429" i="1"/>
  <c r="Y429" i="1" s="1"/>
  <c r="X489" i="1"/>
  <c r="Y489" i="1" s="1"/>
  <c r="X35" i="1"/>
  <c r="Y35" i="1" s="1"/>
  <c r="X120" i="1"/>
  <c r="Y120" i="1" s="1"/>
  <c r="X215" i="1"/>
  <c r="Y215" i="1" s="1"/>
  <c r="X291" i="1"/>
  <c r="Y291" i="1" s="1"/>
  <c r="X358" i="1"/>
  <c r="Y358" i="1" s="1"/>
  <c r="X439" i="1"/>
  <c r="Y439" i="1" s="1"/>
  <c r="X3" i="1"/>
  <c r="Y3" i="1" s="1"/>
  <c r="X30" i="1"/>
  <c r="Y30" i="1" s="1"/>
  <c r="X488" i="1"/>
  <c r="Y488" i="1" s="1"/>
  <c r="X72" i="1"/>
  <c r="Y72" i="1" s="1"/>
  <c r="X114" i="1"/>
  <c r="Y114" i="1" s="1"/>
  <c r="X145" i="1"/>
  <c r="Y145" i="1" s="1"/>
  <c r="X304" i="1"/>
  <c r="Y304" i="1" s="1"/>
  <c r="X189" i="1"/>
  <c r="Y189" i="1" s="1"/>
  <c r="X43" i="1"/>
  <c r="Y43" i="1" s="1"/>
  <c r="X226" i="1"/>
  <c r="Y226" i="1" s="1"/>
  <c r="X366" i="1"/>
  <c r="Y366" i="1" s="1"/>
  <c r="X472" i="1"/>
  <c r="Y472" i="1" s="1"/>
  <c r="X434" i="1"/>
  <c r="Y434" i="1" s="1"/>
  <c r="X13" i="1"/>
  <c r="Y13" i="1" s="1"/>
  <c r="X16" i="1"/>
  <c r="Y16" i="1" s="1"/>
  <c r="X294" i="1"/>
  <c r="Y294" i="1" s="1"/>
  <c r="X394" i="1"/>
  <c r="Y394" i="1" s="1"/>
  <c r="X90" i="1"/>
  <c r="Y90" i="1" s="1"/>
  <c r="X232" i="1"/>
  <c r="Y232" i="1" s="1"/>
  <c r="X286" i="1"/>
  <c r="Y286" i="1" s="1"/>
  <c r="X5" i="1"/>
  <c r="Y5" i="1" s="1"/>
  <c r="X40" i="1"/>
  <c r="Y40" i="1" s="1"/>
  <c r="X147" i="1"/>
  <c r="Y147" i="1" s="1"/>
  <c r="X347" i="1"/>
  <c r="Y347" i="1" s="1"/>
  <c r="X8" i="1"/>
  <c r="Y8" i="1" s="1"/>
  <c r="X24" i="1"/>
  <c r="Y24" i="1" s="1"/>
  <c r="X37" i="1"/>
  <c r="Y37" i="1" s="1"/>
  <c r="X45" i="1"/>
  <c r="Y45" i="1" s="1"/>
  <c r="X48" i="1"/>
  <c r="Y48" i="1" s="1"/>
  <c r="X65" i="1"/>
  <c r="Y65" i="1" s="1"/>
  <c r="X68" i="1"/>
  <c r="Y68" i="1" s="1"/>
  <c r="X79" i="1"/>
  <c r="Y79" i="1" s="1"/>
  <c r="X87" i="1"/>
  <c r="Y87" i="1" s="1"/>
  <c r="X92" i="1"/>
  <c r="Y92" i="1" s="1"/>
  <c r="X128" i="1"/>
  <c r="Y128" i="1" s="1"/>
  <c r="X131" i="1"/>
  <c r="Y131" i="1" s="1"/>
  <c r="X142" i="1"/>
  <c r="Y142" i="1" s="1"/>
  <c r="X150" i="1"/>
  <c r="Y150" i="1" s="1"/>
  <c r="X201" i="1"/>
  <c r="Y201" i="1" s="1"/>
  <c r="X231" i="1"/>
  <c r="Y231" i="1" s="1"/>
  <c r="X245" i="1"/>
  <c r="Y245" i="1" s="1"/>
  <c r="X254" i="1"/>
  <c r="Y254" i="1" s="1"/>
  <c r="X267" i="1"/>
  <c r="Y267" i="1" s="1"/>
  <c r="X311" i="1"/>
  <c r="Y311" i="1" s="1"/>
  <c r="X328" i="1"/>
  <c r="Y328" i="1" s="1"/>
  <c r="X331" i="1"/>
  <c r="Y331" i="1" s="1"/>
  <c r="X374" i="1"/>
  <c r="Y374" i="1" s="1"/>
  <c r="X404" i="1"/>
  <c r="Y404" i="1" s="1"/>
  <c r="X410" i="1"/>
  <c r="Y410" i="1" s="1"/>
  <c r="X423" i="1"/>
  <c r="Y423" i="1" s="1"/>
  <c r="X450" i="1"/>
  <c r="Y450" i="1" s="1"/>
  <c r="X469" i="1"/>
  <c r="Y469" i="1" s="1"/>
  <c r="X475" i="1"/>
  <c r="Y475" i="1" s="1"/>
  <c r="X480" i="1"/>
  <c r="Y480" i="1" s="1"/>
  <c r="X419" i="1"/>
  <c r="Y419" i="1" s="1"/>
  <c r="X422" i="1"/>
  <c r="Y422" i="1" s="1"/>
  <c r="X435" i="1"/>
  <c r="Y435" i="1" s="1"/>
  <c r="X443" i="1"/>
  <c r="Y443" i="1" s="1"/>
  <c r="X500" i="1"/>
  <c r="Y500" i="1" s="1"/>
  <c r="X167" i="1"/>
  <c r="Y167" i="1" s="1"/>
  <c r="X181" i="1"/>
  <c r="Y181" i="1" s="1"/>
  <c r="X402" i="1"/>
  <c r="Y402" i="1" s="1"/>
  <c r="X383" i="1"/>
  <c r="Y383" i="1" s="1"/>
  <c r="X11" i="1"/>
  <c r="Y11" i="1" s="1"/>
  <c r="X432" i="1"/>
  <c r="Y432" i="1" s="1"/>
  <c r="X9" i="1"/>
  <c r="Y9" i="1" s="1"/>
  <c r="X255" i="1"/>
  <c r="Y255" i="1" s="1"/>
  <c r="X64" i="1"/>
  <c r="Y64" i="1" s="1"/>
  <c r="X165" i="1"/>
  <c r="Y165" i="1" s="1"/>
  <c r="X241" i="1"/>
  <c r="Y241" i="1" s="1"/>
  <c r="X343" i="1"/>
  <c r="Y343" i="1" s="1"/>
  <c r="X351" i="1"/>
  <c r="Y351" i="1" s="1"/>
  <c r="X384" i="1"/>
  <c r="Y384" i="1" s="1"/>
  <c r="X398" i="1"/>
  <c r="Y398" i="1" s="1"/>
  <c r="X446" i="1"/>
  <c r="Y446" i="1" s="1"/>
  <c r="X460" i="1"/>
  <c r="Y460" i="1" s="1"/>
  <c r="X326" i="1"/>
  <c r="Y326" i="1" s="1"/>
  <c r="X129" i="1"/>
  <c r="Y129" i="1" s="1"/>
  <c r="X56" i="1"/>
  <c r="Y56" i="1" s="1"/>
  <c r="X230" i="1"/>
  <c r="Y230" i="1" s="1"/>
  <c r="X310" i="1"/>
  <c r="Y310" i="1" s="1"/>
  <c r="X335" i="1"/>
  <c r="Y335" i="1" s="1"/>
  <c r="X390" i="1"/>
  <c r="Y390" i="1" s="1"/>
  <c r="X430" i="1"/>
  <c r="Y430" i="1" s="1"/>
  <c r="X161" i="1"/>
  <c r="Y161" i="1" s="1"/>
  <c r="X170" i="1"/>
  <c r="Y170" i="1" s="1"/>
  <c r="X184" i="1"/>
  <c r="Y184" i="1" s="1"/>
  <c r="X462" i="1"/>
  <c r="Y462" i="1" s="1"/>
  <c r="X427" i="1"/>
  <c r="Y427" i="1" s="1"/>
  <c r="X318" i="1"/>
  <c r="Y318" i="1" s="1"/>
  <c r="X107" i="1"/>
  <c r="Y107" i="1" s="1"/>
  <c r="X115" i="1"/>
  <c r="Y115" i="1" s="1"/>
  <c r="X289" i="1"/>
  <c r="Y289" i="1" s="1"/>
  <c r="X395" i="1"/>
  <c r="Y395" i="1" s="1"/>
  <c r="X340" i="1"/>
  <c r="Y340" i="1" s="1"/>
  <c r="X7" i="1"/>
  <c r="Y7" i="1" s="1"/>
  <c r="X36" i="1"/>
  <c r="Y36" i="1" s="1"/>
  <c r="X152" i="1"/>
  <c r="Y152" i="1" s="1"/>
  <c r="X244" i="1"/>
  <c r="Y244" i="1" s="1"/>
  <c r="X327" i="1"/>
  <c r="Y327" i="1" s="1"/>
  <c r="X123" i="1"/>
  <c r="Y123" i="1" s="1"/>
  <c r="X413" i="1"/>
  <c r="Y413" i="1" s="1"/>
  <c r="X309" i="1"/>
  <c r="Y309" i="1" s="1"/>
  <c r="X75" i="1"/>
  <c r="Y75" i="1" s="1"/>
  <c r="X315" i="1"/>
  <c r="Y315" i="1" s="1"/>
  <c r="X49" i="1"/>
  <c r="Y49" i="1" s="1"/>
  <c r="X173" i="1"/>
  <c r="Y173" i="1" s="1"/>
  <c r="X369" i="1"/>
  <c r="Y369" i="1" s="1"/>
  <c r="X96" i="1"/>
  <c r="Y96" i="1" s="1"/>
  <c r="X132" i="1"/>
  <c r="Y132" i="1" s="1"/>
  <c r="X148" i="1"/>
  <c r="Y148" i="1" s="1"/>
  <c r="X202" i="1"/>
  <c r="Y202" i="1" s="1"/>
  <c r="X372" i="1"/>
  <c r="Y372" i="1" s="1"/>
  <c r="X14" i="1"/>
  <c r="Y14" i="1" s="1"/>
  <c r="X25" i="1"/>
  <c r="Y25" i="1" s="1"/>
  <c r="X26" i="1"/>
  <c r="Y26" i="1" s="1"/>
  <c r="X29" i="1"/>
  <c r="Y29" i="1" s="1"/>
  <c r="X59" i="1"/>
  <c r="Y59" i="1" s="1"/>
  <c r="X94" i="1"/>
  <c r="Y94" i="1" s="1"/>
  <c r="X130" i="1"/>
  <c r="Y130" i="1" s="1"/>
  <c r="X144" i="1"/>
  <c r="Y144" i="1" s="1"/>
  <c r="X214" i="1"/>
  <c r="Y214" i="1" s="1"/>
  <c r="X236" i="1"/>
  <c r="Y236" i="1" s="1"/>
  <c r="X256" i="1"/>
  <c r="Y256" i="1" s="1"/>
  <c r="X261" i="1"/>
  <c r="Y261" i="1" s="1"/>
  <c r="X287" i="1"/>
  <c r="Y287" i="1" s="1"/>
  <c r="X373" i="1"/>
  <c r="Y373" i="1" s="1"/>
  <c r="X379" i="1"/>
  <c r="Y379" i="1" s="1"/>
  <c r="X417" i="1"/>
  <c r="Y417" i="1" s="1"/>
  <c r="X471" i="1"/>
  <c r="Y471" i="1" s="1"/>
  <c r="X474" i="1"/>
  <c r="Y474" i="1" s="1"/>
  <c r="X501" i="1"/>
  <c r="Y501" i="1" s="1"/>
  <c r="X119" i="1"/>
  <c r="Y119" i="1" s="1"/>
  <c r="X177" i="1"/>
  <c r="Y177" i="1" s="1"/>
  <c r="X188" i="1"/>
  <c r="Y188" i="1" s="1"/>
  <c r="X259" i="1"/>
  <c r="Y259" i="1" s="1"/>
  <c r="X293" i="1"/>
  <c r="Y293" i="1" s="1"/>
  <c r="X308" i="1"/>
  <c r="Y308" i="1" s="1"/>
  <c r="X186" i="1"/>
  <c r="Y186" i="1" s="1"/>
  <c r="X82" i="1"/>
  <c r="Y82" i="1" s="1"/>
  <c r="X164" i="1"/>
  <c r="Y164" i="1" s="1"/>
  <c r="X66" i="1"/>
  <c r="Y66" i="1" s="1"/>
  <c r="X98" i="1"/>
  <c r="Y98" i="1" s="1"/>
  <c r="X88" i="1"/>
  <c r="Y88" i="1" s="1"/>
  <c r="X151" i="1"/>
  <c r="Y151" i="1" s="1"/>
  <c r="X238" i="1"/>
  <c r="Y238" i="1" s="1"/>
  <c r="X497" i="1"/>
  <c r="Y497" i="1" s="1"/>
  <c r="X32" i="1"/>
  <c r="Y32" i="1" s="1"/>
  <c r="X54" i="1"/>
  <c r="Y54" i="1" s="1"/>
  <c r="X62" i="1"/>
  <c r="Y62" i="1" s="1"/>
  <c r="X71" i="1"/>
  <c r="Y71" i="1" s="1"/>
  <c r="X108" i="1"/>
  <c r="Y108" i="1" s="1"/>
  <c r="X155" i="1"/>
  <c r="Y155" i="1" s="1"/>
  <c r="X166" i="1"/>
  <c r="Y166" i="1" s="1"/>
  <c r="X193" i="1"/>
  <c r="Y193" i="1" s="1"/>
  <c r="X209" i="1"/>
  <c r="Y209" i="1" s="1"/>
  <c r="X248" i="1"/>
  <c r="Y248" i="1" s="1"/>
  <c r="X319" i="1"/>
  <c r="Y319" i="1" s="1"/>
  <c r="X325" i="1"/>
  <c r="Y325" i="1" s="1"/>
  <c r="X341" i="1"/>
  <c r="Y341" i="1" s="1"/>
  <c r="X396" i="1"/>
  <c r="Y396" i="1" s="1"/>
  <c r="X485" i="1"/>
  <c r="Y485" i="1" s="1"/>
  <c r="X493" i="1"/>
  <c r="Y493" i="1" s="1"/>
  <c r="X70" i="1"/>
  <c r="Y70" i="1" s="1"/>
  <c r="X52" i="1"/>
  <c r="Y52" i="1" s="1"/>
  <c r="X102" i="1"/>
  <c r="Y102" i="1" s="1"/>
  <c r="X125" i="1"/>
  <c r="Y125" i="1" s="1"/>
  <c r="X153" i="1"/>
  <c r="Y153" i="1" s="1"/>
  <c r="X199" i="1"/>
  <c r="Y199" i="1" s="1"/>
  <c r="X207" i="1"/>
  <c r="Y207" i="1" s="1"/>
  <c r="X225" i="1"/>
  <c r="Y225" i="1" s="1"/>
  <c r="X233" i="1"/>
  <c r="Y233" i="1" s="1"/>
  <c r="X274" i="1"/>
  <c r="Y274" i="1" s="1"/>
  <c r="X349" i="1"/>
  <c r="Y349" i="1" s="1"/>
  <c r="X431" i="1"/>
  <c r="Y431" i="1" s="1"/>
  <c r="X50" i="1"/>
  <c r="Y50" i="1" s="1"/>
  <c r="X149" i="1"/>
  <c r="Y149" i="1" s="1"/>
  <c r="X174" i="1"/>
  <c r="Y174" i="1" s="1"/>
  <c r="X303" i="1"/>
  <c r="Y303" i="1" s="1"/>
  <c r="X483" i="1"/>
  <c r="Y483" i="1" s="1"/>
  <c r="X496" i="1"/>
  <c r="Y496" i="1" s="1"/>
  <c r="X463" i="1"/>
  <c r="Y463" i="1" s="1"/>
  <c r="X27" i="1"/>
  <c r="Y27" i="1" s="1"/>
  <c r="X63" i="1"/>
  <c r="Y63" i="1" s="1"/>
  <c r="X183" i="1"/>
  <c r="Y183" i="1" s="1"/>
  <c r="X195" i="1"/>
  <c r="Y195" i="1" s="1"/>
  <c r="X197" i="1"/>
  <c r="Y197" i="1" s="1"/>
  <c r="X205" i="1"/>
  <c r="Y205" i="1" s="1"/>
  <c r="X216" i="1"/>
  <c r="Y216" i="1" s="1"/>
  <c r="X265" i="1"/>
  <c r="Y265" i="1" s="1"/>
  <c r="X121" i="1"/>
  <c r="Y121" i="1" s="1"/>
  <c r="X138" i="1"/>
  <c r="Y138" i="1" s="1"/>
  <c r="X425" i="1"/>
  <c r="Y425" i="1" s="1"/>
  <c r="X316" i="1"/>
  <c r="Y316" i="1" s="1"/>
  <c r="X106" i="1"/>
  <c r="Y106" i="1" s="1"/>
  <c r="X249" i="1"/>
  <c r="Y249" i="1" s="1"/>
  <c r="X457" i="1"/>
  <c r="Y457" i="1" s="1"/>
  <c r="X134" i="1"/>
  <c r="Y134" i="1" s="1"/>
  <c r="X179" i="1"/>
  <c r="Y179" i="1" s="1"/>
  <c r="X314" i="1"/>
  <c r="Y314" i="1" s="1"/>
  <c r="X477" i="1"/>
  <c r="Y477" i="1" s="1"/>
  <c r="X492" i="1"/>
  <c r="Y492" i="1" s="1"/>
  <c r="X246" i="1"/>
  <c r="Y246" i="1" s="1"/>
  <c r="X227" i="1"/>
  <c r="Y227" i="1" s="1"/>
  <c r="X242" i="1"/>
  <c r="Y242" i="1" s="1"/>
  <c r="X406" i="1"/>
  <c r="Y406" i="1" s="1"/>
  <c r="X182" i="1"/>
  <c r="Y182" i="1" s="1"/>
  <c r="X163" i="1"/>
  <c r="Y163" i="1" s="1"/>
  <c r="X252" i="1"/>
  <c r="Y252" i="1" s="1"/>
  <c r="X441" i="1"/>
  <c r="Y441" i="1" s="1"/>
  <c r="X10" i="1"/>
  <c r="Y10" i="1" s="1"/>
  <c r="X67" i="1"/>
  <c r="Y67" i="1" s="1"/>
  <c r="X191" i="1"/>
  <c r="Y191" i="1" s="1"/>
  <c r="X213" i="1"/>
  <c r="Y213" i="1" s="1"/>
  <c r="X377" i="1"/>
  <c r="Y377" i="1" s="1"/>
  <c r="X22" i="1"/>
  <c r="Y22" i="1" s="1"/>
  <c r="X6" i="1"/>
  <c r="Y6" i="1" s="1"/>
  <c r="X47" i="1"/>
  <c r="Y47" i="1" s="1"/>
  <c r="X60" i="1"/>
  <c r="Y60" i="1" s="1"/>
  <c r="X140" i="1"/>
  <c r="Y140" i="1" s="1"/>
  <c r="X168" i="1"/>
  <c r="Y168" i="1" s="1"/>
  <c r="X250" i="1"/>
  <c r="Y250" i="1" s="1"/>
  <c r="X282" i="1"/>
  <c r="Y282" i="1" s="1"/>
  <c r="X444" i="1"/>
  <c r="Y444" i="1" s="1"/>
  <c r="X57" i="1"/>
  <c r="Y57" i="1" s="1"/>
  <c r="X257" i="1"/>
  <c r="Y257" i="1" s="1"/>
  <c r="X339" i="1"/>
  <c r="Y339" i="1" s="1"/>
  <c r="X442" i="1"/>
  <c r="Y442" i="1" s="1"/>
  <c r="X458" i="1"/>
  <c r="Y458" i="1" s="1"/>
  <c r="X473" i="1"/>
  <c r="Y473" i="1" s="1"/>
  <c r="X387" i="1"/>
  <c r="Y387" i="1" s="1"/>
  <c r="X313" i="1"/>
  <c r="Y313" i="1" s="1"/>
  <c r="X329" i="1"/>
  <c r="Y329" i="1" s="1"/>
  <c r="X440" i="1"/>
  <c r="Y440" i="1" s="1"/>
  <c r="X89" i="1"/>
  <c r="Y89" i="1" s="1"/>
  <c r="X21" i="1"/>
  <c r="Y21" i="1" s="1"/>
  <c r="X251" i="1"/>
  <c r="Y251" i="1" s="1"/>
  <c r="X269" i="1"/>
  <c r="Y269" i="1" s="1"/>
  <c r="X284" i="1"/>
  <c r="Y284" i="1" s="1"/>
  <c r="X320" i="1"/>
  <c r="Y320" i="1" s="1"/>
  <c r="X385" i="1"/>
  <c r="Y385" i="1" s="1"/>
  <c r="X467" i="1"/>
  <c r="Y467" i="1" s="1"/>
  <c r="X169" i="1"/>
  <c r="Y169" i="1" s="1"/>
  <c r="X73" i="1"/>
  <c r="Y73" i="1" s="1"/>
  <c r="X105" i="1"/>
  <c r="Y105" i="1" s="1"/>
  <c r="X137" i="1"/>
  <c r="Y137" i="1" s="1"/>
  <c r="X171" i="1"/>
  <c r="Y171" i="1" s="1"/>
  <c r="X239" i="1"/>
  <c r="Y239" i="1" s="1"/>
  <c r="X367" i="1"/>
  <c r="Y367" i="1" s="1"/>
  <c r="X495" i="1"/>
  <c r="Y495" i="1" s="1"/>
  <c r="X185" i="1"/>
  <c r="Y185" i="1" s="1"/>
  <c r="X271" i="1"/>
  <c r="Y271" i="1" s="1"/>
  <c r="X399" i="1"/>
  <c r="Y399" i="1" s="1"/>
  <c r="X281" i="1"/>
  <c r="Y281" i="1" s="1"/>
  <c r="X283" i="1"/>
  <c r="Y283" i="1" s="1"/>
  <c r="X348" i="1"/>
  <c r="Y348" i="1" s="1"/>
  <c r="X409" i="1"/>
  <c r="Y409" i="1" s="1"/>
  <c r="X411" i="1"/>
  <c r="Y411" i="1" s="1"/>
  <c r="X476" i="1"/>
  <c r="Y476" i="1" s="1"/>
  <c r="X217" i="1"/>
  <c r="Y217" i="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6">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futureMetadata>
  <cellMetadata count="1">
    <bk>
      <rc t="1" v="0"/>
    </bk>
  </cellMetadata>
  <valueMetadata count="6">
    <bk>
      <rc t="2" v="0"/>
    </bk>
    <bk>
      <rc t="2" v="1"/>
    </bk>
    <bk>
      <rc t="2" v="2"/>
    </bk>
    <bk>
      <rc t="2" v="3"/>
    </bk>
    <bk>
      <rc t="2" v="4"/>
    </bk>
    <bk>
      <rc t="2" v="5"/>
    </bk>
  </valueMetadata>
</metadata>
</file>

<file path=xl/sharedStrings.xml><?xml version="1.0" encoding="utf-8"?>
<sst xmlns="http://schemas.openxmlformats.org/spreadsheetml/2006/main" count="13810" uniqueCount="2290">
  <si>
    <t>Customer_ID</t>
  </si>
  <si>
    <t>First_Name</t>
  </si>
  <si>
    <t>Last_Name</t>
  </si>
  <si>
    <t>Age</t>
  </si>
  <si>
    <t>Gender</t>
  </si>
  <si>
    <t>City</t>
  </si>
  <si>
    <t>Email</t>
  </si>
  <si>
    <t>Address</t>
  </si>
  <si>
    <t>Order_ID</t>
  </si>
  <si>
    <t>Order_Date</t>
  </si>
  <si>
    <t>Order_Time</t>
  </si>
  <si>
    <t>Product_ID</t>
  </si>
  <si>
    <t>Price</t>
  </si>
  <si>
    <t>Quantity</t>
  </si>
  <si>
    <t>Coupon_Code</t>
  </si>
  <si>
    <t>Estimated_Days_to_Deliver</t>
  </si>
  <si>
    <t>Delivery_Charge</t>
  </si>
  <si>
    <t>Delivery_Date</t>
  </si>
  <si>
    <t>Delivery_Time</t>
  </si>
  <si>
    <t>Day_Delivery</t>
  </si>
  <si>
    <t>Amount</t>
  </si>
  <si>
    <t>Discount_Percentage</t>
  </si>
  <si>
    <t>Discount_Amount</t>
  </si>
  <si>
    <t xml:space="preserve">Amount_with_Delivery_Charge </t>
  </si>
  <si>
    <t>Full_Name</t>
  </si>
  <si>
    <t>Delivery_Status</t>
  </si>
  <si>
    <t>CID186</t>
  </si>
  <si>
    <t>Anne</t>
  </si>
  <si>
    <t>Oconnell</t>
  </si>
  <si>
    <t>Male</t>
  </si>
  <si>
    <t>Phoenix</t>
  </si>
  <si>
    <t>anne.oconnell@outlook.com</t>
  </si>
  <si>
    <t>2850 Matthew Ford, North Yolandachester, FL 67488</t>
  </si>
  <si>
    <t>OID2497</t>
  </si>
  <si>
    <t>18:16:33</t>
  </si>
  <si>
    <t>PID022</t>
  </si>
  <si>
    <t>FLAT8</t>
  </si>
  <si>
    <t>08:51:31</t>
  </si>
  <si>
    <t>CID150</t>
  </si>
  <si>
    <t>Anthony</t>
  </si>
  <si>
    <t>Thomas</t>
  </si>
  <si>
    <t>Female</t>
  </si>
  <si>
    <t>Houston</t>
  </si>
  <si>
    <t>anthony.thomas@rediffmail.com</t>
  </si>
  <si>
    <t>931 Christopher Ways Suite 833, North Michelle, IN 53484</t>
  </si>
  <si>
    <t>OID7056</t>
  </si>
  <si>
    <t>01:46:33</t>
  </si>
  <si>
    <t>PID015</t>
  </si>
  <si>
    <t>18:46:26</t>
  </si>
  <si>
    <t>CID115</t>
  </si>
  <si>
    <t>Karl</t>
  </si>
  <si>
    <t>Gallagher</t>
  </si>
  <si>
    <t>Other</t>
  </si>
  <si>
    <t>karl.gallagher@rediffmail.com</t>
  </si>
  <si>
    <t>5016 Snow Mountains Apt. 063, New Seanport, WY 41492</t>
  </si>
  <si>
    <t>OID7502</t>
  </si>
  <si>
    <t>07:31:36</t>
  </si>
  <si>
    <t>PID023</t>
  </si>
  <si>
    <t>FLAT15</t>
  </si>
  <si>
    <t>14:29:50</t>
  </si>
  <si>
    <t>OID7077</t>
  </si>
  <si>
    <t>18:29:21</t>
  </si>
  <si>
    <t>PID031</t>
  </si>
  <si>
    <t>DEL0</t>
  </si>
  <si>
    <t>07:00:32</t>
  </si>
  <si>
    <t>CID149</t>
  </si>
  <si>
    <t>Angela</t>
  </si>
  <si>
    <t>Horne</t>
  </si>
  <si>
    <t>angela.horne@outlook.com</t>
  </si>
  <si>
    <t>USNV Mueller, FPO AP 54648</t>
  </si>
  <si>
    <t>OID2793</t>
  </si>
  <si>
    <t>03:23:21</t>
  </si>
  <si>
    <t>22:10:58</t>
  </si>
  <si>
    <t>CID159</t>
  </si>
  <si>
    <t>Christine</t>
  </si>
  <si>
    <t>West</t>
  </si>
  <si>
    <t>New York</t>
  </si>
  <si>
    <t>christine.west@gmail.com</t>
  </si>
  <si>
    <t>Unit 1433 Box 0246, DPO AP 94952</t>
  </si>
  <si>
    <t>OID1483</t>
  </si>
  <si>
    <t>16:55:06</t>
  </si>
  <si>
    <t>PID043</t>
  </si>
  <si>
    <t>11:25:50</t>
  </si>
  <si>
    <t>OID4105</t>
  </si>
  <si>
    <t>09:47:21</t>
  </si>
  <si>
    <t>FLAT20</t>
  </si>
  <si>
    <t>20:10:50</t>
  </si>
  <si>
    <t>CID198</t>
  </si>
  <si>
    <t>David</t>
  </si>
  <si>
    <t>Delacruz</t>
  </si>
  <si>
    <t>Los Angeles</t>
  </si>
  <si>
    <t>david.delacruz@rediffmail.com</t>
  </si>
  <si>
    <t>USNS Ray, FPO AE 20238</t>
  </si>
  <si>
    <t>OID4372</t>
  </si>
  <si>
    <t>19:27:45</t>
  </si>
  <si>
    <t>PID046</t>
  </si>
  <si>
    <t>FLAT10</t>
  </si>
  <si>
    <t>12:36:32</t>
  </si>
  <si>
    <t>CID152</t>
  </si>
  <si>
    <t>Marcus</t>
  </si>
  <si>
    <t>Valenzuela</t>
  </si>
  <si>
    <t>marcus.valenzuela@yahoo.com</t>
  </si>
  <si>
    <t>694 Graham Prairie Apt. 887, Jimenezfurt, MI 33044</t>
  </si>
  <si>
    <t>OID3528</t>
  </si>
  <si>
    <t>12:07:00</t>
  </si>
  <si>
    <t>PID034</t>
  </si>
  <si>
    <t>23:05:41</t>
  </si>
  <si>
    <t>CID130</t>
  </si>
  <si>
    <t>Debra</t>
  </si>
  <si>
    <t>Rodriguez</t>
  </si>
  <si>
    <t>debra.rodriguez@rediffmail.com</t>
  </si>
  <si>
    <t>Unit 5964 Box 0721, DPO AP 01840</t>
  </si>
  <si>
    <t>OID9634</t>
  </si>
  <si>
    <t>13:46:47</t>
  </si>
  <si>
    <t>PID033</t>
  </si>
  <si>
    <t>19:57:06</t>
  </si>
  <si>
    <t>OID1905</t>
  </si>
  <si>
    <t>17:21:43</t>
  </si>
  <si>
    <t>08:00:35</t>
  </si>
  <si>
    <t>CID101</t>
  </si>
  <si>
    <t>Bobby</t>
  </si>
  <si>
    <t>Forbes</t>
  </si>
  <si>
    <t>bobby.forbes@gmail.com</t>
  </si>
  <si>
    <t>3079 John Parkway Suite 961, Port Kristaview, MT 91019</t>
  </si>
  <si>
    <t>OID3136</t>
  </si>
  <si>
    <t>15:09:49</t>
  </si>
  <si>
    <t>PID007</t>
  </si>
  <si>
    <t>22:54:40</t>
  </si>
  <si>
    <t>CID105</t>
  </si>
  <si>
    <t>Joseph</t>
  </si>
  <si>
    <t>Stewart</t>
  </si>
  <si>
    <t>joseph.stewart@yahoo.com</t>
  </si>
  <si>
    <t>4082 Wang Terrace Suite 040, Victorialand, ME 41532</t>
  </si>
  <si>
    <t>OID6886</t>
  </si>
  <si>
    <t>22:42:51</t>
  </si>
  <si>
    <t>PID042</t>
  </si>
  <si>
    <t>13:19:45</t>
  </si>
  <si>
    <t>CID172</t>
  </si>
  <si>
    <t>Kara</t>
  </si>
  <si>
    <t>Brennan</t>
  </si>
  <si>
    <t>Miami</t>
  </si>
  <si>
    <t>kara.brennan@outlook.com</t>
  </si>
  <si>
    <t>2174 Thomas Avenue, Maciasborough, NJ 41465</t>
  </si>
  <si>
    <t>OID3509</t>
  </si>
  <si>
    <t>14:52:54</t>
  </si>
  <si>
    <t>PID047</t>
  </si>
  <si>
    <t>15:16:54</t>
  </si>
  <si>
    <t>CID178</t>
  </si>
  <si>
    <t>Amy</t>
  </si>
  <si>
    <t>Reid</t>
  </si>
  <si>
    <t>amy.reid@rediffmail.com</t>
  </si>
  <si>
    <t>6262 Simpson Village, North Danielle, RI 76074</t>
  </si>
  <si>
    <t>OID3689</t>
  </si>
  <si>
    <t>01:19:56</t>
  </si>
  <si>
    <t>PID039</t>
  </si>
  <si>
    <t>21:47:03</t>
  </si>
  <si>
    <t>CID176</t>
  </si>
  <si>
    <t>Joshua</t>
  </si>
  <si>
    <t>Campbell</t>
  </si>
  <si>
    <t>Chicago</t>
  </si>
  <si>
    <t>joshua.campbell@gmail.com</t>
  </si>
  <si>
    <t>70426 Lindsey Overpass Apt. 030, Jessicafurt, AR 46269</t>
  </si>
  <si>
    <t>OID1911</t>
  </si>
  <si>
    <t>04:13:27</t>
  </si>
  <si>
    <t>11:25:46</t>
  </si>
  <si>
    <t>CID148</t>
  </si>
  <si>
    <t>Erin</t>
  </si>
  <si>
    <t>Miller</t>
  </si>
  <si>
    <t>San Francisco</t>
  </si>
  <si>
    <t>erin.miller@gmail.com</t>
  </si>
  <si>
    <t>65972 Peterson Route, Port Andrewfurt, SD 32892</t>
  </si>
  <si>
    <t>OID6520</t>
  </si>
  <si>
    <t>23:53:21</t>
  </si>
  <si>
    <t>PID014</t>
  </si>
  <si>
    <t>12:55:59</t>
  </si>
  <si>
    <t>CID137</t>
  </si>
  <si>
    <t>Gina</t>
  </si>
  <si>
    <t>Moreno</t>
  </si>
  <si>
    <t>gina.moreno@rediffmail.com</t>
  </si>
  <si>
    <t>USS Murray, FPO AP 66559</t>
  </si>
  <si>
    <t>OID6123</t>
  </si>
  <si>
    <t>19:16:28</t>
  </si>
  <si>
    <t>PID024</t>
  </si>
  <si>
    <t>03:46:23</t>
  </si>
  <si>
    <t>CID147</t>
  </si>
  <si>
    <t>Mallory</t>
  </si>
  <si>
    <t>Mitchell</t>
  </si>
  <si>
    <t>mallory.mitchell@yahoo.com</t>
  </si>
  <si>
    <t>710 Anthony Wall Suite 137, East Davidstad, NV 61494</t>
  </si>
  <si>
    <t>OID1699</t>
  </si>
  <si>
    <t>11:48:17</t>
  </si>
  <si>
    <t>10:08:54</t>
  </si>
  <si>
    <t>CID128</t>
  </si>
  <si>
    <t>Traci</t>
  </si>
  <si>
    <t>Jones</t>
  </si>
  <si>
    <t>traci.jones@yahoo.com</t>
  </si>
  <si>
    <t>4016 Ryan Passage, Collinsside, PA 88777</t>
  </si>
  <si>
    <t>OID3792</t>
  </si>
  <si>
    <t>06:34:00</t>
  </si>
  <si>
    <t>PID003</t>
  </si>
  <si>
    <t>14:05:20</t>
  </si>
  <si>
    <t>CID168</t>
  </si>
  <si>
    <t>Deborah</t>
  </si>
  <si>
    <t>Bates</t>
  </si>
  <si>
    <t>deborah.bates@yahoo.com</t>
  </si>
  <si>
    <t>278 Kathy Estate, Saraville, OH 77292</t>
  </si>
  <si>
    <t>OID7663</t>
  </si>
  <si>
    <t>04:06:55</t>
  </si>
  <si>
    <t>13:39:21</t>
  </si>
  <si>
    <t>CID179</t>
  </si>
  <si>
    <t>Christian</t>
  </si>
  <si>
    <t>Clayton</t>
  </si>
  <si>
    <t>christian.clayton@yahoo.com</t>
  </si>
  <si>
    <t>065 Madison Way, Smithstad, CT 68011</t>
  </si>
  <si>
    <t>OID7609</t>
  </si>
  <si>
    <t>10:38:12</t>
  </si>
  <si>
    <t>13:23:35</t>
  </si>
  <si>
    <t>CID163</t>
  </si>
  <si>
    <t>Mark</t>
  </si>
  <si>
    <t>Henderson</t>
  </si>
  <si>
    <t>Dallas</t>
  </si>
  <si>
    <t>mark.henderson@yahoo.com</t>
  </si>
  <si>
    <t>90155 Hines Spring, North Theresafurt, ME 31920</t>
  </si>
  <si>
    <t>OID8875</t>
  </si>
  <si>
    <t>20:47:13</t>
  </si>
  <si>
    <t>PID008</t>
  </si>
  <si>
    <t>16:23:04</t>
  </si>
  <si>
    <t>CID182</t>
  </si>
  <si>
    <t>John</t>
  </si>
  <si>
    <t>Herrera</t>
  </si>
  <si>
    <t>john.herrera@outlook.com</t>
  </si>
  <si>
    <t>61263 Jacob Isle, Amandatown, TN 34321</t>
  </si>
  <si>
    <t>OID4032</t>
  </si>
  <si>
    <t>08:09:52</t>
  </si>
  <si>
    <t>PID012</t>
  </si>
  <si>
    <t>00:57:21</t>
  </si>
  <si>
    <t>CID158</t>
  </si>
  <si>
    <t>Evans</t>
  </si>
  <si>
    <t>angela.evans@outlook.com</t>
  </si>
  <si>
    <t>16031 David Mountain Suite 431, Susanborough, PA 01910</t>
  </si>
  <si>
    <t>OID9964</t>
  </si>
  <si>
    <t>19:13:06</t>
  </si>
  <si>
    <t>PID028</t>
  </si>
  <si>
    <t>04:38:19</t>
  </si>
  <si>
    <t>OID2121</t>
  </si>
  <si>
    <t>06:04:50</t>
  </si>
  <si>
    <t>PID030</t>
  </si>
  <si>
    <t>20:36:00</t>
  </si>
  <si>
    <t>OID4710</t>
  </si>
  <si>
    <t>17:44:17</t>
  </si>
  <si>
    <t>PID026</t>
  </si>
  <si>
    <t>09:53:18</t>
  </si>
  <si>
    <t>OID4295</t>
  </si>
  <si>
    <t>18:58:15</t>
  </si>
  <si>
    <t>02:21:23</t>
  </si>
  <si>
    <t>CID193</t>
  </si>
  <si>
    <t>Ashley</t>
  </si>
  <si>
    <t>Rose</t>
  </si>
  <si>
    <t>ashley.rose@gmail.com</t>
  </si>
  <si>
    <t>424 Nichols Curve Suite 177, Lake Brianview, TX 17289</t>
  </si>
  <si>
    <t>OID2817</t>
  </si>
  <si>
    <t>12:22:52</t>
  </si>
  <si>
    <t>08:01:21</t>
  </si>
  <si>
    <t>CID166</t>
  </si>
  <si>
    <t>Taylor</t>
  </si>
  <si>
    <t>Davis</t>
  </si>
  <si>
    <t>taylor.davis@yahoo.com</t>
  </si>
  <si>
    <t>USCGC Simmons, FPO AA 60167</t>
  </si>
  <si>
    <t>OID4643</t>
  </si>
  <si>
    <t>00:40:20</t>
  </si>
  <si>
    <t>PID018</t>
  </si>
  <si>
    <t>20:26:25</t>
  </si>
  <si>
    <t>CID191</t>
  </si>
  <si>
    <t>Lauren</t>
  </si>
  <si>
    <t>Long</t>
  </si>
  <si>
    <t>lauren.long@gmail.com</t>
  </si>
  <si>
    <t>258 Michael Brooks Suite 363, Arnoldview, PA 49438</t>
  </si>
  <si>
    <t>OID4558</t>
  </si>
  <si>
    <t>21:19:14</t>
  </si>
  <si>
    <t>17:27:57</t>
  </si>
  <si>
    <t>CID108</t>
  </si>
  <si>
    <t>Teresa</t>
  </si>
  <si>
    <t>Harvey</t>
  </si>
  <si>
    <t>teresa.harvey@gmail.com</t>
  </si>
  <si>
    <t>02669 Kirk Squares, Davisville, VA 51272</t>
  </si>
  <si>
    <t>OID9577</t>
  </si>
  <si>
    <t>10:35:41</t>
  </si>
  <si>
    <t>PID036</t>
  </si>
  <si>
    <t>09:28:47</t>
  </si>
  <si>
    <t>OID5502</t>
  </si>
  <si>
    <t>13:50:14</t>
  </si>
  <si>
    <t>PID050</t>
  </si>
  <si>
    <t>08:49:03</t>
  </si>
  <si>
    <t>CID161</t>
  </si>
  <si>
    <t>Heather</t>
  </si>
  <si>
    <t>Schneider</t>
  </si>
  <si>
    <t>heather.schneider@outlook.com</t>
  </si>
  <si>
    <t>57940 Susan Creek Apt. 541, Port Aliciamouth, OR 90221</t>
  </si>
  <si>
    <t>OID6974</t>
  </si>
  <si>
    <t>01:48:02</t>
  </si>
  <si>
    <t>09:55:32</t>
  </si>
  <si>
    <t>CID190</t>
  </si>
  <si>
    <t>Valerie</t>
  </si>
  <si>
    <t>Carr</t>
  </si>
  <si>
    <t>valerie.carr@rediffmail.com</t>
  </si>
  <si>
    <t>981 Emily Stream, South Brianna, CO 98063</t>
  </si>
  <si>
    <t>OID2701</t>
  </si>
  <si>
    <t>14:37:48</t>
  </si>
  <si>
    <t>PID021</t>
  </si>
  <si>
    <t>09:09:46</t>
  </si>
  <si>
    <t>OID4432</t>
  </si>
  <si>
    <t>05:01:37</t>
  </si>
  <si>
    <t>14:14:46</t>
  </si>
  <si>
    <t>OID3502</t>
  </si>
  <si>
    <t>12:35:46</t>
  </si>
  <si>
    <t>00:00:51</t>
  </si>
  <si>
    <t>CID120</t>
  </si>
  <si>
    <t>Jenny</t>
  </si>
  <si>
    <t>Estrada</t>
  </si>
  <si>
    <t>jenny.estrada@yahoo.com</t>
  </si>
  <si>
    <t>792 Carlos Islands, West David, CT 16522</t>
  </si>
  <si>
    <t>OID4411</t>
  </si>
  <si>
    <t>23:34:14</t>
  </si>
  <si>
    <t>PID027</t>
  </si>
  <si>
    <t>16:46:20</t>
  </si>
  <si>
    <t>CID155</t>
  </si>
  <si>
    <t>Courtney</t>
  </si>
  <si>
    <t>Parker</t>
  </si>
  <si>
    <t>courtney.parker@yahoo.com</t>
  </si>
  <si>
    <t>087 Jacqueline Rue Apt. 694, East Tasha, SC 04859</t>
  </si>
  <si>
    <t>OID6304</t>
  </si>
  <si>
    <t>04:09:40</t>
  </si>
  <si>
    <t>01:56:00</t>
  </si>
  <si>
    <t>CID121</t>
  </si>
  <si>
    <t>Julie</t>
  </si>
  <si>
    <t>Meyer</t>
  </si>
  <si>
    <t>julie.meyer@yahoo.com</t>
  </si>
  <si>
    <t>17381 Smith Ramp Suite 398, Courtneyville, AL 17756</t>
  </si>
  <si>
    <t>OID5126</t>
  </si>
  <si>
    <t>04:03:43</t>
  </si>
  <si>
    <t>PID037</t>
  </si>
  <si>
    <t>18:12:43</t>
  </si>
  <si>
    <t>OID8577</t>
  </si>
  <si>
    <t>00:47:19</t>
  </si>
  <si>
    <t>PID041</t>
  </si>
  <si>
    <t>11:25:58</t>
  </si>
  <si>
    <t>OID7688</t>
  </si>
  <si>
    <t>12:37:23</t>
  </si>
  <si>
    <t>09:02:09</t>
  </si>
  <si>
    <t>CID133</t>
  </si>
  <si>
    <t>Donna</t>
  </si>
  <si>
    <t>Oneill</t>
  </si>
  <si>
    <t>donna.oneill@yahoo.com</t>
  </si>
  <si>
    <t>464 Carolyn Crest Suite 738, Lake Isaiah, CA 66153</t>
  </si>
  <si>
    <t>OID4670</t>
  </si>
  <si>
    <t>17:27:33</t>
  </si>
  <si>
    <t>PID004</t>
  </si>
  <si>
    <t>15:28:39</t>
  </si>
  <si>
    <t>CID169</t>
  </si>
  <si>
    <t>Robert</t>
  </si>
  <si>
    <t>Castillo</t>
  </si>
  <si>
    <t>robert.castillo@gmail.com</t>
  </si>
  <si>
    <t>7143 Brandon Skyway Suite 899, Tylerton, IA 21756</t>
  </si>
  <si>
    <t>OID3319</t>
  </si>
  <si>
    <t>01:59:03</t>
  </si>
  <si>
    <t>12:37:05</t>
  </si>
  <si>
    <t>CID132</t>
  </si>
  <si>
    <t>Timothy</t>
  </si>
  <si>
    <t>Hicks</t>
  </si>
  <si>
    <t>timothy.hicks@gmail.com</t>
  </si>
  <si>
    <t>140 Tracy Fields, Lake Cynthiaton, TX 57190</t>
  </si>
  <si>
    <t>OID6911</t>
  </si>
  <si>
    <t>21:46:52</t>
  </si>
  <si>
    <t>16:09:29</t>
  </si>
  <si>
    <t>CID180</t>
  </si>
  <si>
    <t>Andersen</t>
  </si>
  <si>
    <t>thomas.andersen@yahoo.com</t>
  </si>
  <si>
    <t>480 Summers Lock Suite 819, Sarahborough, IA 59863</t>
  </si>
  <si>
    <t>OID8494</t>
  </si>
  <si>
    <t>18:49:59</t>
  </si>
  <si>
    <t>00:31:21</t>
  </si>
  <si>
    <t>OID6898</t>
  </si>
  <si>
    <t>22:08:17</t>
  </si>
  <si>
    <t>PID020</t>
  </si>
  <si>
    <t>06:23:07</t>
  </si>
  <si>
    <t>CID184</t>
  </si>
  <si>
    <t>Aaron</t>
  </si>
  <si>
    <t>Thompson</t>
  </si>
  <si>
    <t>aaron.thompson@gmail.com</t>
  </si>
  <si>
    <t>PSC 0550, Box 2737, APO AE 75772</t>
  </si>
  <si>
    <t>OID7606</t>
  </si>
  <si>
    <t>19:20:51</t>
  </si>
  <si>
    <t>07:23:46</t>
  </si>
  <si>
    <t>CID187</t>
  </si>
  <si>
    <t>Jason</t>
  </si>
  <si>
    <t>Lopez</t>
  </si>
  <si>
    <t>jason.lopez@outlook.com</t>
  </si>
  <si>
    <t>934 Levine View, Brentport, NE 38210</t>
  </si>
  <si>
    <t>OID6503</t>
  </si>
  <si>
    <t>00:57:17</t>
  </si>
  <si>
    <t>09:51:58</t>
  </si>
  <si>
    <t>CID181</t>
  </si>
  <si>
    <t>Alexandra</t>
  </si>
  <si>
    <t>Smith</t>
  </si>
  <si>
    <t>alexandra.smith@rediffmail.com</t>
  </si>
  <si>
    <t>48611 Clark Village, West Anne, GA 92865</t>
  </si>
  <si>
    <t>OID3616</t>
  </si>
  <si>
    <t>04:25:34</t>
  </si>
  <si>
    <t>00:47:31</t>
  </si>
  <si>
    <t>OID2170</t>
  </si>
  <si>
    <t>07:52:23</t>
  </si>
  <si>
    <t>17:14:10</t>
  </si>
  <si>
    <t>CID116</t>
  </si>
  <si>
    <t>Ramirez</t>
  </si>
  <si>
    <t>john.ramirez@outlook.com</t>
  </si>
  <si>
    <t>02797 Martin Landing, South Michelle, VT 98781</t>
  </si>
  <si>
    <t>OID1956</t>
  </si>
  <si>
    <t>15:34:34</t>
  </si>
  <si>
    <t>PID010</t>
  </si>
  <si>
    <t>01:12:58</t>
  </si>
  <si>
    <t>CID135</t>
  </si>
  <si>
    <t>Amanda</t>
  </si>
  <si>
    <t>Howard</t>
  </si>
  <si>
    <t>amanda.howard@outlook.com</t>
  </si>
  <si>
    <t>56908 Sydney Park Suite 632, West Anthonyport, NC 15954</t>
  </si>
  <si>
    <t>OID8620</t>
  </si>
  <si>
    <t>01:45:28</t>
  </si>
  <si>
    <t>07:09:53</t>
  </si>
  <si>
    <t>OID4770</t>
  </si>
  <si>
    <t>12:30:02</t>
  </si>
  <si>
    <t>PID001</t>
  </si>
  <si>
    <t>07:53:31</t>
  </si>
  <si>
    <t>OID9880</t>
  </si>
  <si>
    <t>04:32:42</t>
  </si>
  <si>
    <t>08:48:02</t>
  </si>
  <si>
    <t>CID165</t>
  </si>
  <si>
    <t>Mary</t>
  </si>
  <si>
    <t>Knight</t>
  </si>
  <si>
    <t>mary.knight@yahoo.com</t>
  </si>
  <si>
    <t>907 Kimberly Hill, Murrayfort, NH 88384</t>
  </si>
  <si>
    <t>OID2152</t>
  </si>
  <si>
    <t>14:13:38</t>
  </si>
  <si>
    <t>16:08:19</t>
  </si>
  <si>
    <t>CID126</t>
  </si>
  <si>
    <t>Rogers</t>
  </si>
  <si>
    <t>marcus.rogers@outlook.com</t>
  </si>
  <si>
    <t>06912 Brown Pine Apt. 763, Teresamouth, HI 24377</t>
  </si>
  <si>
    <t>OID2991</t>
  </si>
  <si>
    <t>02:09:48</t>
  </si>
  <si>
    <t>03:08:52</t>
  </si>
  <si>
    <t>CID111</t>
  </si>
  <si>
    <t>Brian</t>
  </si>
  <si>
    <t>Kennedy</t>
  </si>
  <si>
    <t>brian.kennedy@outlook.com</t>
  </si>
  <si>
    <t>25126 Nancy Fort Suite 568, Alexandrachester, AZ 44823</t>
  </si>
  <si>
    <t>OID5607</t>
  </si>
  <si>
    <t>16:10:50</t>
  </si>
  <si>
    <t>15:21:29</t>
  </si>
  <si>
    <t>CID129</t>
  </si>
  <si>
    <t>Rebecca</t>
  </si>
  <si>
    <t>Figueroa</t>
  </si>
  <si>
    <t>rebecca.figueroa@outlook.com</t>
  </si>
  <si>
    <t>3959 Bell Dale, North Jacob, LA 07934</t>
  </si>
  <si>
    <t>OID8169</t>
  </si>
  <si>
    <t>09:43:27</t>
  </si>
  <si>
    <t>00:00:42</t>
  </si>
  <si>
    <t>CID199</t>
  </si>
  <si>
    <t>Lori</t>
  </si>
  <si>
    <t>Cook</t>
  </si>
  <si>
    <t>lori.cook@rediffmail.com</t>
  </si>
  <si>
    <t>86837 Bell Meadows, North Jasonshire, UT 51354</t>
  </si>
  <si>
    <t>OID5832</t>
  </si>
  <si>
    <t>02:34:25</t>
  </si>
  <si>
    <t>PID019</t>
  </si>
  <si>
    <t>13:09:47</t>
  </si>
  <si>
    <t>CID134</t>
  </si>
  <si>
    <t>Hayes</t>
  </si>
  <si>
    <t>debra.hayes@yahoo.com</t>
  </si>
  <si>
    <t>4601 Miller Lock, Williamsbury, IA 10943</t>
  </si>
  <si>
    <t>OID7806</t>
  </si>
  <si>
    <t>02:46:19</t>
  </si>
  <si>
    <t>PID009</t>
  </si>
  <si>
    <t>20:00:32</t>
  </si>
  <si>
    <t>CID136</t>
  </si>
  <si>
    <t>Brittany</t>
  </si>
  <si>
    <t>brittany.stewart@gmail.com</t>
  </si>
  <si>
    <t>6250 David Loaf Suite 561, North Pamelaberg, WV 63652</t>
  </si>
  <si>
    <t>OID4875</t>
  </si>
  <si>
    <t>18:25:37</t>
  </si>
  <si>
    <t>15:52:25</t>
  </si>
  <si>
    <t>CID153</t>
  </si>
  <si>
    <t>mitchell.parker@yahoo.com</t>
  </si>
  <si>
    <t>PSC 3316, Box 9303, APO AE 29513</t>
  </si>
  <si>
    <t>OID4070</t>
  </si>
  <si>
    <t>19:18:19</t>
  </si>
  <si>
    <t>PID038</t>
  </si>
  <si>
    <t>02:44:55</t>
  </si>
  <si>
    <t>OID7679</t>
  </si>
  <si>
    <t>09:15:50</t>
  </si>
  <si>
    <t>09:05:06</t>
  </si>
  <si>
    <t>CID100</t>
  </si>
  <si>
    <t>Sharon</t>
  </si>
  <si>
    <t>sharon.thompson@yahoo.com</t>
  </si>
  <si>
    <t>598 Jasmine Harbor, Turnerberg, SD 02371</t>
  </si>
  <si>
    <t>OID3097</t>
  </si>
  <si>
    <t>02:51:35</t>
  </si>
  <si>
    <t>05:56:26</t>
  </si>
  <si>
    <t>CID195</t>
  </si>
  <si>
    <t>Sarah</t>
  </si>
  <si>
    <t>Butler</t>
  </si>
  <si>
    <t>sarah.butler@rediffmail.com</t>
  </si>
  <si>
    <t>14131 Edwin Shore Apt. 190, Deniseberg, MD 90905</t>
  </si>
  <si>
    <t>OID8869</t>
  </si>
  <si>
    <t>20:59:40</t>
  </si>
  <si>
    <t>PID048</t>
  </si>
  <si>
    <t>23:33:51</t>
  </si>
  <si>
    <t>OID2686</t>
  </si>
  <si>
    <t>17:00:22</t>
  </si>
  <si>
    <t>PID049</t>
  </si>
  <si>
    <t>12:18:47</t>
  </si>
  <si>
    <t>CID175</t>
  </si>
  <si>
    <t>Katherine</t>
  </si>
  <si>
    <t>Weber</t>
  </si>
  <si>
    <t>katherine.weber@outlook.com</t>
  </si>
  <si>
    <t>04887 Kimberly Union Apt. 645, Port Laura, IL 97219</t>
  </si>
  <si>
    <t>OID1046</t>
  </si>
  <si>
    <t>22:51:56</t>
  </si>
  <si>
    <t>07:24:20</t>
  </si>
  <si>
    <t>CID103</t>
  </si>
  <si>
    <t>Nguyen</t>
  </si>
  <si>
    <t>jason.nguyen@yahoo.com</t>
  </si>
  <si>
    <t>7112 Travis Glens Suite 790, Crystalland, WV 38373</t>
  </si>
  <si>
    <t>OID8953</t>
  </si>
  <si>
    <t>12:19:34</t>
  </si>
  <si>
    <t>10:04:54</t>
  </si>
  <si>
    <t>CID192</t>
  </si>
  <si>
    <t>Brandon</t>
  </si>
  <si>
    <t>Cruz</t>
  </si>
  <si>
    <t>brandon.cruz@gmail.com</t>
  </si>
  <si>
    <t>9296 Villanueva Branch, East Kevin, CO 93912</t>
  </si>
  <si>
    <t>OID1157</t>
  </si>
  <si>
    <t>15:26:04</t>
  </si>
  <si>
    <t>08:17:58</t>
  </si>
  <si>
    <t>OID7358</t>
  </si>
  <si>
    <t>19:49:32</t>
  </si>
  <si>
    <t>22:41:33</t>
  </si>
  <si>
    <t>CID174</t>
  </si>
  <si>
    <t>Jodi</t>
  </si>
  <si>
    <t>Whitney</t>
  </si>
  <si>
    <t>jodi.whitney@yahoo.com</t>
  </si>
  <si>
    <t>72876 Lara Key Suite 383, Gutierrezton, OR 71683</t>
  </si>
  <si>
    <t>OID7453</t>
  </si>
  <si>
    <t>21:08:59</t>
  </si>
  <si>
    <t>PID017</t>
  </si>
  <si>
    <t>10:39:08</t>
  </si>
  <si>
    <t>OID1573</t>
  </si>
  <si>
    <t>05:40:38</t>
  </si>
  <si>
    <t>05:38:59</t>
  </si>
  <si>
    <t>OID5696</t>
  </si>
  <si>
    <t>17:56:01</t>
  </si>
  <si>
    <t>15:52:42</t>
  </si>
  <si>
    <t>OID3467</t>
  </si>
  <si>
    <t>23:34:28</t>
  </si>
  <si>
    <t>PID016</t>
  </si>
  <si>
    <t>02:05:20</t>
  </si>
  <si>
    <t>OID8542</t>
  </si>
  <si>
    <t>03:04:26</t>
  </si>
  <si>
    <t>16:05:07</t>
  </si>
  <si>
    <t>OID1520</t>
  </si>
  <si>
    <t>04:27:04</t>
  </si>
  <si>
    <t>07:38:34</t>
  </si>
  <si>
    <t>OID2157</t>
  </si>
  <si>
    <t>23:24:39</t>
  </si>
  <si>
    <t>PID006</t>
  </si>
  <si>
    <t>01:07:36</t>
  </si>
  <si>
    <t>CID145</t>
  </si>
  <si>
    <t>Romero</t>
  </si>
  <si>
    <t>ashley.romero@yahoo.com</t>
  </si>
  <si>
    <t>547 Kerry Expressway, Lake Amanda, AR 20321</t>
  </si>
  <si>
    <t>OID6374</t>
  </si>
  <si>
    <t>18:54:33</t>
  </si>
  <si>
    <t>16:14:09</t>
  </si>
  <si>
    <t>OID6555</t>
  </si>
  <si>
    <t>10:55:08</t>
  </si>
  <si>
    <t>10:56:05</t>
  </si>
  <si>
    <t>OID5850</t>
  </si>
  <si>
    <t>19:40:45</t>
  </si>
  <si>
    <t>20:24:13</t>
  </si>
  <si>
    <t>OID8041</t>
  </si>
  <si>
    <t>02:08:49</t>
  </si>
  <si>
    <t>PID025</t>
  </si>
  <si>
    <t>15:38:07</t>
  </si>
  <si>
    <t>CID144</t>
  </si>
  <si>
    <t>William</t>
  </si>
  <si>
    <t>Mann</t>
  </si>
  <si>
    <t>william.mann@yahoo.com</t>
  </si>
  <si>
    <t>849 Tran Wells, New Lindsayville, WI 22669</t>
  </si>
  <si>
    <t>OID5605</t>
  </si>
  <si>
    <t>01:05:15</t>
  </si>
  <si>
    <t>13:48:26</t>
  </si>
  <si>
    <t>OID8388</t>
  </si>
  <si>
    <t>04:27:02</t>
  </si>
  <si>
    <t>09:07:52</t>
  </si>
  <si>
    <t>CID125</t>
  </si>
  <si>
    <t>Kelli</t>
  </si>
  <si>
    <t>kelli.smith@rediffmail.com</t>
  </si>
  <si>
    <t>788 Kristina Lane, Montoyaside, VA 90756</t>
  </si>
  <si>
    <t>OID5787</t>
  </si>
  <si>
    <t>15:22:10</t>
  </si>
  <si>
    <t>13:15:51</t>
  </si>
  <si>
    <t>OID3140</t>
  </si>
  <si>
    <t>19:45:13</t>
  </si>
  <si>
    <t>13:53:47</t>
  </si>
  <si>
    <t>OID6771</t>
  </si>
  <si>
    <t>01:09:33</t>
  </si>
  <si>
    <t>21:18:20</t>
  </si>
  <si>
    <t>OID8988</t>
  </si>
  <si>
    <t>07:05:58</t>
  </si>
  <si>
    <t>17:13:41</t>
  </si>
  <si>
    <t>OID9398</t>
  </si>
  <si>
    <t>07:48:29</t>
  </si>
  <si>
    <t>23:09:43</t>
  </si>
  <si>
    <t>CID139</t>
  </si>
  <si>
    <t>Gaines</t>
  </si>
  <si>
    <t>joseph.gaines@outlook.com</t>
  </si>
  <si>
    <t>37549 Pope Isle Apt. 202, Tylerborough, MO 60042</t>
  </si>
  <si>
    <t>OID9822</t>
  </si>
  <si>
    <t>12:17:34</t>
  </si>
  <si>
    <t>11:02:15</t>
  </si>
  <si>
    <t>OID1269</t>
  </si>
  <si>
    <t>19:02:37</t>
  </si>
  <si>
    <t>00:56:16</t>
  </si>
  <si>
    <t>OID9915</t>
  </si>
  <si>
    <t>03:34:35</t>
  </si>
  <si>
    <t>00:26:45</t>
  </si>
  <si>
    <t>OID3348</t>
  </si>
  <si>
    <t>17:05:21</t>
  </si>
  <si>
    <t>PID005</t>
  </si>
  <si>
    <t>06:56:06</t>
  </si>
  <si>
    <t>CID118</t>
  </si>
  <si>
    <t>Ellis</t>
  </si>
  <si>
    <t>amy.ellis@gmail.com</t>
  </si>
  <si>
    <t>217 Scott Ville, Christophermouth, NH 83776</t>
  </si>
  <si>
    <t>OID8431</t>
  </si>
  <si>
    <t>23:41:08</t>
  </si>
  <si>
    <t>01:56:42</t>
  </si>
  <si>
    <t>CID140</t>
  </si>
  <si>
    <t>Beth</t>
  </si>
  <si>
    <t>Mason</t>
  </si>
  <si>
    <t>beth.mason@outlook.com</t>
  </si>
  <si>
    <t>58998 Sherry Haven, East Richard, FL 90775</t>
  </si>
  <si>
    <t>OID6943</t>
  </si>
  <si>
    <t>04:48:30</t>
  </si>
  <si>
    <t>PID035</t>
  </si>
  <si>
    <t>10:01:40</t>
  </si>
  <si>
    <t>OID6229</t>
  </si>
  <si>
    <t>17:09:49</t>
  </si>
  <si>
    <t>PID013</t>
  </si>
  <si>
    <t>22:15:50</t>
  </si>
  <si>
    <t>OID6912</t>
  </si>
  <si>
    <t>07:51:16</t>
  </si>
  <si>
    <t>06:23:31</t>
  </si>
  <si>
    <t>OID5081</t>
  </si>
  <si>
    <t>21:43:03</t>
  </si>
  <si>
    <t>01:29:42</t>
  </si>
  <si>
    <t>OID5610</t>
  </si>
  <si>
    <t>07:53:58</t>
  </si>
  <si>
    <t>10:10:26</t>
  </si>
  <si>
    <t>OID7759</t>
  </si>
  <si>
    <t>01:16:21</t>
  </si>
  <si>
    <t>17:07:06</t>
  </si>
  <si>
    <t>CID123</t>
  </si>
  <si>
    <t>Christy</t>
  </si>
  <si>
    <t>Chang</t>
  </si>
  <si>
    <t>christy.chang@outlook.com</t>
  </si>
  <si>
    <t>4647 Hannah Centers, Rhodesburgh, NH 89363</t>
  </si>
  <si>
    <t>OID4481</t>
  </si>
  <si>
    <t>02:43:38</t>
  </si>
  <si>
    <t>02:45:47</t>
  </si>
  <si>
    <t>CID183</t>
  </si>
  <si>
    <t>Troy</t>
  </si>
  <si>
    <t>Gomez</t>
  </si>
  <si>
    <t>troy.gomez@outlook.com</t>
  </si>
  <si>
    <t>7510 Jose Knolls, Candicechester, LA 62815</t>
  </si>
  <si>
    <t>OID6749</t>
  </si>
  <si>
    <t>13:25:18</t>
  </si>
  <si>
    <t>PID032</t>
  </si>
  <si>
    <t>14:51:25</t>
  </si>
  <si>
    <t>CID143</t>
  </si>
  <si>
    <t>Kim</t>
  </si>
  <si>
    <t>Blevins</t>
  </si>
  <si>
    <t>kim.blevins@outlook.com</t>
  </si>
  <si>
    <t>089 Rice Shoal Suite 491, Juarezmouth, MI 88715</t>
  </si>
  <si>
    <t>OID8681</t>
  </si>
  <si>
    <t>18:32:14</t>
  </si>
  <si>
    <t>06:09:27</t>
  </si>
  <si>
    <t>OID9693</t>
  </si>
  <si>
    <t>21:12:50</t>
  </si>
  <si>
    <t>09:07:45</t>
  </si>
  <si>
    <t>OID3607</t>
  </si>
  <si>
    <t>17:19:09</t>
  </si>
  <si>
    <t>09:03:23</t>
  </si>
  <si>
    <t>OID9743</t>
  </si>
  <si>
    <t>15:04:45</t>
  </si>
  <si>
    <t>19:43:27</t>
  </si>
  <si>
    <t>CID156</t>
  </si>
  <si>
    <t>Gregory</t>
  </si>
  <si>
    <t>Lee</t>
  </si>
  <si>
    <t>gregory.lee@rediffmail.com</t>
  </si>
  <si>
    <t>619 Parker Turnpike Apt. 025, West Brucehaven, ID 48437</t>
  </si>
  <si>
    <t>OID7866</t>
  </si>
  <si>
    <t>18:15:56</t>
  </si>
  <si>
    <t>04:57:03</t>
  </si>
  <si>
    <t>OID1137</t>
  </si>
  <si>
    <t>00:17:47</t>
  </si>
  <si>
    <t>21:42:51</t>
  </si>
  <si>
    <t>CID170</t>
  </si>
  <si>
    <t>Bruce</t>
  </si>
  <si>
    <t>Allen</t>
  </si>
  <si>
    <t>bruce.allen@rediffmail.com</t>
  </si>
  <si>
    <t>2417 Brown Ford, West Timothyside, RI 45629</t>
  </si>
  <si>
    <t>OID4685</t>
  </si>
  <si>
    <t>01:46:15</t>
  </si>
  <si>
    <t>22:28:20</t>
  </si>
  <si>
    <t>CID107</t>
  </si>
  <si>
    <t>Lisa</t>
  </si>
  <si>
    <t>lisa.miller@gmail.com</t>
  </si>
  <si>
    <t>89748 Campbell Drive, South Tannerland, WI 13143</t>
  </si>
  <si>
    <t>OID9584</t>
  </si>
  <si>
    <t>09:44:25</t>
  </si>
  <si>
    <t>09:50:58</t>
  </si>
  <si>
    <t>CID185</t>
  </si>
  <si>
    <t>Melissa</t>
  </si>
  <si>
    <t>Levy</t>
  </si>
  <si>
    <t>melissa.levy@rediffmail.com</t>
  </si>
  <si>
    <t>3303 Kennedy Springs Suite 830, East Amybury, MI 95595</t>
  </si>
  <si>
    <t>OID1686</t>
  </si>
  <si>
    <t>20:32:03</t>
  </si>
  <si>
    <t>PID040</t>
  </si>
  <si>
    <t>16:26:05</t>
  </si>
  <si>
    <t>OID5272</t>
  </si>
  <si>
    <t>12:57:10</t>
  </si>
  <si>
    <t>19:04:22</t>
  </si>
  <si>
    <t>OID7359</t>
  </si>
  <si>
    <t>14:16:13</t>
  </si>
  <si>
    <t>11:54:49</t>
  </si>
  <si>
    <t>OID3570</t>
  </si>
  <si>
    <t>05:44:11</t>
  </si>
  <si>
    <t>PID029</t>
  </si>
  <si>
    <t>18:54:47</t>
  </si>
  <si>
    <t>CID194</t>
  </si>
  <si>
    <t>Barbara</t>
  </si>
  <si>
    <t>Fuller</t>
  </si>
  <si>
    <t>barbara.fuller@rediffmail.com</t>
  </si>
  <si>
    <t>134 Mcintosh Unions Suite 574, Lake Laura, DE 96577</t>
  </si>
  <si>
    <t>OID2519</t>
  </si>
  <si>
    <t>19:28:31</t>
  </si>
  <si>
    <t>16:45:09</t>
  </si>
  <si>
    <t>OID1134</t>
  </si>
  <si>
    <t>06:22:42</t>
  </si>
  <si>
    <t>11:58:32</t>
  </si>
  <si>
    <t>OID8270</t>
  </si>
  <si>
    <t>03:53:04</t>
  </si>
  <si>
    <t>15:27:26</t>
  </si>
  <si>
    <t>OID9515</t>
  </si>
  <si>
    <t>13:06:48</t>
  </si>
  <si>
    <t>01:22:23</t>
  </si>
  <si>
    <t>CID188</t>
  </si>
  <si>
    <t>Kristina</t>
  </si>
  <si>
    <t>Haynes</t>
  </si>
  <si>
    <t>kristina.haynes@yahoo.com</t>
  </si>
  <si>
    <t>18295 Thomas River, Kochville, NH 80868</t>
  </si>
  <si>
    <t>OID6608</t>
  </si>
  <si>
    <t>10:28:03</t>
  </si>
  <si>
    <t>PID044</t>
  </si>
  <si>
    <t>23:08:52</t>
  </si>
  <si>
    <t>CID112</t>
  </si>
  <si>
    <t>Lindsey</t>
  </si>
  <si>
    <t>Byrd</t>
  </si>
  <si>
    <t>lindsey.byrd@rediffmail.com</t>
  </si>
  <si>
    <t>USCGC Harper, FPO AA 38349</t>
  </si>
  <si>
    <t>OID3035</t>
  </si>
  <si>
    <t>22:11:06</t>
  </si>
  <si>
    <t>11:35:56</t>
  </si>
  <si>
    <t>OID4548</t>
  </si>
  <si>
    <t>14:00:52</t>
  </si>
  <si>
    <t>04:39:06</t>
  </si>
  <si>
    <t>OID5978</t>
  </si>
  <si>
    <t>07:11:09</t>
  </si>
  <si>
    <t>14:05:53</t>
  </si>
  <si>
    <t>OID6297</t>
  </si>
  <si>
    <t>12:09:51</t>
  </si>
  <si>
    <t>05:11:05</t>
  </si>
  <si>
    <t>OID5108</t>
  </si>
  <si>
    <t>10:51:20</t>
  </si>
  <si>
    <t>23:53:27</t>
  </si>
  <si>
    <t>OID4599</t>
  </si>
  <si>
    <t>23:40:15</t>
  </si>
  <si>
    <t>20:14:00</t>
  </si>
  <si>
    <t>OID1418</t>
  </si>
  <si>
    <t>01:24:01</t>
  </si>
  <si>
    <t>16:29:02</t>
  </si>
  <si>
    <t>OID1411</t>
  </si>
  <si>
    <t>11:34:01</t>
  </si>
  <si>
    <t>11:25:35</t>
  </si>
  <si>
    <t>OID8692</t>
  </si>
  <si>
    <t>02:04:13</t>
  </si>
  <si>
    <t>19:20:55</t>
  </si>
  <si>
    <t>OID4402</t>
  </si>
  <si>
    <t>22:18:21</t>
  </si>
  <si>
    <t>12:35:14</t>
  </si>
  <si>
    <t>OID1309</t>
  </si>
  <si>
    <t>08:18:11</t>
  </si>
  <si>
    <t>13:38:46</t>
  </si>
  <si>
    <t>OID2746</t>
  </si>
  <si>
    <t>10:44:36</t>
  </si>
  <si>
    <t>23:51:56</t>
  </si>
  <si>
    <t>OID9360</t>
  </si>
  <si>
    <t>17:09:22</t>
  </si>
  <si>
    <t>16:24:38</t>
  </si>
  <si>
    <t>OID6453</t>
  </si>
  <si>
    <t>07:07:24</t>
  </si>
  <si>
    <t>01:21:39</t>
  </si>
  <si>
    <t>CID124</t>
  </si>
  <si>
    <t>Edward</t>
  </si>
  <si>
    <t>Black</t>
  </si>
  <si>
    <t>edward.black@gmail.com</t>
  </si>
  <si>
    <t>5879 Susan Via Apt. 886, Sandovalbury, WV 61449</t>
  </si>
  <si>
    <t>OID9745</t>
  </si>
  <si>
    <t>07:27:27</t>
  </si>
  <si>
    <t>14:08:36</t>
  </si>
  <si>
    <t>CID160</t>
  </si>
  <si>
    <t>James</t>
  </si>
  <si>
    <t>Brown</t>
  </si>
  <si>
    <t>james.brown@yahoo.com</t>
  </si>
  <si>
    <t>221 Frey Crossing Suite 192, South Taylorland, HI 72875</t>
  </si>
  <si>
    <t>OID4081</t>
  </si>
  <si>
    <t>00:30:57</t>
  </si>
  <si>
    <t>15:41:07</t>
  </si>
  <si>
    <t>CID171</t>
  </si>
  <si>
    <t>Leslie</t>
  </si>
  <si>
    <t>Montgomery</t>
  </si>
  <si>
    <t>leslie.montgomery@gmail.com</t>
  </si>
  <si>
    <t>135 Teresa Oval Apt. 825, East Katherineport, WY 13714</t>
  </si>
  <si>
    <t>OID3967</t>
  </si>
  <si>
    <t>20:10:38</t>
  </si>
  <si>
    <t>03:43:44</t>
  </si>
  <si>
    <t>CID173</t>
  </si>
  <si>
    <t>Susan</t>
  </si>
  <si>
    <t>susan.thompson@outlook.com</t>
  </si>
  <si>
    <t>47821 William Station, East Ashleymouth, FL 20562</t>
  </si>
  <si>
    <t>OID9112</t>
  </si>
  <si>
    <t>14:57:06</t>
  </si>
  <si>
    <t>21:20:28</t>
  </si>
  <si>
    <t>OID8628</t>
  </si>
  <si>
    <t>10:20:44</t>
  </si>
  <si>
    <t>23:29:03</t>
  </si>
  <si>
    <t>OID5996</t>
  </si>
  <si>
    <t>14:09:23</t>
  </si>
  <si>
    <t>10:17:52</t>
  </si>
  <si>
    <t>OID5210</t>
  </si>
  <si>
    <t>10:48:56</t>
  </si>
  <si>
    <t>05:48:39</t>
  </si>
  <si>
    <t>OID4415</t>
  </si>
  <si>
    <t>10:33:35</t>
  </si>
  <si>
    <t>05:24:44</t>
  </si>
  <si>
    <t>OID6716</t>
  </si>
  <si>
    <t>22:34:39</t>
  </si>
  <si>
    <t>02:59:45</t>
  </si>
  <si>
    <t>OID9804</t>
  </si>
  <si>
    <t>19:56:54</t>
  </si>
  <si>
    <t>PID011</t>
  </si>
  <si>
    <t>02:22:56</t>
  </si>
  <si>
    <t>OID9798</t>
  </si>
  <si>
    <t>19:28:23</t>
  </si>
  <si>
    <t>11:32:19</t>
  </si>
  <si>
    <t>OID4965</t>
  </si>
  <si>
    <t>09:43:17</t>
  </si>
  <si>
    <t>16:27:25</t>
  </si>
  <si>
    <t>OID3209</t>
  </si>
  <si>
    <t>06:49:56</t>
  </si>
  <si>
    <t>22:10:44</t>
  </si>
  <si>
    <t>OID6103</t>
  </si>
  <si>
    <t>00:43:57</t>
  </si>
  <si>
    <t>04:56:51</t>
  </si>
  <si>
    <t>OID4368</t>
  </si>
  <si>
    <t>15:45:08</t>
  </si>
  <si>
    <t>19:53:01</t>
  </si>
  <si>
    <t>OID1692</t>
  </si>
  <si>
    <t>03:06:30</t>
  </si>
  <si>
    <t>06:57:51</t>
  </si>
  <si>
    <t>OID9808</t>
  </si>
  <si>
    <t>13:02:42</t>
  </si>
  <si>
    <t>06:40:28</t>
  </si>
  <si>
    <t>CID119</t>
  </si>
  <si>
    <t>Griffin</t>
  </si>
  <si>
    <t>amy.griffin@rediffmail.com</t>
  </si>
  <si>
    <t>07350 Aaron Meadow Suite 138, Kiaraberg, AL 79545</t>
  </si>
  <si>
    <t>OID3568</t>
  </si>
  <si>
    <t>10:25:49</t>
  </si>
  <si>
    <t>08:21:37</t>
  </si>
  <si>
    <t>OID3469</t>
  </si>
  <si>
    <t>04:33:43</t>
  </si>
  <si>
    <t>01:47:49</t>
  </si>
  <si>
    <t>OID6217</t>
  </si>
  <si>
    <t>15:45:02</t>
  </si>
  <si>
    <t>19:16:06</t>
  </si>
  <si>
    <t>OID9257</t>
  </si>
  <si>
    <t>18:37:45</t>
  </si>
  <si>
    <t>02:32:24</t>
  </si>
  <si>
    <t>OID7258</t>
  </si>
  <si>
    <t>20:25:23</t>
  </si>
  <si>
    <t>11:54:10</t>
  </si>
  <si>
    <t>OID8380</t>
  </si>
  <si>
    <t>10:35:10</t>
  </si>
  <si>
    <t>00:12:03</t>
  </si>
  <si>
    <t>OID9224</t>
  </si>
  <si>
    <t>21:35:45</t>
  </si>
  <si>
    <t>09:34:31</t>
  </si>
  <si>
    <t>OID4506</t>
  </si>
  <si>
    <t>16:54:11</t>
  </si>
  <si>
    <t>18:09:14</t>
  </si>
  <si>
    <t>OID7689</t>
  </si>
  <si>
    <t>10:04:46</t>
  </si>
  <si>
    <t>22:23:04</t>
  </si>
  <si>
    <t>CID109</t>
  </si>
  <si>
    <t>Rachael</t>
  </si>
  <si>
    <t>Robinson</t>
  </si>
  <si>
    <t>rachael.robinson@rediffmail.com</t>
  </si>
  <si>
    <t>0889 Brady Points, Port Meganhaven, NM 26553</t>
  </si>
  <si>
    <t>OID8699</t>
  </si>
  <si>
    <t>02:22:40</t>
  </si>
  <si>
    <t>00:47:16</t>
  </si>
  <si>
    <t>OID1317</t>
  </si>
  <si>
    <t>21:52:14</t>
  </si>
  <si>
    <t>10:43:13</t>
  </si>
  <si>
    <t>OID2429</t>
  </si>
  <si>
    <t>08:31:11</t>
  </si>
  <si>
    <t>09:56:25</t>
  </si>
  <si>
    <t>OID4514</t>
  </si>
  <si>
    <t>20:48:48</t>
  </si>
  <si>
    <t>PID002</t>
  </si>
  <si>
    <t>15:06:55</t>
  </si>
  <si>
    <t>OID6237</t>
  </si>
  <si>
    <t>18:41:53</t>
  </si>
  <si>
    <t>19:58:13</t>
  </si>
  <si>
    <t>OID6752</t>
  </si>
  <si>
    <t>05:35:11</t>
  </si>
  <si>
    <t>04:56:02</t>
  </si>
  <si>
    <t>OID7059</t>
  </si>
  <si>
    <t>11:01:20</t>
  </si>
  <si>
    <t>12:21:09</t>
  </si>
  <si>
    <t>OID6264</t>
  </si>
  <si>
    <t>08:29:32</t>
  </si>
  <si>
    <t>12:32:31</t>
  </si>
  <si>
    <t>OID5366</t>
  </si>
  <si>
    <t>02:56:50</t>
  </si>
  <si>
    <t>05:26:37</t>
  </si>
  <si>
    <t>OID1663</t>
  </si>
  <si>
    <t>11:18:01</t>
  </si>
  <si>
    <t>06:56:11</t>
  </si>
  <si>
    <t>OID7664</t>
  </si>
  <si>
    <t>03:11:30</t>
  </si>
  <si>
    <t>18:17:55</t>
  </si>
  <si>
    <t>OID4364</t>
  </si>
  <si>
    <t>04:35:15</t>
  </si>
  <si>
    <t>15:55:56</t>
  </si>
  <si>
    <t>OID1153</t>
  </si>
  <si>
    <t>08:45:48</t>
  </si>
  <si>
    <t>10:48:42</t>
  </si>
  <si>
    <t>OID5700</t>
  </si>
  <si>
    <t>09:39:48</t>
  </si>
  <si>
    <t>06:37:23</t>
  </si>
  <si>
    <t>OID1706</t>
  </si>
  <si>
    <t>19:48:44</t>
  </si>
  <si>
    <t>16:27:41</t>
  </si>
  <si>
    <t>OID6420</t>
  </si>
  <si>
    <t>18:18:32</t>
  </si>
  <si>
    <t>10:39:26</t>
  </si>
  <si>
    <t>OID2659</t>
  </si>
  <si>
    <t>16:59:55</t>
  </si>
  <si>
    <t>01:05:29</t>
  </si>
  <si>
    <t>OID5326</t>
  </si>
  <si>
    <t>13:40:51</t>
  </si>
  <si>
    <t>PID045</t>
  </si>
  <si>
    <t>00:35:18</t>
  </si>
  <si>
    <t>CID127</t>
  </si>
  <si>
    <t>Natasha</t>
  </si>
  <si>
    <t>Michael</t>
  </si>
  <si>
    <t>natasha.michael@gmail.com</t>
  </si>
  <si>
    <t>78992 Justin Estates Suite 226, Floresberg, NM 40797</t>
  </si>
  <si>
    <t>OID4465</t>
  </si>
  <si>
    <t>08:11:19</t>
  </si>
  <si>
    <t>18:28:53</t>
  </si>
  <si>
    <t>OID9324</t>
  </si>
  <si>
    <t>02:27:18</t>
  </si>
  <si>
    <t>04:48:38</t>
  </si>
  <si>
    <t>OID9267</t>
  </si>
  <si>
    <t>05:33:41</t>
  </si>
  <si>
    <t>13:20:58</t>
  </si>
  <si>
    <t>OID5402</t>
  </si>
  <si>
    <t>18:14:45</t>
  </si>
  <si>
    <t>13:20:38</t>
  </si>
  <si>
    <t>OID8716</t>
  </si>
  <si>
    <t>03:08:05</t>
  </si>
  <si>
    <t>04:04:13</t>
  </si>
  <si>
    <t>OID4014</t>
  </si>
  <si>
    <t>21:06:59</t>
  </si>
  <si>
    <t>00:33:10</t>
  </si>
  <si>
    <t>OID8569</t>
  </si>
  <si>
    <t>14:49:31</t>
  </si>
  <si>
    <t>04:10:37</t>
  </si>
  <si>
    <t>OID6330</t>
  </si>
  <si>
    <t>19:40:44</t>
  </si>
  <si>
    <t>16:30:13</t>
  </si>
  <si>
    <t>OID6607</t>
  </si>
  <si>
    <t>16:25:28</t>
  </si>
  <si>
    <t>13:33:22</t>
  </si>
  <si>
    <t>OID4892</t>
  </si>
  <si>
    <t>05:57:45</t>
  </si>
  <si>
    <t>08:04:55</t>
  </si>
  <si>
    <t>OID9692</t>
  </si>
  <si>
    <t>13:16:36</t>
  </si>
  <si>
    <t>23:44:01</t>
  </si>
  <si>
    <t>OID4746</t>
  </si>
  <si>
    <t>07:44:52</t>
  </si>
  <si>
    <t>00:28:50</t>
  </si>
  <si>
    <t>OID6057</t>
  </si>
  <si>
    <t>12:51:15</t>
  </si>
  <si>
    <t>23:34:55</t>
  </si>
  <si>
    <t>OID3134</t>
  </si>
  <si>
    <t>22:55:27</t>
  </si>
  <si>
    <t>22:37:23</t>
  </si>
  <si>
    <t>OID7980</t>
  </si>
  <si>
    <t>01:31:08</t>
  </si>
  <si>
    <t>14:39:46</t>
  </si>
  <si>
    <t>OID7432</t>
  </si>
  <si>
    <t>15:02:28</t>
  </si>
  <si>
    <t>04:23:57</t>
  </si>
  <si>
    <t>OID9465</t>
  </si>
  <si>
    <t>06:54:02</t>
  </si>
  <si>
    <t>12:39:46</t>
  </si>
  <si>
    <t>CID189</t>
  </si>
  <si>
    <t>Aguilar</t>
  </si>
  <si>
    <t>christine.aguilar@gmail.com</t>
  </si>
  <si>
    <t>3284 Martin Neck, Lopezville, NY 69154</t>
  </si>
  <si>
    <t>OID9872</t>
  </si>
  <si>
    <t>08:20:59</t>
  </si>
  <si>
    <t>17:38:42</t>
  </si>
  <si>
    <t>OID6856</t>
  </si>
  <si>
    <t>14:00:27</t>
  </si>
  <si>
    <t>12:31:34</t>
  </si>
  <si>
    <t>OID1826</t>
  </si>
  <si>
    <t>15:26:43</t>
  </si>
  <si>
    <t>23:02:25</t>
  </si>
  <si>
    <t>OID3421</t>
  </si>
  <si>
    <t>22:25:26</t>
  </si>
  <si>
    <t>20:52:06</t>
  </si>
  <si>
    <t>OID6869</t>
  </si>
  <si>
    <t>00:02:50</t>
  </si>
  <si>
    <t>20:49:10</t>
  </si>
  <si>
    <t>OID6635</t>
  </si>
  <si>
    <t>22:46:23</t>
  </si>
  <si>
    <t>08:30:57</t>
  </si>
  <si>
    <t>OID8295</t>
  </si>
  <si>
    <t>08:00:47</t>
  </si>
  <si>
    <t>17:20:58</t>
  </si>
  <si>
    <t>OID4642</t>
  </si>
  <si>
    <t>09:33:35</t>
  </si>
  <si>
    <t>13:06:14</t>
  </si>
  <si>
    <t>OID7380</t>
  </si>
  <si>
    <t>00:13:11</t>
  </si>
  <si>
    <t>18:31:17</t>
  </si>
  <si>
    <t>OID1086</t>
  </si>
  <si>
    <t>20:01:38</t>
  </si>
  <si>
    <t>12:58:48</t>
  </si>
  <si>
    <t>OID6936</t>
  </si>
  <si>
    <t>06:33:55</t>
  </si>
  <si>
    <t>13:05:17</t>
  </si>
  <si>
    <t>CID162</t>
  </si>
  <si>
    <t>Summers</t>
  </si>
  <si>
    <t>mark.summers@outlook.com</t>
  </si>
  <si>
    <t>08413 Lynch Parkway, Calderonstad, NV 32697</t>
  </si>
  <si>
    <t>OID2938</t>
  </si>
  <si>
    <t>19:46:32</t>
  </si>
  <si>
    <t>23:22:12</t>
  </si>
  <si>
    <t>OID8074</t>
  </si>
  <si>
    <t>20:47:44</t>
  </si>
  <si>
    <t>00:16:22</t>
  </si>
  <si>
    <t>OID1076</t>
  </si>
  <si>
    <t>14:37:23</t>
  </si>
  <si>
    <t>01:58:28</t>
  </si>
  <si>
    <t>OID8347</t>
  </si>
  <si>
    <t>00:08:51</t>
  </si>
  <si>
    <t>10:47:50</t>
  </si>
  <si>
    <t>OID6373</t>
  </si>
  <si>
    <t>09:31:27</t>
  </si>
  <si>
    <t>OID5913</t>
  </si>
  <si>
    <t>09:46:43</t>
  </si>
  <si>
    <t>06:31:08</t>
  </si>
  <si>
    <t>OID2941</t>
  </si>
  <si>
    <t>21:17:39</t>
  </si>
  <si>
    <t>06:07:50</t>
  </si>
  <si>
    <t>CID104</t>
  </si>
  <si>
    <t>Gary</t>
  </si>
  <si>
    <t>Huff</t>
  </si>
  <si>
    <t>gary.huff@gmail.com</t>
  </si>
  <si>
    <t>58608 Alexander Terrace, South Bryan, SC 85541</t>
  </si>
  <si>
    <t>OID9627</t>
  </si>
  <si>
    <t>12:28:28</t>
  </si>
  <si>
    <t>12:21:43</t>
  </si>
  <si>
    <t>OID9705</t>
  </si>
  <si>
    <t>03:29:39</t>
  </si>
  <si>
    <t>23:33:34</t>
  </si>
  <si>
    <t>OID7486</t>
  </si>
  <si>
    <t>18:27:23</t>
  </si>
  <si>
    <t>12:42:53</t>
  </si>
  <si>
    <t>OID4560</t>
  </si>
  <si>
    <t>14:41:09</t>
  </si>
  <si>
    <t>07:56:25</t>
  </si>
  <si>
    <t>OID1379</t>
  </si>
  <si>
    <t>11:50:19</t>
  </si>
  <si>
    <t>11:48:40</t>
  </si>
  <si>
    <t>OID8114</t>
  </si>
  <si>
    <t>10:24:24</t>
  </si>
  <si>
    <t>20:08:57</t>
  </si>
  <si>
    <t>OID9805</t>
  </si>
  <si>
    <t>23:35:16</t>
  </si>
  <si>
    <t>01:46:46</t>
  </si>
  <si>
    <t>OID7003</t>
  </si>
  <si>
    <t>04:53:37</t>
  </si>
  <si>
    <t>07:56:46</t>
  </si>
  <si>
    <t>OID5372</t>
  </si>
  <si>
    <t>21:25:23</t>
  </si>
  <si>
    <t>15:58:45</t>
  </si>
  <si>
    <t>OID4097</t>
  </si>
  <si>
    <t>18:03:08</t>
  </si>
  <si>
    <t>10:45:58</t>
  </si>
  <si>
    <t>OID7090</t>
  </si>
  <si>
    <t>02:55:39</t>
  </si>
  <si>
    <t>13:12:04</t>
  </si>
  <si>
    <t>OID8741</t>
  </si>
  <si>
    <t>23:25:51</t>
  </si>
  <si>
    <t>09:03:16</t>
  </si>
  <si>
    <t>OID6002</t>
  </si>
  <si>
    <t>05:28:12</t>
  </si>
  <si>
    <t>09:29:13</t>
  </si>
  <si>
    <t>OID8585</t>
  </si>
  <si>
    <t>16:44:13</t>
  </si>
  <si>
    <t>23:19:19</t>
  </si>
  <si>
    <t>OID6767</t>
  </si>
  <si>
    <t>17:52:44</t>
  </si>
  <si>
    <t>14:18:48</t>
  </si>
  <si>
    <t>OID4369</t>
  </si>
  <si>
    <t>22:31:31</t>
  </si>
  <si>
    <t>17:01:58</t>
  </si>
  <si>
    <t>OID5283</t>
  </si>
  <si>
    <t>18:43:17</t>
  </si>
  <si>
    <t>07:02:28</t>
  </si>
  <si>
    <t>OID2949</t>
  </si>
  <si>
    <t>09:55:21</t>
  </si>
  <si>
    <t>22:38:31</t>
  </si>
  <si>
    <t>OID1071</t>
  </si>
  <si>
    <t>06:47:14</t>
  </si>
  <si>
    <t>05:46:18</t>
  </si>
  <si>
    <t>OID7412</t>
  </si>
  <si>
    <t>22:41:22</t>
  </si>
  <si>
    <t>03:01:00</t>
  </si>
  <si>
    <t>CID138</t>
  </si>
  <si>
    <t>Mike</t>
  </si>
  <si>
    <t>Carter</t>
  </si>
  <si>
    <t>mike.carter@rediffmail.com</t>
  </si>
  <si>
    <t>3971 Ortiz Fields, Lake Jackfort, IA 97132</t>
  </si>
  <si>
    <t>OID6541</t>
  </si>
  <si>
    <t>08:35:05</t>
  </si>
  <si>
    <t>09:50:44</t>
  </si>
  <si>
    <t>OID3550</t>
  </si>
  <si>
    <t>06:30:57</t>
  </si>
  <si>
    <t>08:01:14</t>
  </si>
  <si>
    <t>OID7812</t>
  </si>
  <si>
    <t>09:01:24</t>
  </si>
  <si>
    <t>18:41:50</t>
  </si>
  <si>
    <t>OID4101</t>
  </si>
  <si>
    <t>10:38:44</t>
  </si>
  <si>
    <t>15:48:50</t>
  </si>
  <si>
    <t>OID2704</t>
  </si>
  <si>
    <t>08:44:39</t>
  </si>
  <si>
    <t>13:35:45</t>
  </si>
  <si>
    <t>OID3902</t>
  </si>
  <si>
    <t>10:10:51</t>
  </si>
  <si>
    <t>02:58:17</t>
  </si>
  <si>
    <t>CID142</t>
  </si>
  <si>
    <t>Owens</t>
  </si>
  <si>
    <t>thomas.owens@outlook.com</t>
  </si>
  <si>
    <t>43920 Shaffer Valley Suite 531, South Jerry, MD 67120</t>
  </si>
  <si>
    <t>OID6097</t>
  </si>
  <si>
    <t>06:46:28</t>
  </si>
  <si>
    <t>11:47:41</t>
  </si>
  <si>
    <t>OID2270</t>
  </si>
  <si>
    <t>22:27:32</t>
  </si>
  <si>
    <t>22:31:13</t>
  </si>
  <si>
    <t>OID4575</t>
  </si>
  <si>
    <t>18:42:20</t>
  </si>
  <si>
    <t>00:21:21</t>
  </si>
  <si>
    <t>OID2338</t>
  </si>
  <si>
    <t>22:07:35</t>
  </si>
  <si>
    <t>03:39:43</t>
  </si>
  <si>
    <t>OID9816</t>
  </si>
  <si>
    <t>07:28:42</t>
  </si>
  <si>
    <t>12:34:57</t>
  </si>
  <si>
    <t>CID113</t>
  </si>
  <si>
    <t>Brendan</t>
  </si>
  <si>
    <t>Kelly</t>
  </si>
  <si>
    <t>brendan.kelly@rediffmail.com</t>
  </si>
  <si>
    <t>688 Donald Oval Suite 089, Shepardport, CA 50844</t>
  </si>
  <si>
    <t>OID1586</t>
  </si>
  <si>
    <t>14:01:51</t>
  </si>
  <si>
    <t>23:41:13</t>
  </si>
  <si>
    <t>OID9630</t>
  </si>
  <si>
    <t>20:50:23</t>
  </si>
  <si>
    <t>01:51:44</t>
  </si>
  <si>
    <t>CID102</t>
  </si>
  <si>
    <t>Jessica</t>
  </si>
  <si>
    <t>Ruiz</t>
  </si>
  <si>
    <t>jessica.ruiz@rediffmail.com</t>
  </si>
  <si>
    <t>02370 Laura Station Suite 309, Brandonville, DE 18875</t>
  </si>
  <si>
    <t>OID8034</t>
  </si>
  <si>
    <t>08:30:48</t>
  </si>
  <si>
    <t>01:26:28</t>
  </si>
  <si>
    <t>OID4815</t>
  </si>
  <si>
    <t>05:34:02</t>
  </si>
  <si>
    <t>15:11:50</t>
  </si>
  <si>
    <t>OID1898</t>
  </si>
  <si>
    <t>22:30:30</t>
  </si>
  <si>
    <t>23:12:23</t>
  </si>
  <si>
    <t>OID7454</t>
  </si>
  <si>
    <t>06:13:30</t>
  </si>
  <si>
    <t>00:33:32</t>
  </si>
  <si>
    <t>CID117</t>
  </si>
  <si>
    <t>Hannah</t>
  </si>
  <si>
    <t>Gutierrez</t>
  </si>
  <si>
    <t>hannah.gutierrez@yahoo.com</t>
  </si>
  <si>
    <t>2420 David Manors, Jessicaland, CT 41698</t>
  </si>
  <si>
    <t>OID2597</t>
  </si>
  <si>
    <t>14:11:09</t>
  </si>
  <si>
    <t>00:33:26</t>
  </si>
  <si>
    <t>CID154</t>
  </si>
  <si>
    <t>Casey</t>
  </si>
  <si>
    <t>angela.casey@gmail.com</t>
  </si>
  <si>
    <t>089 Farley Terrace, Thomashaven, MT 56607</t>
  </si>
  <si>
    <t>OID6600</t>
  </si>
  <si>
    <t>22:46:20</t>
  </si>
  <si>
    <t>15:31:26</t>
  </si>
  <si>
    <t>OID3490</t>
  </si>
  <si>
    <t>03:47:08</t>
  </si>
  <si>
    <t>03:23:26</t>
  </si>
  <si>
    <t>OID5561</t>
  </si>
  <si>
    <t>07:21:30</t>
  </si>
  <si>
    <t>09:57:13</t>
  </si>
  <si>
    <t>OID8830</t>
  </si>
  <si>
    <t>16:49:20</t>
  </si>
  <si>
    <t>22:40:50</t>
  </si>
  <si>
    <t>OID9527</t>
  </si>
  <si>
    <t>16:59:25</t>
  </si>
  <si>
    <t>13:29:40</t>
  </si>
  <si>
    <t>OID1067</t>
  </si>
  <si>
    <t>06:15:44</t>
  </si>
  <si>
    <t>09:11:07</t>
  </si>
  <si>
    <t>OID2119</t>
  </si>
  <si>
    <t>17:29:54</t>
  </si>
  <si>
    <t>07:27:00</t>
  </si>
  <si>
    <t>OID5802</t>
  </si>
  <si>
    <t>05:25:01</t>
  </si>
  <si>
    <t>02:19:52</t>
  </si>
  <si>
    <t>OID4569</t>
  </si>
  <si>
    <t>00:49:15</t>
  </si>
  <si>
    <t>07:05:22</t>
  </si>
  <si>
    <t>OID1508</t>
  </si>
  <si>
    <t>10:13:34</t>
  </si>
  <si>
    <t>00:06:39</t>
  </si>
  <si>
    <t>OID3969</t>
  </si>
  <si>
    <t>22:48:36</t>
  </si>
  <si>
    <t>11:30:05</t>
  </si>
  <si>
    <t>OID8974</t>
  </si>
  <si>
    <t>03:37:20</t>
  </si>
  <si>
    <t>08:01:11</t>
  </si>
  <si>
    <t>OID6987</t>
  </si>
  <si>
    <t>23:47:53</t>
  </si>
  <si>
    <t>00:49:45</t>
  </si>
  <si>
    <t>OID5834</t>
  </si>
  <si>
    <t>15:54:45</t>
  </si>
  <si>
    <t>19:22:50</t>
  </si>
  <si>
    <t>OID3980</t>
  </si>
  <si>
    <t>21:10:06</t>
  </si>
  <si>
    <t>08:42:57</t>
  </si>
  <si>
    <t>OID9700</t>
  </si>
  <si>
    <t>17:39:16</t>
  </si>
  <si>
    <t>05:28:25</t>
  </si>
  <si>
    <t>OID1135</t>
  </si>
  <si>
    <t>21:59:14</t>
  </si>
  <si>
    <t>00:34:58</t>
  </si>
  <si>
    <t>OID9451</t>
  </si>
  <si>
    <t>21:47:08</t>
  </si>
  <si>
    <t>12:42:34</t>
  </si>
  <si>
    <t>OID4659</t>
  </si>
  <si>
    <t>00:57:26</t>
  </si>
  <si>
    <t>23:16:52</t>
  </si>
  <si>
    <t>CID141</t>
  </si>
  <si>
    <t>Megan</t>
  </si>
  <si>
    <t>Hunt</t>
  </si>
  <si>
    <t>megan.hunt@rediffmail.com</t>
  </si>
  <si>
    <t>03765 Velazquez Knoll Suite 478, Richardshire, UT 17200</t>
  </si>
  <si>
    <t>OID7205</t>
  </si>
  <si>
    <t>21:16:04</t>
  </si>
  <si>
    <t>10:41:25</t>
  </si>
  <si>
    <t>OID9735</t>
  </si>
  <si>
    <t>20:03:28</t>
  </si>
  <si>
    <t>11:16:12</t>
  </si>
  <si>
    <t>CID122</t>
  </si>
  <si>
    <t>Jared</t>
  </si>
  <si>
    <t>Horn</t>
  </si>
  <si>
    <t>jared.horn@outlook.com</t>
  </si>
  <si>
    <t>43325 Barbara Tunnel, Port James, LA 16246</t>
  </si>
  <si>
    <t>OID3358</t>
  </si>
  <si>
    <t>15:38:50</t>
  </si>
  <si>
    <t>12:50:53</t>
  </si>
  <si>
    <t>OID4719</t>
  </si>
  <si>
    <t>03:13:28</t>
  </si>
  <si>
    <t>07:58:28</t>
  </si>
  <si>
    <t>OID8203</t>
  </si>
  <si>
    <t>12:54:20</t>
  </si>
  <si>
    <t>17:32:38</t>
  </si>
  <si>
    <t>CID131</t>
  </si>
  <si>
    <t>Veronica</t>
  </si>
  <si>
    <t>veronica.lopez@gmail.com</t>
  </si>
  <si>
    <t>660 Karen Station Apt. 887, Allenside, ID 03170</t>
  </si>
  <si>
    <t>OID2353</t>
  </si>
  <si>
    <t>15:59:36</t>
  </si>
  <si>
    <t>07:38:19</t>
  </si>
  <si>
    <t>OID5255</t>
  </si>
  <si>
    <t>19:52:34</t>
  </si>
  <si>
    <t>07:40:09</t>
  </si>
  <si>
    <t>CID157</t>
  </si>
  <si>
    <t>Benson</t>
  </si>
  <si>
    <t>sarah.benson@outlook.com</t>
  </si>
  <si>
    <t>5399 Hayes Well, West Pennystad, IL 93798</t>
  </si>
  <si>
    <t>OID7946</t>
  </si>
  <si>
    <t>20:27:13</t>
  </si>
  <si>
    <t>22:27:12</t>
  </si>
  <si>
    <t>OID1159</t>
  </si>
  <si>
    <t>04:24:31</t>
  </si>
  <si>
    <t>06:44:34</t>
  </si>
  <si>
    <t>OID5186</t>
  </si>
  <si>
    <t>05:26:44</t>
  </si>
  <si>
    <t>06:17:48</t>
  </si>
  <si>
    <t>OID7156</t>
  </si>
  <si>
    <t>13:33:00</t>
  </si>
  <si>
    <t>16:40:47</t>
  </si>
  <si>
    <t>OID3574</t>
  </si>
  <si>
    <t>22:42:24</t>
  </si>
  <si>
    <t>19:19:52</t>
  </si>
  <si>
    <t>OID1477</t>
  </si>
  <si>
    <t>07:28:15</t>
  </si>
  <si>
    <t>12:59:43</t>
  </si>
  <si>
    <t>OID2944</t>
  </si>
  <si>
    <t>05:37:56</t>
  </si>
  <si>
    <t>15:40:22</t>
  </si>
  <si>
    <t>OID5130</t>
  </si>
  <si>
    <t>20:10:43</t>
  </si>
  <si>
    <t>08:44:22</t>
  </si>
  <si>
    <t>OID7754</t>
  </si>
  <si>
    <t>12:34:36</t>
  </si>
  <si>
    <t>10:14:17</t>
  </si>
  <si>
    <t>OID1246</t>
  </si>
  <si>
    <t>05:06:18</t>
  </si>
  <si>
    <t>20:00:01</t>
  </si>
  <si>
    <t>OID8680</t>
  </si>
  <si>
    <t>14:47:52</t>
  </si>
  <si>
    <t>17:06:11</t>
  </si>
  <si>
    <t>OID7102</t>
  </si>
  <si>
    <t>20:27:42</t>
  </si>
  <si>
    <t>10:15:00</t>
  </si>
  <si>
    <t>OID7555</t>
  </si>
  <si>
    <t>13:24:08</t>
  </si>
  <si>
    <t>07:39:38</t>
  </si>
  <si>
    <t>OID3165</t>
  </si>
  <si>
    <t>09:58:35</t>
  </si>
  <si>
    <t>14:02:18</t>
  </si>
  <si>
    <t>OID9628</t>
  </si>
  <si>
    <t>06:20:30</t>
  </si>
  <si>
    <t>20:45:00</t>
  </si>
  <si>
    <t>OID9782</t>
  </si>
  <si>
    <t>17:53:01</t>
  </si>
  <si>
    <t>05:26:03</t>
  </si>
  <si>
    <t>OID7302</t>
  </si>
  <si>
    <t>03:43:05</t>
  </si>
  <si>
    <t>17:57:56</t>
  </si>
  <si>
    <t>OID4580</t>
  </si>
  <si>
    <t>02:56:56</t>
  </si>
  <si>
    <t>11:28:09</t>
  </si>
  <si>
    <t>OID7954</t>
  </si>
  <si>
    <t>04:29:06</t>
  </si>
  <si>
    <t>22:44:53</t>
  </si>
  <si>
    <t>OID6246</t>
  </si>
  <si>
    <t>10:04:49</t>
  </si>
  <si>
    <t>22:07:13</t>
  </si>
  <si>
    <t>OID5671</t>
  </si>
  <si>
    <t>23:44:50</t>
  </si>
  <si>
    <t>04:23:25</t>
  </si>
  <si>
    <t>OID3145</t>
  </si>
  <si>
    <t>17:40:16</t>
  </si>
  <si>
    <t>19:38:50</t>
  </si>
  <si>
    <t>OID8575</t>
  </si>
  <si>
    <t>09:51:24</t>
  </si>
  <si>
    <t>00:10:27</t>
  </si>
  <si>
    <t>OID7910</t>
  </si>
  <si>
    <t>05:56:42</t>
  </si>
  <si>
    <t>03:42:23</t>
  </si>
  <si>
    <t>OID1179</t>
  </si>
  <si>
    <t>06:33:59</t>
  </si>
  <si>
    <t>13:29:05</t>
  </si>
  <si>
    <t>OID1041</t>
  </si>
  <si>
    <t>01:23:40</t>
  </si>
  <si>
    <t>19:01:55</t>
  </si>
  <si>
    <t>OID1693</t>
  </si>
  <si>
    <t>18:29:39</t>
  </si>
  <si>
    <t>02:01:44</t>
  </si>
  <si>
    <t>OID8609</t>
  </si>
  <si>
    <t>13:33:06</t>
  </si>
  <si>
    <t>04:01:49</t>
  </si>
  <si>
    <t>OID9578</t>
  </si>
  <si>
    <t>15:56:55</t>
  </si>
  <si>
    <t>18:16:24</t>
  </si>
  <si>
    <t>OID5985</t>
  </si>
  <si>
    <t>14:57:23</t>
  </si>
  <si>
    <t>09:49:51</t>
  </si>
  <si>
    <t>OID2571</t>
  </si>
  <si>
    <t>19:33:36</t>
  </si>
  <si>
    <t>06:30:50</t>
  </si>
  <si>
    <t>OID6045</t>
  </si>
  <si>
    <t>17:53:46</t>
  </si>
  <si>
    <t>18:13:08</t>
  </si>
  <si>
    <t>OID1336</t>
  </si>
  <si>
    <t>13:40:58</t>
  </si>
  <si>
    <t>02:14:28</t>
  </si>
  <si>
    <t>OID7117</t>
  </si>
  <si>
    <t>04:49:20</t>
  </si>
  <si>
    <t>16:13:35</t>
  </si>
  <si>
    <t>OID3749</t>
  </si>
  <si>
    <t>16:34:44</t>
  </si>
  <si>
    <t>16:28:56</t>
  </si>
  <si>
    <t>OID7008</t>
  </si>
  <si>
    <t>04:12:20</t>
  </si>
  <si>
    <t>01:46:13</t>
  </si>
  <si>
    <t>OID8913</t>
  </si>
  <si>
    <t>20:53:04</t>
  </si>
  <si>
    <t>00:48:16</t>
  </si>
  <si>
    <t>CID164</t>
  </si>
  <si>
    <t>Lane</t>
  </si>
  <si>
    <t>lauren.lane@gmail.com</t>
  </si>
  <si>
    <t>56985 Sergio Extensions, Port Albert, CO 02898</t>
  </si>
  <si>
    <t>OID1597</t>
  </si>
  <si>
    <t>05:27:44</t>
  </si>
  <si>
    <t>21:00:17</t>
  </si>
  <si>
    <t>OID4412</t>
  </si>
  <si>
    <t>06:35:14</t>
  </si>
  <si>
    <t>23:36:21</t>
  </si>
  <si>
    <t>OID3900</t>
  </si>
  <si>
    <t>20:14:30</t>
  </si>
  <si>
    <t>12:31:00</t>
  </si>
  <si>
    <t>OID9756</t>
  </si>
  <si>
    <t>06:46:07</t>
  </si>
  <si>
    <t>19:17:45</t>
  </si>
  <si>
    <t>CID151</t>
  </si>
  <si>
    <t>Richmond</t>
  </si>
  <si>
    <t>william.richmond@outlook.com</t>
  </si>
  <si>
    <t>4021 Brown Orchard Apt. 026, Christinahaven, OK 18499</t>
  </si>
  <si>
    <t>OID8307</t>
  </si>
  <si>
    <t>23:19:47</t>
  </si>
  <si>
    <t>16:06:37</t>
  </si>
  <si>
    <t>OID5575</t>
  </si>
  <si>
    <t>12:50:48</t>
  </si>
  <si>
    <t>19:56:33</t>
  </si>
  <si>
    <t>OID5883</t>
  </si>
  <si>
    <t>21:08:26</t>
  </si>
  <si>
    <t>09:20:03</t>
  </si>
  <si>
    <t>OID6340</t>
  </si>
  <si>
    <t>10:50:30</t>
  </si>
  <si>
    <t>16:59:14</t>
  </si>
  <si>
    <t>OID2501</t>
  </si>
  <si>
    <t>11:53:55</t>
  </si>
  <si>
    <t>00:56:01</t>
  </si>
  <si>
    <t>OID6973</t>
  </si>
  <si>
    <t>04:03:12</t>
  </si>
  <si>
    <t>13:27:06</t>
  </si>
  <si>
    <t>OID6597</t>
  </si>
  <si>
    <t>19:44:28</t>
  </si>
  <si>
    <t>02:51:48</t>
  </si>
  <si>
    <t>OID4840</t>
  </si>
  <si>
    <t>12:38:37</t>
  </si>
  <si>
    <t>19:14:57</t>
  </si>
  <si>
    <t>OID5389</t>
  </si>
  <si>
    <t>14:52:37</t>
  </si>
  <si>
    <t>09:59:33</t>
  </si>
  <si>
    <t>OID8649</t>
  </si>
  <si>
    <t>08:43:40</t>
  </si>
  <si>
    <t>05:13:28</t>
  </si>
  <si>
    <t>OID2779</t>
  </si>
  <si>
    <t>03:11:02</t>
  </si>
  <si>
    <t>19:39:57</t>
  </si>
  <si>
    <t>OID4185</t>
  </si>
  <si>
    <t>17:17:44</t>
  </si>
  <si>
    <t>11:45:52</t>
  </si>
  <si>
    <t>OID1243</t>
  </si>
  <si>
    <t>17:27:56</t>
  </si>
  <si>
    <t>05:22:25</t>
  </si>
  <si>
    <t>OID4147</t>
  </si>
  <si>
    <t>03:23:04</t>
  </si>
  <si>
    <t>05:02:16</t>
  </si>
  <si>
    <t>OID3681</t>
  </si>
  <si>
    <t>08:45:23</t>
  </si>
  <si>
    <t>15:13:07</t>
  </si>
  <si>
    <t>OID5229</t>
  </si>
  <si>
    <t>08:36:31</t>
  </si>
  <si>
    <t>19:33:15</t>
  </si>
  <si>
    <t>OID9990</t>
  </si>
  <si>
    <t>21:53:54</t>
  </si>
  <si>
    <t>23:00:06</t>
  </si>
  <si>
    <t>OID1756</t>
  </si>
  <si>
    <t>10:58:30</t>
  </si>
  <si>
    <t>13:36:46</t>
  </si>
  <si>
    <t>OID1866</t>
  </si>
  <si>
    <t>05:53:55</t>
  </si>
  <si>
    <t>02:00:46</t>
  </si>
  <si>
    <t>OID2619</t>
  </si>
  <si>
    <t>11:51:15</t>
  </si>
  <si>
    <t>10:20:47</t>
  </si>
  <si>
    <t>OID2505</t>
  </si>
  <si>
    <t>12:37:13</t>
  </si>
  <si>
    <t>14:41:40</t>
  </si>
  <si>
    <t>OID7850</t>
  </si>
  <si>
    <t>14:59:43</t>
  </si>
  <si>
    <t>06:29:31</t>
  </si>
  <si>
    <t>OID1966</t>
  </si>
  <si>
    <t>14:04:30</t>
  </si>
  <si>
    <t>02:17:23</t>
  </si>
  <si>
    <t>OID3837</t>
  </si>
  <si>
    <t>19:09:08</t>
  </si>
  <si>
    <t>23:23:19</t>
  </si>
  <si>
    <t>OID9187</t>
  </si>
  <si>
    <t>23:47:36</t>
  </si>
  <si>
    <t>04:39:51</t>
  </si>
  <si>
    <t>OID3760</t>
  </si>
  <si>
    <t>09:05:02</t>
  </si>
  <si>
    <t>05:31:50</t>
  </si>
  <si>
    <t>OID7065</t>
  </si>
  <si>
    <t>09:15:42</t>
  </si>
  <si>
    <t>09:33:25</t>
  </si>
  <si>
    <t>OID6906</t>
  </si>
  <si>
    <t>16:29:18</t>
  </si>
  <si>
    <t>19:58:19</t>
  </si>
  <si>
    <t>OID7996</t>
  </si>
  <si>
    <t>17:23:49</t>
  </si>
  <si>
    <t>OID9247</t>
  </si>
  <si>
    <t>06:51:49</t>
  </si>
  <si>
    <t>08:40:53</t>
  </si>
  <si>
    <t>OID7303</t>
  </si>
  <si>
    <t>23:40:03</t>
  </si>
  <si>
    <t>09:33:08</t>
  </si>
  <si>
    <t>OID2173</t>
  </si>
  <si>
    <t>00:41:18</t>
  </si>
  <si>
    <t>09:19:40</t>
  </si>
  <si>
    <t>OID5367</t>
  </si>
  <si>
    <t>23:27:24</t>
  </si>
  <si>
    <t>06:00:22</t>
  </si>
  <si>
    <t>OID9748</t>
  </si>
  <si>
    <t>02:46:27</t>
  </si>
  <si>
    <t>06:40:47</t>
  </si>
  <si>
    <t>OID6469</t>
  </si>
  <si>
    <t>06:59:53</t>
  </si>
  <si>
    <t>21:07:49</t>
  </si>
  <si>
    <t>OID1013</t>
  </si>
  <si>
    <t>20:28:31</t>
  </si>
  <si>
    <t>22:26:18</t>
  </si>
  <si>
    <t>OID1219</t>
  </si>
  <si>
    <t>13:39:02</t>
  </si>
  <si>
    <t>06:39:28</t>
  </si>
  <si>
    <t>OID9988</t>
  </si>
  <si>
    <t>09:27:52</t>
  </si>
  <si>
    <t>20:53:18</t>
  </si>
  <si>
    <t>OID1669</t>
  </si>
  <si>
    <t>04:59:13</t>
  </si>
  <si>
    <t>16:22:11</t>
  </si>
  <si>
    <t>OID7329</t>
  </si>
  <si>
    <t>01:19:42</t>
  </si>
  <si>
    <t>01:52:14</t>
  </si>
  <si>
    <t>OID2873</t>
  </si>
  <si>
    <t>05:54:36</t>
  </si>
  <si>
    <t>17:18:51</t>
  </si>
  <si>
    <t>OID4932</t>
  </si>
  <si>
    <t>06:50:14</t>
  </si>
  <si>
    <t>13:55:34</t>
  </si>
  <si>
    <t>OID4169</t>
  </si>
  <si>
    <t>11:52:12</t>
  </si>
  <si>
    <t>23:25:32</t>
  </si>
  <si>
    <t>OID6945</t>
  </si>
  <si>
    <t>19:37:21</t>
  </si>
  <si>
    <t>03:13:08</t>
  </si>
  <si>
    <t>OID6794</t>
  </si>
  <si>
    <t>15:34:31</t>
  </si>
  <si>
    <t>10:35:02</t>
  </si>
  <si>
    <t>OID2412</t>
  </si>
  <si>
    <t>14:35:45</t>
  </si>
  <si>
    <t>07:09:27</t>
  </si>
  <si>
    <t>CID114</t>
  </si>
  <si>
    <t>Crane</t>
  </si>
  <si>
    <t>lauren.crane@yahoo.com</t>
  </si>
  <si>
    <t>30313 Reyes Parkways Suite 392, Port Bradley, SC 24078</t>
  </si>
  <si>
    <t>OID8162</t>
  </si>
  <si>
    <t>07:24:54</t>
  </si>
  <si>
    <t>03:15:28</t>
  </si>
  <si>
    <t>OID8860</t>
  </si>
  <si>
    <t>06:00:55</t>
  </si>
  <si>
    <t>22:23:18</t>
  </si>
  <si>
    <t>OID2523</t>
  </si>
  <si>
    <t>05:46:53</t>
  </si>
  <si>
    <t>01:30:58</t>
  </si>
  <si>
    <t>OID7382</t>
  </si>
  <si>
    <t>08:34:53</t>
  </si>
  <si>
    <t>13:26:32</t>
  </si>
  <si>
    <t>OID7593</t>
  </si>
  <si>
    <t>15:18:11</t>
  </si>
  <si>
    <t>23:05:05</t>
  </si>
  <si>
    <t>OID9980</t>
  </si>
  <si>
    <t>11:00:03</t>
  </si>
  <si>
    <t>15:17:48</t>
  </si>
  <si>
    <t>OID2440</t>
  </si>
  <si>
    <t>08:26:50</t>
  </si>
  <si>
    <t>19:28:55</t>
  </si>
  <si>
    <t>OID7256</t>
  </si>
  <si>
    <t>00:24:43</t>
  </si>
  <si>
    <t>08:45:35</t>
  </si>
  <si>
    <t>OID6854</t>
  </si>
  <si>
    <t>10:05:03</t>
  </si>
  <si>
    <t>10:06:44</t>
  </si>
  <si>
    <t>OID9600</t>
  </si>
  <si>
    <t>04:19:31</t>
  </si>
  <si>
    <t>17:52:11</t>
  </si>
  <si>
    <t>OID3186</t>
  </si>
  <si>
    <t>17:14:37</t>
  </si>
  <si>
    <t>12:54:21</t>
  </si>
  <si>
    <t>OID1420</t>
  </si>
  <si>
    <t>18:45:41</t>
  </si>
  <si>
    <t>21:20:42</t>
  </si>
  <si>
    <t>OID4436</t>
  </si>
  <si>
    <t>23:43:28</t>
  </si>
  <si>
    <t>12:35:16</t>
  </si>
  <si>
    <t>OID6410</t>
  </si>
  <si>
    <t>06:38:04</t>
  </si>
  <si>
    <t>08:13:41</t>
  </si>
  <si>
    <t>OID4538</t>
  </si>
  <si>
    <t>12:27:25</t>
  </si>
  <si>
    <t>23:59:41</t>
  </si>
  <si>
    <t>OID8225</t>
  </si>
  <si>
    <t>10:41:43</t>
  </si>
  <si>
    <t>19:20:26</t>
  </si>
  <si>
    <t>OID2099</t>
  </si>
  <si>
    <t>09:19:53</t>
  </si>
  <si>
    <t>14:30:24</t>
  </si>
  <si>
    <t>OID9222</t>
  </si>
  <si>
    <t>11:38:36</t>
  </si>
  <si>
    <t>21:12:03</t>
  </si>
  <si>
    <t>OID3523</t>
  </si>
  <si>
    <t>10:33:52</t>
  </si>
  <si>
    <t>11:21:30</t>
  </si>
  <si>
    <t>OID3834</t>
  </si>
  <si>
    <t>22:42:39</t>
  </si>
  <si>
    <t>23:12:16</t>
  </si>
  <si>
    <t>OID9975</t>
  </si>
  <si>
    <t>09:31:29</t>
  </si>
  <si>
    <t>07:20:39</t>
  </si>
  <si>
    <t>OID6893</t>
  </si>
  <si>
    <t>09:19:46</t>
  </si>
  <si>
    <t>02:07:12</t>
  </si>
  <si>
    <t>OID8192</t>
  </si>
  <si>
    <t>21:14:38</t>
  </si>
  <si>
    <t>OID7904</t>
  </si>
  <si>
    <t>15:58:53</t>
  </si>
  <si>
    <t>14:14:53</t>
  </si>
  <si>
    <t>OID5999</t>
  </si>
  <si>
    <t>17:44:01</t>
  </si>
  <si>
    <t>16:03:33</t>
  </si>
  <si>
    <t>OID7409</t>
  </si>
  <si>
    <t>02:54:23</t>
  </si>
  <si>
    <t>18:15:03</t>
  </si>
  <si>
    <t>OID8708</t>
  </si>
  <si>
    <t>07:05:11</t>
  </si>
  <si>
    <t>OID5745</t>
  </si>
  <si>
    <t>02:16:10</t>
  </si>
  <si>
    <t>06:31:20</t>
  </si>
  <si>
    <t>OID9178</t>
  </si>
  <si>
    <t>18:34:02</t>
  </si>
  <si>
    <t>13:27:30</t>
  </si>
  <si>
    <t>OID2529</t>
  </si>
  <si>
    <t>14:35:39</t>
  </si>
  <si>
    <t>17:37:51</t>
  </si>
  <si>
    <t>OID3125</t>
  </si>
  <si>
    <t>02:52:20</t>
  </si>
  <si>
    <t>04:02:49</t>
  </si>
  <si>
    <t>OID4011</t>
  </si>
  <si>
    <t>10:33:07</t>
  </si>
  <si>
    <t>06:32:27</t>
  </si>
  <si>
    <t>OID1592</t>
  </si>
  <si>
    <t>01:25:50</t>
  </si>
  <si>
    <t>18:04:09</t>
  </si>
  <si>
    <t>OID7667</t>
  </si>
  <si>
    <t>20:10:30</t>
  </si>
  <si>
    <t>15:08:52</t>
  </si>
  <si>
    <t>OID5182</t>
  </si>
  <si>
    <t>03:46:35</t>
  </si>
  <si>
    <t>11:20:17</t>
  </si>
  <si>
    <t>OID1833</t>
  </si>
  <si>
    <t>00:31:47</t>
  </si>
  <si>
    <t>11:06:01</t>
  </si>
  <si>
    <t>OID5190</t>
  </si>
  <si>
    <t>04:04:19</t>
  </si>
  <si>
    <t>00:48:55</t>
  </si>
  <si>
    <t>CID110</t>
  </si>
  <si>
    <t>Katie</t>
  </si>
  <si>
    <t>katie.hicks@rediffmail.com</t>
  </si>
  <si>
    <t>848 William Port, New Marilyn, SD 58000</t>
  </si>
  <si>
    <t>OID4399</t>
  </si>
  <si>
    <t>07:13:46</t>
  </si>
  <si>
    <t>09:05:57</t>
  </si>
  <si>
    <t>OID8104</t>
  </si>
  <si>
    <t>21:07:18</t>
  </si>
  <si>
    <t>00:38:35</t>
  </si>
  <si>
    <t>CID196</t>
  </si>
  <si>
    <t>Regina</t>
  </si>
  <si>
    <t>Hawkins</t>
  </si>
  <si>
    <t>regina.hawkins@rediffmail.com</t>
  </si>
  <si>
    <t>096 Santos Neck Apt. 937, Benjaminmouth, FL 61454</t>
  </si>
  <si>
    <t>OID1054</t>
  </si>
  <si>
    <t>13:31:33</t>
  </si>
  <si>
    <t>02:03:42</t>
  </si>
  <si>
    <t>OID7828</t>
  </si>
  <si>
    <t>00:57:10</t>
  </si>
  <si>
    <t>03:55:32</t>
  </si>
  <si>
    <t>OID5598</t>
  </si>
  <si>
    <t>00:07:15</t>
  </si>
  <si>
    <t>06:30:27</t>
  </si>
  <si>
    <t>OID7417</t>
  </si>
  <si>
    <t>08:47:14</t>
  </si>
  <si>
    <t>19:25:43</t>
  </si>
  <si>
    <t>OID8004</t>
  </si>
  <si>
    <t>12:05:04</t>
  </si>
  <si>
    <t>18:05:47</t>
  </si>
  <si>
    <t>OID7287</t>
  </si>
  <si>
    <t>05:45:27</t>
  </si>
  <si>
    <t>16:20:46</t>
  </si>
  <si>
    <t>CID177</t>
  </si>
  <si>
    <t>Rachel</t>
  </si>
  <si>
    <t>rachel.lopez@outlook.com</t>
  </si>
  <si>
    <t>90435 Bonnie Points Suite 886, Jenniferfurt, WV 20187</t>
  </si>
  <si>
    <t>OID3637</t>
  </si>
  <si>
    <t>18:27:35</t>
  </si>
  <si>
    <t>15:09:01</t>
  </si>
  <si>
    <t>OID2097</t>
  </si>
  <si>
    <t>08:19:07</t>
  </si>
  <si>
    <t>03:55:26</t>
  </si>
  <si>
    <t>OID3388</t>
  </si>
  <si>
    <t>01:16:23</t>
  </si>
  <si>
    <t>21:24:42</t>
  </si>
  <si>
    <t>OID1114</t>
  </si>
  <si>
    <t>07:59:11</t>
  </si>
  <si>
    <t>05:33:08</t>
  </si>
  <si>
    <t>OID3556</t>
  </si>
  <si>
    <t>02:05:06</t>
  </si>
  <si>
    <t>02:03:44</t>
  </si>
  <si>
    <t>OID9404</t>
  </si>
  <si>
    <t>08:18:15</t>
  </si>
  <si>
    <t>08:36:13</t>
  </si>
  <si>
    <t>OID4552</t>
  </si>
  <si>
    <t>12:10:36</t>
  </si>
  <si>
    <t>23:31:23</t>
  </si>
  <si>
    <t>OID8486</t>
  </si>
  <si>
    <t>00:38:36</t>
  </si>
  <si>
    <t>20:13:27</t>
  </si>
  <si>
    <t>OID4240</t>
  </si>
  <si>
    <t>02:46:16</t>
  </si>
  <si>
    <t>09:28:52</t>
  </si>
  <si>
    <t>OID3727</t>
  </si>
  <si>
    <t>07:58:32</t>
  </si>
  <si>
    <t>OID8955</t>
  </si>
  <si>
    <t>05:37:55</t>
  </si>
  <si>
    <t>12:11:43</t>
  </si>
  <si>
    <t>OID1744</t>
  </si>
  <si>
    <t>01:03:02</t>
  </si>
  <si>
    <t>08:40:48</t>
  </si>
  <si>
    <t>OID5831</t>
  </si>
  <si>
    <t>18:12:36</t>
  </si>
  <si>
    <t>04:54:21</t>
  </si>
  <si>
    <t>OID2842</t>
  </si>
  <si>
    <t>15:52:52</t>
  </si>
  <si>
    <t>22:30:31</t>
  </si>
  <si>
    <t>OID1661</t>
  </si>
  <si>
    <t>11:10:43</t>
  </si>
  <si>
    <t>14:43:30</t>
  </si>
  <si>
    <t>OID9123</t>
  </si>
  <si>
    <t>10:50:23</t>
  </si>
  <si>
    <t>10:39:52</t>
  </si>
  <si>
    <t>OID3981</t>
  </si>
  <si>
    <t>12:04:15</t>
  </si>
  <si>
    <t>05:18:08</t>
  </si>
  <si>
    <t>OID6634</t>
  </si>
  <si>
    <t>02:36:45</t>
  </si>
  <si>
    <t>14:57:01</t>
  </si>
  <si>
    <t>CID106</t>
  </si>
  <si>
    <t>Scott</t>
  </si>
  <si>
    <t>scott.jones@yahoo.com</t>
  </si>
  <si>
    <t>086 Kristin Manor Apt. 829, Marissabury, CT 12152</t>
  </si>
  <si>
    <t>OID9069</t>
  </si>
  <si>
    <t>02:29:46</t>
  </si>
  <si>
    <t>13:28:57</t>
  </si>
  <si>
    <t>OID6802</t>
  </si>
  <si>
    <t>03:00:01</t>
  </si>
  <si>
    <t>06:03:03</t>
  </si>
  <si>
    <t>OID4442</t>
  </si>
  <si>
    <t>01:12:34</t>
  </si>
  <si>
    <t>10:01:43</t>
  </si>
  <si>
    <t>OID4995</t>
  </si>
  <si>
    <t>16:46:34</t>
  </si>
  <si>
    <t>04:45:34</t>
  </si>
  <si>
    <t>OID7650</t>
  </si>
  <si>
    <t>12:40:06</t>
  </si>
  <si>
    <t>03:46:12</t>
  </si>
  <si>
    <t>OID5555</t>
  </si>
  <si>
    <t>21:41:18</t>
  </si>
  <si>
    <t>21:10:12</t>
  </si>
  <si>
    <t>OID1769</t>
  </si>
  <si>
    <t>18:51:12</t>
  </si>
  <si>
    <t>01:58:20</t>
  </si>
  <si>
    <t>OID2189</t>
  </si>
  <si>
    <t>16:35:28</t>
  </si>
  <si>
    <t>07:06:38</t>
  </si>
  <si>
    <t>OID9035</t>
  </si>
  <si>
    <t>15:11:02</t>
  </si>
  <si>
    <t>14:16:59</t>
  </si>
  <si>
    <t>OID4219</t>
  </si>
  <si>
    <t>08:03:37</t>
  </si>
  <si>
    <t>13:50:58</t>
  </si>
  <si>
    <t>OID1694</t>
  </si>
  <si>
    <t>04:43:46</t>
  </si>
  <si>
    <t>01:46:40</t>
  </si>
  <si>
    <t>OID7495</t>
  </si>
  <si>
    <t>21:09:31</t>
  </si>
  <si>
    <t>06:09:19</t>
  </si>
  <si>
    <t>OID1080</t>
  </si>
  <si>
    <t>01:04:28</t>
  </si>
  <si>
    <t>16:40:55</t>
  </si>
  <si>
    <t>OID4539</t>
  </si>
  <si>
    <t>15:06:18</t>
  </si>
  <si>
    <t>03:50:06</t>
  </si>
  <si>
    <t>OID8093</t>
  </si>
  <si>
    <t>15:43:42</t>
  </si>
  <si>
    <t>15:41:25</t>
  </si>
  <si>
    <t>OID1707</t>
  </si>
  <si>
    <t>21:05:38</t>
  </si>
  <si>
    <t>17:28:07</t>
  </si>
  <si>
    <t>OID5703</t>
  </si>
  <si>
    <t>16:01:40</t>
  </si>
  <si>
    <t>02:24:54</t>
  </si>
  <si>
    <t>OID7457</t>
  </si>
  <si>
    <t>13:25:17</t>
  </si>
  <si>
    <t>13:52:42</t>
  </si>
  <si>
    <t>CID197</t>
  </si>
  <si>
    <t>Jacobs</t>
  </si>
  <si>
    <t>gary.jacobs@gmail.com</t>
  </si>
  <si>
    <t>USNV Williams, FPO AP 23197</t>
  </si>
  <si>
    <t>OID4784</t>
  </si>
  <si>
    <t>07:19:13</t>
  </si>
  <si>
    <t>04:47:20</t>
  </si>
  <si>
    <t>OID1726</t>
  </si>
  <si>
    <t>11:30:19</t>
  </si>
  <si>
    <t>02:44:11</t>
  </si>
  <si>
    <t>OID1073</t>
  </si>
  <si>
    <t>03:51:26</t>
  </si>
  <si>
    <t>12:59:30</t>
  </si>
  <si>
    <t>OID7443</t>
  </si>
  <si>
    <t>15:44:41</t>
  </si>
  <si>
    <t>03:08:53</t>
  </si>
  <si>
    <t>OID1025</t>
  </si>
  <si>
    <t>02:29:08</t>
  </si>
  <si>
    <t>01:57:29</t>
  </si>
  <si>
    <t>OID8826</t>
  </si>
  <si>
    <t>04:40:06</t>
  </si>
  <si>
    <t>02:03:57</t>
  </si>
  <si>
    <t>OID6254</t>
  </si>
  <si>
    <t>01:51:31</t>
  </si>
  <si>
    <t>05:04:36</t>
  </si>
  <si>
    <t>OID7518</t>
  </si>
  <si>
    <t>11:55:04</t>
  </si>
  <si>
    <t>05:45:33</t>
  </si>
  <si>
    <t>OID4491</t>
  </si>
  <si>
    <t>16:42:26</t>
  </si>
  <si>
    <t>08:22:44</t>
  </si>
  <si>
    <t>CID146</t>
  </si>
  <si>
    <t>Janice</t>
  </si>
  <si>
    <t>Gordon</t>
  </si>
  <si>
    <t>janice.gordon@yahoo.com</t>
  </si>
  <si>
    <t>5812 Evelyn Mountains Suite 845, Ortiztown, MN 86166</t>
  </si>
  <si>
    <t>OID8288</t>
  </si>
  <si>
    <t>02:55:29</t>
  </si>
  <si>
    <t>04:21:49</t>
  </si>
  <si>
    <t>OID6504</t>
  </si>
  <si>
    <t>12:05:41</t>
  </si>
  <si>
    <t>04:38:50</t>
  </si>
  <si>
    <t>OID2595</t>
  </si>
  <si>
    <t>03:10:32</t>
  </si>
  <si>
    <t>11:44:11</t>
  </si>
  <si>
    <t>OID9478</t>
  </si>
  <si>
    <t>17:54:41</t>
  </si>
  <si>
    <t>08:42:42</t>
  </si>
  <si>
    <t>OID1169</t>
  </si>
  <si>
    <t>07:11:33</t>
  </si>
  <si>
    <t>03:38:41</t>
  </si>
  <si>
    <t>OID6775</t>
  </si>
  <si>
    <t>06:54:03</t>
  </si>
  <si>
    <t>01:13:09</t>
  </si>
  <si>
    <t>OID2383</t>
  </si>
  <si>
    <t>04:44:42</t>
  </si>
  <si>
    <t>02:15:04</t>
  </si>
  <si>
    <t>CID167</t>
  </si>
  <si>
    <t>Diana</t>
  </si>
  <si>
    <t>French</t>
  </si>
  <si>
    <t>diana.french@outlook.com</t>
  </si>
  <si>
    <t>163 Jeffrey Drive, South Mary, NH 23999</t>
  </si>
  <si>
    <t>OID3750</t>
  </si>
  <si>
    <t>04:44:04</t>
  </si>
  <si>
    <t>21:00:20</t>
  </si>
  <si>
    <t>OID4837</t>
  </si>
  <si>
    <t>22:42:38</t>
  </si>
  <si>
    <t>12:41:59</t>
  </si>
  <si>
    <t>OID6975</t>
  </si>
  <si>
    <t>18:23:17</t>
  </si>
  <si>
    <t>19:23:44</t>
  </si>
  <si>
    <t>OID1869</t>
  </si>
  <si>
    <t>12:14:10</t>
  </si>
  <si>
    <t>03:34:04</t>
  </si>
  <si>
    <t>OID3921</t>
  </si>
  <si>
    <t>04:53:45</t>
  </si>
  <si>
    <t>05:48:22</t>
  </si>
  <si>
    <t>OID4056</t>
  </si>
  <si>
    <t>10:23:23</t>
  </si>
  <si>
    <t>21:18:46</t>
  </si>
  <si>
    <t>OID4907</t>
  </si>
  <si>
    <t>20:13:44</t>
  </si>
  <si>
    <t>09:06:18</t>
  </si>
  <si>
    <t>OID9684</t>
  </si>
  <si>
    <t>12:43:07</t>
  </si>
  <si>
    <t>05:09:35</t>
  </si>
  <si>
    <t>OID2044</t>
  </si>
  <si>
    <t>22:16:48</t>
  </si>
  <si>
    <t>16:09:18</t>
  </si>
  <si>
    <t>OID6436</t>
  </si>
  <si>
    <t>13:00:52</t>
  </si>
  <si>
    <t>00:18:32</t>
  </si>
  <si>
    <t>OID9374</t>
  </si>
  <si>
    <t>15:33:07</t>
  </si>
  <si>
    <t>15:51:15</t>
  </si>
  <si>
    <t>OID2767</t>
  </si>
  <si>
    <t>16:58:37</t>
  </si>
  <si>
    <t>01:05:53</t>
  </si>
  <si>
    <t>OID8981</t>
  </si>
  <si>
    <t>15:06:44</t>
  </si>
  <si>
    <t>14:31:29</t>
  </si>
  <si>
    <t>OID2246</t>
  </si>
  <si>
    <t>05:36:29</t>
  </si>
  <si>
    <t>07:21:52</t>
  </si>
  <si>
    <t>OID1779</t>
  </si>
  <si>
    <t>12:50:57</t>
  </si>
  <si>
    <t>01:24:34</t>
  </si>
  <si>
    <t>OID2005</t>
  </si>
  <si>
    <t>12:10:00</t>
  </si>
  <si>
    <t>09:31:36</t>
  </si>
  <si>
    <t>OID6485</t>
  </si>
  <si>
    <t>13:21:50</t>
  </si>
  <si>
    <t>18:29:46</t>
  </si>
  <si>
    <t>OID6319</t>
  </si>
  <si>
    <t>09:32:58</t>
  </si>
  <si>
    <t>OID9461</t>
  </si>
  <si>
    <t>14:34:14</t>
  </si>
  <si>
    <t>17:45:57</t>
  </si>
  <si>
    <t>OID4522</t>
  </si>
  <si>
    <t>00:44:05</t>
  </si>
  <si>
    <t>19:29:03</t>
  </si>
  <si>
    <t>OID9862</t>
  </si>
  <si>
    <t>05:02:45</t>
  </si>
  <si>
    <t>14:00:57</t>
  </si>
  <si>
    <t>OID6361</t>
  </si>
  <si>
    <t>16:28:38</t>
  </si>
  <si>
    <t>01:06:14</t>
  </si>
  <si>
    <t>OID7238</t>
  </si>
  <si>
    <t>08:22:36</t>
  </si>
  <si>
    <t>07:46:17</t>
  </si>
  <si>
    <t>OID8446</t>
  </si>
  <si>
    <t>02:53:11</t>
  </si>
  <si>
    <t>03:53:13</t>
  </si>
  <si>
    <t>OID9459</t>
  </si>
  <si>
    <t>08:17:07</t>
  </si>
  <si>
    <t>07:01:18</t>
  </si>
  <si>
    <t>OID6433</t>
  </si>
  <si>
    <t>01:02:33</t>
  </si>
  <si>
    <t>03:31:58</t>
  </si>
  <si>
    <t>OID3128</t>
  </si>
  <si>
    <t>22:17:42</t>
  </si>
  <si>
    <t>09:42:50</t>
  </si>
  <si>
    <t>OID8972</t>
  </si>
  <si>
    <t>07:36:32</t>
  </si>
  <si>
    <t>09:34:23</t>
  </si>
  <si>
    <t>OID5970</t>
  </si>
  <si>
    <t>07:39:59</t>
  </si>
  <si>
    <t>04:52:06</t>
  </si>
  <si>
    <t>OID3491</t>
  </si>
  <si>
    <t>18:04:56</t>
  </si>
  <si>
    <t>06:42:40</t>
  </si>
  <si>
    <t>OID6651</t>
  </si>
  <si>
    <t>03:18:41</t>
  </si>
  <si>
    <t>01:31:23</t>
  </si>
  <si>
    <t>OID2861</t>
  </si>
  <si>
    <t>20:38:05</t>
  </si>
  <si>
    <t>02:58:16</t>
  </si>
  <si>
    <t>OID3302</t>
  </si>
  <si>
    <t>08:32:59</t>
  </si>
  <si>
    <t>03:32:40</t>
  </si>
  <si>
    <t>OID9922</t>
  </si>
  <si>
    <t>12:42:28</t>
  </si>
  <si>
    <t>16:13:49</t>
  </si>
  <si>
    <t>OID4613</t>
  </si>
  <si>
    <t>10:24:01</t>
  </si>
  <si>
    <t>06:25:35</t>
  </si>
  <si>
    <t>OID7483</t>
  </si>
  <si>
    <t>12:19:38</t>
  </si>
  <si>
    <t>00:24:54</t>
  </si>
  <si>
    <t>OID7418</t>
  </si>
  <si>
    <t>01:15:18</t>
  </si>
  <si>
    <t>16:11:48</t>
  </si>
  <si>
    <t>OID3361</t>
  </si>
  <si>
    <t>09:50:05</t>
  </si>
  <si>
    <t>23:38:57</t>
  </si>
  <si>
    <t>OID7475</t>
  </si>
  <si>
    <t>08:30:03</t>
  </si>
  <si>
    <t>17:07:47</t>
  </si>
  <si>
    <t>OID6847</t>
  </si>
  <si>
    <t>17:02:09</t>
  </si>
  <si>
    <t>05:55:32</t>
  </si>
  <si>
    <t>Anne  Oconnell</t>
  </si>
  <si>
    <t>BeforeTime</t>
  </si>
  <si>
    <t>Anthony  Thomas</t>
  </si>
  <si>
    <t>Karl  Gallagher</t>
  </si>
  <si>
    <t>Angela  Horne</t>
  </si>
  <si>
    <t>Late</t>
  </si>
  <si>
    <t>Christine  West</t>
  </si>
  <si>
    <t>David  Delacruz</t>
  </si>
  <si>
    <t>Marcus  Valenzuela</t>
  </si>
  <si>
    <t>Debra  Rodriguez</t>
  </si>
  <si>
    <t>InTime</t>
  </si>
  <si>
    <t>Bobby  Forbes</t>
  </si>
  <si>
    <t>Joseph  Stewart</t>
  </si>
  <si>
    <t>Kara  Brennan</t>
  </si>
  <si>
    <t>Amy  Reid</t>
  </si>
  <si>
    <t>Joshua  Campbell</t>
  </si>
  <si>
    <t>Erin  Miller</t>
  </si>
  <si>
    <t>Gina  Moreno</t>
  </si>
  <si>
    <t>Mallory  Mitchell</t>
  </si>
  <si>
    <t>Traci  Jones</t>
  </si>
  <si>
    <t>Deborah  Bates</t>
  </si>
  <si>
    <t>Christian  Clayton</t>
  </si>
  <si>
    <t>Mark  Henderson</t>
  </si>
  <si>
    <t>John  Herrera</t>
  </si>
  <si>
    <t>Angela  Evans</t>
  </si>
  <si>
    <t>Ashley  Rose</t>
  </si>
  <si>
    <t>Taylor  Davis</t>
  </si>
  <si>
    <t>Lauren  Long</t>
  </si>
  <si>
    <t>Teresa  Harvey</t>
  </si>
  <si>
    <t>Heather  Schneider</t>
  </si>
  <si>
    <t>Valerie  Carr</t>
  </si>
  <si>
    <t>Jenny  Estrada</t>
  </si>
  <si>
    <t>Courtney  Parker</t>
  </si>
  <si>
    <t>Julie  Meyer</t>
  </si>
  <si>
    <t>Donna  Oneill</t>
  </si>
  <si>
    <t>Robert  Castillo</t>
  </si>
  <si>
    <t>Timothy  Hicks</t>
  </si>
  <si>
    <t>Thomas  Andersen</t>
  </si>
  <si>
    <t>Aaron  Thompson</t>
  </si>
  <si>
    <t>Jason  Lopez</t>
  </si>
  <si>
    <t>Alexandra  Smith</t>
  </si>
  <si>
    <t>John  Ramirez</t>
  </si>
  <si>
    <t>Amanda  Howard</t>
  </si>
  <si>
    <t>Mary  Knight</t>
  </si>
  <si>
    <t>Marcus  Rogers</t>
  </si>
  <si>
    <t>Brian  Kennedy</t>
  </si>
  <si>
    <t>Rebecca  Figueroa</t>
  </si>
  <si>
    <t>Lori  Cook</t>
  </si>
  <si>
    <t>Debra  Hayes</t>
  </si>
  <si>
    <t>Brittany  Stewart</t>
  </si>
  <si>
    <t>Mitchell  Parker</t>
  </si>
  <si>
    <t>Sharon  Thompson</t>
  </si>
  <si>
    <t>Sarah  Butler</t>
  </si>
  <si>
    <t>Katherine  Weber</t>
  </si>
  <si>
    <t>Jason  Nguyen</t>
  </si>
  <si>
    <t>Brandon  Cruz</t>
  </si>
  <si>
    <t>Jodi  Whitney</t>
  </si>
  <si>
    <t>Ashley  Romero</t>
  </si>
  <si>
    <t>William  Mann</t>
  </si>
  <si>
    <t>Kelli  Smith</t>
  </si>
  <si>
    <t>Joseph  Gaines</t>
  </si>
  <si>
    <t>Amy  Ellis</t>
  </si>
  <si>
    <t>Beth  Mason</t>
  </si>
  <si>
    <t>Christy  Chang</t>
  </si>
  <si>
    <t>Troy  Gomez</t>
  </si>
  <si>
    <t>Kim  Blevins</t>
  </si>
  <si>
    <t>Gregory  Lee</t>
  </si>
  <si>
    <t>Bruce  Allen</t>
  </si>
  <si>
    <t>Lisa  Miller</t>
  </si>
  <si>
    <t>Melissa  Levy</t>
  </si>
  <si>
    <t>Barbara  Fuller</t>
  </si>
  <si>
    <t>Kristina  Haynes</t>
  </si>
  <si>
    <t>Lindsey  Byrd</t>
  </si>
  <si>
    <t>Edward  Black</t>
  </si>
  <si>
    <t>James  Brown</t>
  </si>
  <si>
    <t>Leslie  Montgomery</t>
  </si>
  <si>
    <t>Susan  Thompson</t>
  </si>
  <si>
    <t>Amy  Griffin</t>
  </si>
  <si>
    <t>Rachael  Robinson</t>
  </si>
  <si>
    <t>Natasha  Michael</t>
  </si>
  <si>
    <t>Christine  Aguilar</t>
  </si>
  <si>
    <t>Mark  Summers</t>
  </si>
  <si>
    <t>Gary  Huff</t>
  </si>
  <si>
    <t>Mike  Carter</t>
  </si>
  <si>
    <t>Thomas  Owens</t>
  </si>
  <si>
    <t>Brendan  Kelly</t>
  </si>
  <si>
    <t>Jessica  Ruiz</t>
  </si>
  <si>
    <t>Hannah  Gutierrez</t>
  </si>
  <si>
    <t>Angela  Casey</t>
  </si>
  <si>
    <t>Megan  Hunt</t>
  </si>
  <si>
    <t>Jared  Horn</t>
  </si>
  <si>
    <t>Veronica  Lopez</t>
  </si>
  <si>
    <t>Sarah  Benson</t>
  </si>
  <si>
    <t>Lauren  Lane</t>
  </si>
  <si>
    <t>William  Richmond</t>
  </si>
  <si>
    <t>Lauren  Crane</t>
  </si>
  <si>
    <t>Katie  Hicks</t>
  </si>
  <si>
    <t>Regina  Hawkins</t>
  </si>
  <si>
    <t>Rachel  Lopez</t>
  </si>
  <si>
    <t>Scott  Jones</t>
  </si>
  <si>
    <t>Gary  Jacobs</t>
  </si>
  <si>
    <t>Janice  Gordon</t>
  </si>
  <si>
    <t>Diana  French</t>
  </si>
  <si>
    <t>Average of Age</t>
  </si>
  <si>
    <t>Row Labels</t>
  </si>
  <si>
    <t>Grand Total</t>
  </si>
  <si>
    <t>Full Name</t>
  </si>
  <si>
    <t>AnneOconnell</t>
  </si>
  <si>
    <t>AnthonyThomas</t>
  </si>
  <si>
    <t>KarlGallagher</t>
  </si>
  <si>
    <t>AngelaHorne</t>
  </si>
  <si>
    <t>ChristineWest</t>
  </si>
  <si>
    <t>DavidDelacruz</t>
  </si>
  <si>
    <t>MarcusValenzuela</t>
  </si>
  <si>
    <t>DebraRodriguez</t>
  </si>
  <si>
    <t>BobbyForbes</t>
  </si>
  <si>
    <t>JosephStewart</t>
  </si>
  <si>
    <t>KaraBrennan</t>
  </si>
  <si>
    <t>AmyReid</t>
  </si>
  <si>
    <t>JoshuaCampbell</t>
  </si>
  <si>
    <t>ErinMiller</t>
  </si>
  <si>
    <t>GinaMoreno</t>
  </si>
  <si>
    <t>MalloryMitchell</t>
  </si>
  <si>
    <t>TraciJones</t>
  </si>
  <si>
    <t>DeborahBates</t>
  </si>
  <si>
    <t>ChristianClayton</t>
  </si>
  <si>
    <t>MarkHenderson</t>
  </si>
  <si>
    <t>JohnHerrera</t>
  </si>
  <si>
    <t>AngelaEvans</t>
  </si>
  <si>
    <t>AshleyRose</t>
  </si>
  <si>
    <t>TaylorDavis</t>
  </si>
  <si>
    <t>LaurenLong</t>
  </si>
  <si>
    <t>TeresaHarvey</t>
  </si>
  <si>
    <t>HeatherSchneider</t>
  </si>
  <si>
    <t>ValerieCarr</t>
  </si>
  <si>
    <t>JennyEstrada</t>
  </si>
  <si>
    <t>CourtneyParker</t>
  </si>
  <si>
    <t>JulieMeyer</t>
  </si>
  <si>
    <t>DonnaOneill</t>
  </si>
  <si>
    <t>RobertCastillo</t>
  </si>
  <si>
    <t>TimothyHicks</t>
  </si>
  <si>
    <t>ThomasAndersen</t>
  </si>
  <si>
    <t>AaronThompson</t>
  </si>
  <si>
    <t>JasonLopez</t>
  </si>
  <si>
    <t>AlexandraSmith</t>
  </si>
  <si>
    <t>JohnRamirez</t>
  </si>
  <si>
    <t>AmandaHoward</t>
  </si>
  <si>
    <t>MaryKnight</t>
  </si>
  <si>
    <t>MarcusRogers</t>
  </si>
  <si>
    <t>BrianKennedy</t>
  </si>
  <si>
    <t>RebeccaFigueroa</t>
  </si>
  <si>
    <t>LoriCook</t>
  </si>
  <si>
    <t>DebraHayes</t>
  </si>
  <si>
    <t>BrittanyStewart</t>
  </si>
  <si>
    <t>MitchellParker</t>
  </si>
  <si>
    <t>SharonThompson</t>
  </si>
  <si>
    <t>SarahButler</t>
  </si>
  <si>
    <t>KatherineWeber</t>
  </si>
  <si>
    <t>JasonNguyen</t>
  </si>
  <si>
    <t>BrandonCruz</t>
  </si>
  <si>
    <t>JodiWhitney</t>
  </si>
  <si>
    <t>AshleyRomero</t>
  </si>
  <si>
    <t>WilliamMann</t>
  </si>
  <si>
    <t>KelliSmith</t>
  </si>
  <si>
    <t>JosephGaines</t>
  </si>
  <si>
    <t>AmyEllis</t>
  </si>
  <si>
    <t>BethMason</t>
  </si>
  <si>
    <t>ChristyChang</t>
  </si>
  <si>
    <t>TroyGomez</t>
  </si>
  <si>
    <t>KimBlevins</t>
  </si>
  <si>
    <t>GregoryLee</t>
  </si>
  <si>
    <t>BruceAllen</t>
  </si>
  <si>
    <t>LisaMiller</t>
  </si>
  <si>
    <t>MelissaLevy</t>
  </si>
  <si>
    <t>BarbaraFuller</t>
  </si>
  <si>
    <t>KristinaHaynes</t>
  </si>
  <si>
    <t>LindseyByrd</t>
  </si>
  <si>
    <t>EdwardBlack</t>
  </si>
  <si>
    <t>JamesBrown</t>
  </si>
  <si>
    <t>LeslieMontgomery</t>
  </si>
  <si>
    <t>SusanThompson</t>
  </si>
  <si>
    <t>AmyGriffin</t>
  </si>
  <si>
    <t>RachaelRobinson</t>
  </si>
  <si>
    <t>NatashaMichael</t>
  </si>
  <si>
    <t>ChristineAguilar</t>
  </si>
  <si>
    <t>MarkSummers</t>
  </si>
  <si>
    <t>GaryHuff</t>
  </si>
  <si>
    <t>MikeCarter</t>
  </si>
  <si>
    <t>ThomasOwens</t>
  </si>
  <si>
    <t>BrendanKelly</t>
  </si>
  <si>
    <t>JessicaRuiz</t>
  </si>
  <si>
    <t>HannahGutierrez</t>
  </si>
  <si>
    <t>AngelaCasey</t>
  </si>
  <si>
    <t>MeganHunt</t>
  </si>
  <si>
    <t>JaredHorn</t>
  </si>
  <si>
    <t>VeronicaLopez</t>
  </si>
  <si>
    <t>SarahBenson</t>
  </si>
  <si>
    <t>LaurenLane</t>
  </si>
  <si>
    <t>WilliamRichmond</t>
  </si>
  <si>
    <t>LaurenCrane</t>
  </si>
  <si>
    <t>KatieHicks</t>
  </si>
  <si>
    <t>ReginaHawkins</t>
  </si>
  <si>
    <t>RachelLopez</t>
  </si>
  <si>
    <t>ScottJones</t>
  </si>
  <si>
    <t>GaryJacobs</t>
  </si>
  <si>
    <t>JaniceGordon</t>
  </si>
  <si>
    <t>DianaFrench</t>
  </si>
  <si>
    <t>Count of Order_ID</t>
  </si>
  <si>
    <t>`</t>
  </si>
  <si>
    <t>Average of Day_Delivery</t>
  </si>
  <si>
    <t>Count of Product_ID</t>
  </si>
  <si>
    <t>Column Labels</t>
  </si>
  <si>
    <t xml:space="preserve">Sum of Amount_with_Delivery_Charge </t>
  </si>
  <si>
    <t>Sum of Amount</t>
  </si>
  <si>
    <t>Sum of Discount_Percentage</t>
  </si>
  <si>
    <t>Sum of Discount_Amount</t>
  </si>
  <si>
    <t>Count of Coupon_Code</t>
  </si>
  <si>
    <t>Order month</t>
  </si>
  <si>
    <t>Jan</t>
  </si>
  <si>
    <t>Feb</t>
  </si>
  <si>
    <t>Mar</t>
  </si>
  <si>
    <t>Apr</t>
  </si>
  <si>
    <t>May</t>
  </si>
  <si>
    <t>Jun</t>
  </si>
  <si>
    <t>Jul</t>
  </si>
  <si>
    <t>Aug</t>
  </si>
  <si>
    <t>Sep</t>
  </si>
  <si>
    <t>Oct</t>
  </si>
  <si>
    <t>Nov</t>
  </si>
  <si>
    <t>Dec</t>
  </si>
  <si>
    <t>Average of Delivery_Charge</t>
  </si>
  <si>
    <t xml:space="preserve">Max of Amount_with_Delivery_Charge </t>
  </si>
  <si>
    <t>Column1</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</si>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</sst>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00"/>
  </numFmts>
  <fonts count="6" x14ac:knownFonts="1">
    <font>
      <sz val="11"/>
      <color theme="1"/>
      <name val="Calibri"/>
      <family val="2"/>
      <scheme val="minor"/>
    </font>
    <font>
      <b/>
      <sz val="11"/>
      <color theme="1"/>
      <name val="Calibri"/>
    </font>
    <font>
      <b/>
      <sz val="11"/>
      <color theme="1"/>
      <name val="Calibri"/>
      <family val="2"/>
    </font>
    <font>
      <sz val="11"/>
      <color theme="1"/>
      <name val="Calibri"/>
    </font>
    <font>
      <sz val="11"/>
      <color theme="1"/>
      <name val="Calibri"/>
      <family val="2"/>
    </font>
    <font>
      <b/>
      <sz val="11"/>
      <color theme="1"/>
      <name val="Calibri"/>
      <family val="2"/>
      <scheme val="minor"/>
    </font>
  </fonts>
  <fills count="4">
    <fill>
      <patternFill patternType="none"/>
    </fill>
    <fill>
      <patternFill patternType="gray125"/>
    </fill>
    <fill>
      <patternFill patternType="solid">
        <fgColor rgb="FFFDE9D9"/>
        <bgColor rgb="FFFDE9D9"/>
      </patternFill>
    </fill>
    <fill>
      <patternFill patternType="solid">
        <fgColor theme="4" tint="0.79998168889431442"/>
        <bgColor theme="4" tint="0.79998168889431442"/>
      </patternFill>
    </fill>
  </fills>
  <borders count="5">
    <border>
      <left/>
      <right/>
      <top/>
      <bottom/>
      <diagonal/>
    </border>
    <border>
      <left style="thin">
        <color rgb="FF000000"/>
      </left>
      <right style="thin">
        <color rgb="FF000000"/>
      </right>
      <top/>
      <bottom style="thin">
        <color rgb="FF000000"/>
      </bottom>
      <diagonal/>
    </border>
    <border>
      <left/>
      <right/>
      <top/>
      <bottom style="thin">
        <color theme="4" tint="0.39997558519241921"/>
      </bottom>
      <diagonal/>
    </border>
    <border>
      <left/>
      <right/>
      <top style="thin">
        <color theme="4" tint="0.39997558519241921"/>
      </top>
      <bottom/>
      <diagonal/>
    </border>
    <border>
      <left style="thin">
        <color rgb="FFABABAB"/>
      </left>
      <right style="thin">
        <color rgb="FFABABAB"/>
      </right>
      <top style="thin">
        <color rgb="FFABABAB"/>
      </top>
      <bottom style="thin">
        <color rgb="FFABABAB"/>
      </bottom>
      <diagonal/>
    </border>
  </borders>
  <cellStyleXfs count="1">
    <xf numFmtId="0" fontId="0" fillId="0" borderId="0"/>
  </cellStyleXfs>
  <cellXfs count="18">
    <xf numFmtId="0" fontId="0" fillId="0" borderId="0" xfId="0"/>
    <xf numFmtId="0" fontId="1" fillId="2" borderId="1" xfId="0" applyFont="1" applyFill="1" applyBorder="1" applyAlignment="1">
      <alignment horizontal="center" vertical="top"/>
    </xf>
    <xf numFmtId="0" fontId="2" fillId="2" borderId="1" xfId="0" applyFont="1" applyFill="1" applyBorder="1" applyAlignment="1">
      <alignment horizontal="center" vertical="top"/>
    </xf>
    <xf numFmtId="0" fontId="3" fillId="0" borderId="0" xfId="0" applyFont="1"/>
    <xf numFmtId="164" fontId="3" fillId="0" borderId="0" xfId="0" applyNumberFormat="1" applyFont="1"/>
    <xf numFmtId="0" fontId="4" fillId="0" borderId="0" xfId="0" applyFont="1"/>
    <xf numFmtId="10" fontId="4" fillId="0" borderId="0" xfId="0" applyNumberFormat="1" applyFont="1"/>
    <xf numFmtId="0" fontId="4" fillId="0" borderId="0" xfId="0" applyFont="1" applyAlignment="1">
      <alignment horizontal="left" vertical="center"/>
    </xf>
    <xf numFmtId="0" fontId="0" fillId="0" borderId="0" xfId="0" pivotButton="1"/>
    <xf numFmtId="0" fontId="0" fillId="0" borderId="0" xfId="0" applyAlignment="1">
      <alignment horizontal="left"/>
    </xf>
    <xf numFmtId="0" fontId="5" fillId="3" borderId="2" xfId="0" applyFont="1" applyFill="1" applyBorder="1"/>
    <xf numFmtId="0" fontId="5" fillId="3" borderId="3" xfId="0" applyFont="1" applyFill="1" applyBorder="1" applyAlignment="1">
      <alignment horizontal="left"/>
    </xf>
    <xf numFmtId="2" fontId="0" fillId="0" borderId="0" xfId="0" applyNumberFormat="1"/>
    <xf numFmtId="9" fontId="0" fillId="0" borderId="0" xfId="0" applyNumberFormat="1"/>
    <xf numFmtId="14" fontId="0" fillId="0" borderId="0" xfId="0" applyNumberFormat="1"/>
    <xf numFmtId="165" fontId="0" fillId="0" borderId="0" xfId="0" applyNumberFormat="1"/>
    <xf numFmtId="0" fontId="0" fillId="0" borderId="0" xfId="0" applyNumberFormat="1"/>
    <xf numFmtId="0" fontId="0" fillId="0" borderId="4" xfId="0" applyBorder="1"/>
  </cellXfs>
  <cellStyles count="1">
    <cellStyle name="Normal" xfId="0" builtinId="0"/>
  </cellStyles>
  <dxfs count="9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font>
        <b val="0"/>
        <i val="0"/>
        <strike val="0"/>
        <condense val="0"/>
        <extend val="0"/>
        <outline val="0"/>
        <shadow val="0"/>
        <u val="none"/>
        <vertAlign val="baseline"/>
        <sz val="11"/>
        <color theme="1"/>
        <name val="Calibri"/>
        <scheme val="none"/>
      </font>
      <numFmt numFmtId="0" formatCode="General"/>
    </dxf>
    <dxf>
      <font>
        <b val="0"/>
        <i val="0"/>
        <strike val="0"/>
        <condense val="0"/>
        <extend val="0"/>
        <outline val="0"/>
        <shadow val="0"/>
        <u val="none"/>
        <vertAlign val="baseline"/>
        <sz val="11"/>
        <color theme="1"/>
        <name val="Calibri"/>
        <scheme val="none"/>
      </font>
      <numFmt numFmtId="0" formatCode="General"/>
    </dxf>
    <dxf>
      <font>
        <b val="0"/>
        <i val="0"/>
        <strike val="0"/>
        <condense val="0"/>
        <extend val="0"/>
        <outline val="0"/>
        <shadow val="0"/>
        <u val="none"/>
        <vertAlign val="baseline"/>
        <sz val="11"/>
        <color theme="1"/>
        <name val="Calibri"/>
        <scheme val="none"/>
      </font>
      <numFmt numFmtId="0" formatCode="General"/>
    </dxf>
    <dxf>
      <font>
        <b val="0"/>
        <i val="0"/>
        <strike val="0"/>
        <condense val="0"/>
        <extend val="0"/>
        <outline val="0"/>
        <shadow val="0"/>
        <u val="none"/>
        <vertAlign val="baseline"/>
        <sz val="11"/>
        <color theme="1"/>
        <name val="Calibri"/>
        <scheme val="none"/>
      </font>
      <numFmt numFmtId="0" formatCode="General"/>
    </dxf>
    <dxf>
      <font>
        <b val="0"/>
        <i val="0"/>
        <strike val="0"/>
        <condense val="0"/>
        <extend val="0"/>
        <outline val="0"/>
        <shadow val="0"/>
        <u val="none"/>
        <vertAlign val="baseline"/>
        <sz val="11"/>
        <color theme="1"/>
        <name val="Calibri"/>
        <scheme val="none"/>
      </font>
      <numFmt numFmtId="0" formatCode="General"/>
    </dxf>
    <dxf>
      <font>
        <b val="0"/>
        <i val="0"/>
        <strike val="0"/>
        <condense val="0"/>
        <extend val="0"/>
        <outline val="0"/>
        <shadow val="0"/>
        <u val="none"/>
        <vertAlign val="baseline"/>
        <sz val="11"/>
        <color theme="1"/>
        <name val="Calibri"/>
        <scheme val="none"/>
      </font>
      <numFmt numFmtId="14" formatCode="0.00%"/>
    </dxf>
    <dxf>
      <font>
        <b val="0"/>
        <i val="0"/>
        <strike val="0"/>
        <condense val="0"/>
        <extend val="0"/>
        <outline val="0"/>
        <shadow val="0"/>
        <u val="none"/>
        <vertAlign val="baseline"/>
        <sz val="11"/>
        <color theme="1"/>
        <name val="Calibri"/>
        <scheme val="none"/>
      </font>
      <numFmt numFmtId="0" formatCode="General"/>
    </dxf>
    <dxf>
      <font>
        <b val="0"/>
        <i val="0"/>
        <strike val="0"/>
        <condense val="0"/>
        <extend val="0"/>
        <outline val="0"/>
        <shadow val="0"/>
        <u val="none"/>
        <vertAlign val="baseline"/>
        <sz val="11"/>
        <color theme="1"/>
        <name val="Calibri"/>
        <scheme val="none"/>
      </font>
      <numFmt numFmtId="0" formatCode="General"/>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numFmt numFmtId="164" formatCode="yyyy\-mm\-dd"/>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numFmt numFmtId="164" formatCode="yyyy\-mm\-dd"/>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numFmt numFmtId="0" formatCode="General"/>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border outline="0">
        <top style="thin">
          <color rgb="FF000000"/>
        </top>
      </border>
    </dxf>
    <dxf>
      <font>
        <b val="0"/>
        <i val="0"/>
        <strike val="0"/>
        <condense val="0"/>
        <extend val="0"/>
        <outline val="0"/>
        <shadow val="0"/>
        <u val="none"/>
        <vertAlign val="baseline"/>
        <sz val="11"/>
        <color theme="1"/>
        <name val="Calibri"/>
        <scheme val="none"/>
      </font>
    </dxf>
    <dxf>
      <border outline="0">
        <bottom style="thin">
          <color rgb="FF000000"/>
        </bottom>
      </border>
    </dxf>
    <dxf>
      <font>
        <b/>
        <i val="0"/>
        <strike val="0"/>
        <condense val="0"/>
        <extend val="0"/>
        <outline val="0"/>
        <shadow val="0"/>
        <u val="none"/>
        <vertAlign val="baseline"/>
        <sz val="11"/>
        <color theme="1"/>
        <name val="Calibri"/>
        <scheme val="none"/>
      </font>
      <fill>
        <patternFill patternType="solid">
          <fgColor rgb="FFFDE9D9"/>
          <bgColor rgb="FFFDE9D9"/>
        </patternFill>
      </fill>
      <alignment horizontal="center" vertical="top" textRotation="0" wrapText="0" indent="0" justifyLastLine="0" shrinkToFit="0" readingOrder="0"/>
      <border diagonalUp="0" diagonalDown="0" outline="0">
        <left style="thin">
          <color rgb="FF000000"/>
        </left>
        <right style="thin">
          <color rgb="FF00000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18" Type="http://schemas.microsoft.com/office/2017/06/relationships/rdRichValueTypes" Target="richData/rdRichValueTyp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4.xml"/><Relationship Id="rId19" Type="http://schemas.openxmlformats.org/officeDocument/2006/relationships/calcChain" Target="calcChain.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[Naveen Excel min project .xlsx]Sheet3!PivotTable17</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Top 10 customers Total sales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Sheet3!$N$6</c:f>
              <c:strCache>
                <c:ptCount val="1"/>
                <c:pt idx="0">
                  <c:v>Total</c:v>
                </c:pt>
              </c:strCache>
            </c:strRef>
          </c:tx>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Sheet3!$M$7:$M$17</c:f>
              <c:strCache>
                <c:ptCount val="10"/>
                <c:pt idx="0">
                  <c:v>CID102</c:v>
                </c:pt>
                <c:pt idx="1">
                  <c:v>CID113</c:v>
                </c:pt>
                <c:pt idx="2">
                  <c:v>CID114</c:v>
                </c:pt>
                <c:pt idx="3">
                  <c:v>CID158</c:v>
                </c:pt>
                <c:pt idx="4">
                  <c:v>CID162</c:v>
                </c:pt>
                <c:pt idx="5">
                  <c:v>CID165</c:v>
                </c:pt>
                <c:pt idx="6">
                  <c:v>CID174</c:v>
                </c:pt>
                <c:pt idx="7">
                  <c:v>CID175</c:v>
                </c:pt>
                <c:pt idx="8">
                  <c:v>CID182</c:v>
                </c:pt>
                <c:pt idx="9">
                  <c:v>CID191</c:v>
                </c:pt>
              </c:strCache>
            </c:strRef>
          </c:cat>
          <c:val>
            <c:numRef>
              <c:f>Sheet3!$N$7:$N$17</c:f>
              <c:numCache>
                <c:formatCode>General</c:formatCode>
                <c:ptCount val="10"/>
                <c:pt idx="0">
                  <c:v>6854.0677999999998</c:v>
                </c:pt>
                <c:pt idx="1">
                  <c:v>6567.3071999999993</c:v>
                </c:pt>
                <c:pt idx="2">
                  <c:v>8218.4582999999984</c:v>
                </c:pt>
                <c:pt idx="3">
                  <c:v>6606.2736999999997</c:v>
                </c:pt>
                <c:pt idx="4">
                  <c:v>7874.7186999999994</c:v>
                </c:pt>
                <c:pt idx="5">
                  <c:v>7451.563799999999</c:v>
                </c:pt>
                <c:pt idx="6">
                  <c:v>13056.678899999997</c:v>
                </c:pt>
                <c:pt idx="7">
                  <c:v>6564.2684000000008</c:v>
                </c:pt>
                <c:pt idx="8">
                  <c:v>6576.1846000000005</c:v>
                </c:pt>
                <c:pt idx="9">
                  <c:v>6685.0841000000009</c:v>
                </c:pt>
              </c:numCache>
            </c:numRef>
          </c:val>
          <c:extLst>
            <c:ext xmlns:c16="http://schemas.microsoft.com/office/drawing/2014/chart" uri="{C3380CC4-5D6E-409C-BE32-E72D297353CC}">
              <c16:uniqueId val="{00000000-19C5-4522-9146-F5B88FDEBCEF}"/>
            </c:ext>
          </c:extLst>
        </c:ser>
        <c:dLbls>
          <c:showLegendKey val="0"/>
          <c:showVal val="0"/>
          <c:showCatName val="0"/>
          <c:showSerName val="0"/>
          <c:showPercent val="0"/>
          <c:showBubbleSize val="0"/>
        </c:dLbls>
        <c:gapWidth val="150"/>
        <c:overlap val="100"/>
        <c:axId val="239099168"/>
        <c:axId val="1996334608"/>
      </c:barChart>
      <c:catAx>
        <c:axId val="23909916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6334608"/>
        <c:crosses val="autoZero"/>
        <c:auto val="1"/>
        <c:lblAlgn val="ctr"/>
        <c:lblOffset val="100"/>
        <c:noMultiLvlLbl val="0"/>
      </c:catAx>
      <c:valAx>
        <c:axId val="19963346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9099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[Naveen Excel min project .xlsx]Sheet3!PivotTable18</c:name>
    <c:fmtId val="10"/>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Count</a:t>
            </a:r>
            <a:r>
              <a:rPr lang="en-US" baseline="0"/>
              <a:t> of coupon_code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Sheet3!$N$23</c:f>
              <c:strCache>
                <c:ptCount val="1"/>
                <c:pt idx="0">
                  <c:v>Total</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560F-402C-8F10-6B6E19DFF14D}"/>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560F-402C-8F10-6B6E19DFF14D}"/>
              </c:ext>
            </c:extLst>
          </c:dPt>
          <c:dPt>
            <c:idx val="2"/>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560F-402C-8F10-6B6E19DFF14D}"/>
              </c:ext>
            </c:extLst>
          </c:dPt>
          <c:dPt>
            <c:idx val="3"/>
            <c:bubble3D val="0"/>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7-560F-402C-8F10-6B6E19DFF14D}"/>
              </c:ext>
            </c:extLst>
          </c:dPt>
          <c:dPt>
            <c:idx val="4"/>
            <c:bubble3D val="0"/>
            <c:spPr>
              <a:solidFill>
                <a:schemeClr val="accent5"/>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9-560F-402C-8F10-6B6E19DFF14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Sheet3!$M$24:$M$29</c:f>
              <c:strCache>
                <c:ptCount val="5"/>
                <c:pt idx="0">
                  <c:v>DEL0</c:v>
                </c:pt>
                <c:pt idx="1">
                  <c:v>FLAT10</c:v>
                </c:pt>
                <c:pt idx="2">
                  <c:v>FLAT15</c:v>
                </c:pt>
                <c:pt idx="3">
                  <c:v>FLAT20</c:v>
                </c:pt>
                <c:pt idx="4">
                  <c:v>FLAT8</c:v>
                </c:pt>
              </c:strCache>
            </c:strRef>
          </c:cat>
          <c:val>
            <c:numRef>
              <c:f>Sheet3!$N$24:$N$29</c:f>
              <c:numCache>
                <c:formatCode>General</c:formatCode>
                <c:ptCount val="5"/>
                <c:pt idx="0">
                  <c:v>102</c:v>
                </c:pt>
                <c:pt idx="1">
                  <c:v>100</c:v>
                </c:pt>
                <c:pt idx="2">
                  <c:v>83</c:v>
                </c:pt>
                <c:pt idx="3">
                  <c:v>104</c:v>
                </c:pt>
                <c:pt idx="4">
                  <c:v>111</c:v>
                </c:pt>
              </c:numCache>
            </c:numRef>
          </c:val>
          <c:extLst>
            <c:ext xmlns:c16="http://schemas.microsoft.com/office/drawing/2014/chart" uri="{C3380CC4-5D6E-409C-BE32-E72D297353CC}">
              <c16:uniqueId val="{00000000-B1F2-49DB-8599-FD82E6130C80}"/>
            </c:ext>
          </c:extLst>
        </c:ser>
        <c:dLbls>
          <c:dLblPos val="inEnd"/>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[Naveen Excel min project .xlsx]Sheet3!PivotTable20</c:name>
    <c:fmtId val="7"/>
  </c:pivotSource>
  <c:chart>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Sheet3!$AA$17:$AA$18</c:f>
              <c:strCache>
                <c:ptCount val="1"/>
                <c:pt idx="0">
                  <c:v>Female</c:v>
                </c:pt>
              </c:strCache>
            </c:strRef>
          </c:tx>
          <c:spPr>
            <a:solidFill>
              <a:schemeClr val="accent1">
                <a:shade val="65000"/>
              </a:schemeClr>
            </a:solidFill>
            <a:ln>
              <a:noFill/>
            </a:ln>
            <a:effectLst/>
          </c:spPr>
          <c:invertIfNegative val="0"/>
          <c:cat>
            <c:strRef>
              <c:f>Sheet3!$Z$19:$Z$31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Sheet3!$AA$19:$AA$31</c:f>
              <c:numCache>
                <c:formatCode>General</c:formatCode>
                <c:ptCount val="12"/>
                <c:pt idx="0">
                  <c:v>8150.0287999999991</c:v>
                </c:pt>
                <c:pt idx="1">
                  <c:v>9383.2882999999983</c:v>
                </c:pt>
                <c:pt idx="2">
                  <c:v>11079.1746</c:v>
                </c:pt>
                <c:pt idx="3">
                  <c:v>16094.931699999999</c:v>
                </c:pt>
                <c:pt idx="4">
                  <c:v>3690.1650000000004</c:v>
                </c:pt>
                <c:pt idx="5">
                  <c:v>10185.532500000001</c:v>
                </c:pt>
                <c:pt idx="6">
                  <c:v>8454.1744000000017</c:v>
                </c:pt>
                <c:pt idx="7">
                  <c:v>10309.336700000002</c:v>
                </c:pt>
                <c:pt idx="8">
                  <c:v>5620.5067000000008</c:v>
                </c:pt>
                <c:pt idx="9">
                  <c:v>8193.9498999999996</c:v>
                </c:pt>
                <c:pt idx="10">
                  <c:v>3964.8175999999994</c:v>
                </c:pt>
                <c:pt idx="11">
                  <c:v>5307.2115999999996</c:v>
                </c:pt>
              </c:numCache>
            </c:numRef>
          </c:val>
          <c:extLst>
            <c:ext xmlns:c16="http://schemas.microsoft.com/office/drawing/2014/chart" uri="{C3380CC4-5D6E-409C-BE32-E72D297353CC}">
              <c16:uniqueId val="{00000000-BF1D-4E54-93CB-7BA5AE2E64E3}"/>
            </c:ext>
          </c:extLst>
        </c:ser>
        <c:ser>
          <c:idx val="1"/>
          <c:order val="1"/>
          <c:tx>
            <c:strRef>
              <c:f>Sheet3!$AB$17:$AB$18</c:f>
              <c:strCache>
                <c:ptCount val="1"/>
                <c:pt idx="0">
                  <c:v>Male</c:v>
                </c:pt>
              </c:strCache>
            </c:strRef>
          </c:tx>
          <c:spPr>
            <a:solidFill>
              <a:schemeClr val="accent1"/>
            </a:solidFill>
            <a:ln>
              <a:noFill/>
            </a:ln>
            <a:effectLst/>
          </c:spPr>
          <c:invertIfNegative val="0"/>
          <c:cat>
            <c:strRef>
              <c:f>Sheet3!$Z$19:$Z$31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Sheet3!$AB$19:$AB$31</c:f>
              <c:numCache>
                <c:formatCode>General</c:formatCode>
                <c:ptCount val="12"/>
                <c:pt idx="0">
                  <c:v>6482.6481000000013</c:v>
                </c:pt>
                <c:pt idx="1">
                  <c:v>7999.7120000000004</c:v>
                </c:pt>
                <c:pt idx="2">
                  <c:v>7791.677999999999</c:v>
                </c:pt>
                <c:pt idx="3">
                  <c:v>10241.5874</c:v>
                </c:pt>
                <c:pt idx="4">
                  <c:v>8286.7198000000008</c:v>
                </c:pt>
                <c:pt idx="5">
                  <c:v>10543.312599999999</c:v>
                </c:pt>
                <c:pt idx="6">
                  <c:v>14543.007100000001</c:v>
                </c:pt>
                <c:pt idx="7">
                  <c:v>8244.1471000000001</c:v>
                </c:pt>
                <c:pt idx="8">
                  <c:v>9875.9236999999994</c:v>
                </c:pt>
                <c:pt idx="9">
                  <c:v>9548.174500000001</c:v>
                </c:pt>
                <c:pt idx="10">
                  <c:v>5559.0000000000009</c:v>
                </c:pt>
                <c:pt idx="11">
                  <c:v>6295.1010999999999</c:v>
                </c:pt>
              </c:numCache>
            </c:numRef>
          </c:val>
          <c:extLst>
            <c:ext xmlns:c16="http://schemas.microsoft.com/office/drawing/2014/chart" uri="{C3380CC4-5D6E-409C-BE32-E72D297353CC}">
              <c16:uniqueId val="{0000000A-928F-4143-8696-186CCFDB40F1}"/>
            </c:ext>
          </c:extLst>
        </c:ser>
        <c:ser>
          <c:idx val="2"/>
          <c:order val="2"/>
          <c:tx>
            <c:strRef>
              <c:f>Sheet3!$AC$17:$AC$18</c:f>
              <c:strCache>
                <c:ptCount val="1"/>
                <c:pt idx="0">
                  <c:v>Other</c:v>
                </c:pt>
              </c:strCache>
            </c:strRef>
          </c:tx>
          <c:spPr>
            <a:solidFill>
              <a:schemeClr val="accent1">
                <a:tint val="65000"/>
              </a:schemeClr>
            </a:solidFill>
            <a:ln>
              <a:noFill/>
            </a:ln>
            <a:effectLst/>
          </c:spPr>
          <c:invertIfNegative val="0"/>
          <c:cat>
            <c:strRef>
              <c:f>Sheet3!$Z$19:$Z$31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Sheet3!$AC$19:$AC$31</c:f>
              <c:numCache>
                <c:formatCode>General</c:formatCode>
                <c:ptCount val="12"/>
                <c:pt idx="0">
                  <c:v>16747.9372</c:v>
                </c:pt>
                <c:pt idx="1">
                  <c:v>7828.3640999999998</c:v>
                </c:pt>
                <c:pt idx="2">
                  <c:v>8111.0689000000011</c:v>
                </c:pt>
                <c:pt idx="3">
                  <c:v>12224.427300000001</c:v>
                </c:pt>
                <c:pt idx="4">
                  <c:v>10840.48</c:v>
                </c:pt>
                <c:pt idx="5">
                  <c:v>10607.983799999998</c:v>
                </c:pt>
                <c:pt idx="6">
                  <c:v>15550.084700000001</c:v>
                </c:pt>
                <c:pt idx="7">
                  <c:v>9277.9221999999991</c:v>
                </c:pt>
                <c:pt idx="8">
                  <c:v>10683.466199999999</c:v>
                </c:pt>
                <c:pt idx="9">
                  <c:v>8392.2402000000002</c:v>
                </c:pt>
                <c:pt idx="10">
                  <c:v>16941.671599999998</c:v>
                </c:pt>
                <c:pt idx="11">
                  <c:v>14139.984299999996</c:v>
                </c:pt>
              </c:numCache>
            </c:numRef>
          </c:val>
          <c:extLst>
            <c:ext xmlns:c16="http://schemas.microsoft.com/office/drawing/2014/chart" uri="{C3380CC4-5D6E-409C-BE32-E72D297353CC}">
              <c16:uniqueId val="{0000000B-928F-4143-8696-186CCFDB40F1}"/>
            </c:ext>
          </c:extLst>
        </c:ser>
        <c:dLbls>
          <c:showLegendKey val="0"/>
          <c:showVal val="0"/>
          <c:showCatName val="0"/>
          <c:showSerName val="0"/>
          <c:showPercent val="0"/>
          <c:showBubbleSize val="0"/>
        </c:dLbls>
        <c:gapWidth val="199"/>
        <c:axId val="407151488"/>
        <c:axId val="282525072"/>
      </c:barChart>
      <c:catAx>
        <c:axId val="407151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282525072"/>
        <c:crosses val="autoZero"/>
        <c:auto val="1"/>
        <c:lblAlgn val="ctr"/>
        <c:lblOffset val="100"/>
        <c:noMultiLvlLbl val="0"/>
      </c:catAx>
      <c:valAx>
        <c:axId val="282525072"/>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7151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[Naveen Excel min project .xlsx]Sheet3!PivotTable22</c:name>
    <c:fmtId val="15"/>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b="1"/>
              <a:t>City Wise Toatl Amount</a:t>
            </a:r>
          </a:p>
        </c:rich>
      </c:tx>
      <c:overlay val="0"/>
      <c:spPr>
        <a:noFill/>
        <a:ln>
          <a:noFill/>
        </a:ln>
        <a:effectLst/>
      </c:spPr>
    </c:title>
    <c:autoTitleDeleted val="0"/>
    <c:pivotFmts>
      <c:pivotFmt>
        <c:idx val="0"/>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circle"/>
          <c:size val="6"/>
          <c:spPr>
            <a:solidFill>
              <a:schemeClr val="accent1"/>
            </a:solidFill>
            <a:ln>
              <a:noFill/>
            </a:ln>
            <a:effectLst/>
          </c:spPr>
        </c:marker>
        <c:dLbl>
          <c:idx val="0"/>
          <c:delete val="1"/>
          <c:extLst>
            <c:ext xmlns:c15="http://schemas.microsoft.com/office/drawing/2012/chart" uri="{CE6537A1-D6FC-4f65-9D91-7224C49458BB}"/>
          </c:extLst>
        </c:dLbl>
      </c:pivotFmt>
      <c:pivotFmt>
        <c:idx val="1"/>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delete val="1"/>
          <c:extLst>
            <c:ext xmlns:c15="http://schemas.microsoft.com/office/drawing/2012/chart" uri="{CE6537A1-D6FC-4f65-9D91-7224C49458BB}"/>
          </c:extLst>
        </c:dLbl>
      </c:pivotFmt>
      <c:pivotFmt>
        <c:idx val="2"/>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delete val="1"/>
          <c:extLst>
            <c:ext xmlns:c15="http://schemas.microsoft.com/office/drawing/2012/chart" uri="{CE6537A1-D6FC-4f65-9D91-7224C49458BB}"/>
          </c:extLst>
        </c:dLbl>
      </c:pivotFmt>
      <c:pivotFmt>
        <c:idx val="3"/>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delete val="1"/>
          <c:extLst>
            <c:ext xmlns:c15="http://schemas.microsoft.com/office/drawing/2012/chart" uri="{CE6537A1-D6FC-4f65-9D91-7224C49458BB}"/>
          </c:extLst>
        </c:dLbl>
      </c:pivotFmt>
    </c:pivotFmts>
    <c:view3D>
      <c:rotX val="10"/>
      <c:rotY val="0"/>
      <c:depthPercent val="100"/>
      <c:rAngAx val="0"/>
    </c:view3D>
    <c:floor>
      <c:thickness val="0"/>
      <c:spPr>
        <a:solidFill>
          <a:schemeClr val="lt1"/>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9254002624671915"/>
          <c:y val="0.21747703412073491"/>
          <c:w val="0.75912664041994748"/>
          <c:h val="0.69827172645086033"/>
        </c:manualLayout>
      </c:layout>
      <c:bar3DChart>
        <c:barDir val="bar"/>
        <c:grouping val="clustered"/>
        <c:varyColors val="0"/>
        <c:ser>
          <c:idx val="0"/>
          <c:order val="0"/>
          <c:tx>
            <c:strRef>
              <c:f>Sheet3!$AJ$26</c:f>
              <c:strCache>
                <c:ptCount val="1"/>
                <c:pt idx="0">
                  <c:v>Total</c:v>
                </c:pt>
              </c:strCache>
            </c:strRef>
          </c:tx>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invertIfNegative val="0"/>
          <c:cat>
            <c:strRef>
              <c:f>Sheet3!$AI$27:$AI$35</c:f>
              <c:strCache>
                <c:ptCount val="8"/>
                <c:pt idx="0">
                  <c:v>Chicago</c:v>
                </c:pt>
                <c:pt idx="1">
                  <c:v>Dallas</c:v>
                </c:pt>
                <c:pt idx="2">
                  <c:v>Houston</c:v>
                </c:pt>
                <c:pt idx="3">
                  <c:v>Los Angeles</c:v>
                </c:pt>
                <c:pt idx="4">
                  <c:v>Miami</c:v>
                </c:pt>
                <c:pt idx="5">
                  <c:v>New York</c:v>
                </c:pt>
                <c:pt idx="6">
                  <c:v>Phoenix</c:v>
                </c:pt>
                <c:pt idx="7">
                  <c:v>San Francisco</c:v>
                </c:pt>
              </c:strCache>
            </c:strRef>
          </c:cat>
          <c:val>
            <c:numRef>
              <c:f>Sheet3!$AJ$27:$AJ$35</c:f>
              <c:numCache>
                <c:formatCode>General</c:formatCode>
                <c:ptCount val="8"/>
                <c:pt idx="0">
                  <c:v>33234.737000000001</c:v>
                </c:pt>
                <c:pt idx="1">
                  <c:v>46047.757000000012</c:v>
                </c:pt>
                <c:pt idx="2">
                  <c:v>60148.810399999995</c:v>
                </c:pt>
                <c:pt idx="3">
                  <c:v>47533.305899999992</c:v>
                </c:pt>
                <c:pt idx="4">
                  <c:v>24762.065300000006</c:v>
                </c:pt>
                <c:pt idx="5">
                  <c:v>39809.197500000009</c:v>
                </c:pt>
                <c:pt idx="6">
                  <c:v>45607.425800000005</c:v>
                </c:pt>
                <c:pt idx="7">
                  <c:v>50046.460799999986</c:v>
                </c:pt>
              </c:numCache>
            </c:numRef>
          </c:val>
          <c:extLst>
            <c:ext xmlns:c16="http://schemas.microsoft.com/office/drawing/2014/chart" uri="{C3380CC4-5D6E-409C-BE32-E72D297353CC}">
              <c16:uniqueId val="{00000003-BD65-40CF-ACFD-D5182364B67B}"/>
            </c:ext>
          </c:extLst>
        </c:ser>
        <c:dLbls>
          <c:showLegendKey val="0"/>
          <c:showVal val="0"/>
          <c:showCatName val="0"/>
          <c:showSerName val="0"/>
          <c:showPercent val="0"/>
          <c:showBubbleSize val="0"/>
        </c:dLbls>
        <c:gapWidth val="160"/>
        <c:gapDepth val="0"/>
        <c:shape val="box"/>
        <c:axId val="239314464"/>
        <c:axId val="1996319248"/>
        <c:axId val="0"/>
      </c:bar3DChart>
      <c:catAx>
        <c:axId val="23931446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6319248"/>
        <c:crosses val="autoZero"/>
        <c:auto val="1"/>
        <c:lblAlgn val="ctr"/>
        <c:lblOffset val="100"/>
        <c:noMultiLvlLbl val="0"/>
      </c:catAx>
      <c:valAx>
        <c:axId val="199631924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9314464"/>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[Naveen Excel min project .xlsx]Sheet3!PivotTable19</c:name>
    <c:fmtId val="11"/>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Sheet3!$N$37</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Pt>
            <c:idx val="5"/>
            <c:bubble3D val="0"/>
            <c:spPr>
              <a:solidFill>
                <a:schemeClr val="accent6"/>
              </a:solidFill>
              <a:ln>
                <a:noFill/>
              </a:ln>
              <a:effectLst>
                <a:outerShdw blurRad="317500" algn="ctr" rotWithShape="0">
                  <a:prstClr val="black">
                    <a:alpha val="25000"/>
                  </a:prstClr>
                </a:outerShdw>
              </a:effectLst>
            </c:spPr>
          </c:dPt>
          <c:dPt>
            <c:idx val="6"/>
            <c:bubble3D val="0"/>
            <c:spPr>
              <a:solidFill>
                <a:schemeClr val="accent1">
                  <a:lumMod val="60000"/>
                </a:schemeClr>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Sheet3!$M$38:$M$45</c:f>
              <c:strCache>
                <c:ptCount val="7"/>
                <c:pt idx="0">
                  <c:v>PID002</c:v>
                </c:pt>
                <c:pt idx="1">
                  <c:v>PID018</c:v>
                </c:pt>
                <c:pt idx="2">
                  <c:v>PID027</c:v>
                </c:pt>
                <c:pt idx="3">
                  <c:v>PID036</c:v>
                </c:pt>
                <c:pt idx="4">
                  <c:v>PID041</c:v>
                </c:pt>
                <c:pt idx="5">
                  <c:v>PID046</c:v>
                </c:pt>
                <c:pt idx="6">
                  <c:v>PID048</c:v>
                </c:pt>
              </c:strCache>
            </c:strRef>
          </c:cat>
          <c:val>
            <c:numRef>
              <c:f>Sheet3!$N$38:$N$45</c:f>
              <c:numCache>
                <c:formatCode>General</c:formatCode>
                <c:ptCount val="7"/>
                <c:pt idx="0">
                  <c:v>14</c:v>
                </c:pt>
                <c:pt idx="1">
                  <c:v>15</c:v>
                </c:pt>
                <c:pt idx="2">
                  <c:v>15</c:v>
                </c:pt>
                <c:pt idx="3">
                  <c:v>17</c:v>
                </c:pt>
                <c:pt idx="4">
                  <c:v>14</c:v>
                </c:pt>
                <c:pt idx="5">
                  <c:v>16</c:v>
                </c:pt>
                <c:pt idx="6">
                  <c:v>15</c:v>
                </c:pt>
              </c:numCache>
            </c:numRef>
          </c:val>
          <c:extLst>
            <c:ext xmlns:c16="http://schemas.microsoft.com/office/drawing/2014/chart" uri="{C3380CC4-5D6E-409C-BE32-E72D297353CC}">
              <c16:uniqueId val="{00000000-09A2-4D48-9228-45185E196516}"/>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[Naveen Excel min project .xlsx]Sheet3!PivotTable17</c:name>
    <c:fmtId val="1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Top 10 customers Total sales </a:t>
            </a:r>
          </a:p>
        </c:rich>
      </c:tx>
      <c:layout>
        <c:manualLayout>
          <c:xMode val="edge"/>
          <c:yMode val="edge"/>
          <c:x val="0.11993114096032113"/>
          <c:y val="3.3557046979865772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Sheet3!$N$6</c:f>
              <c:strCache>
                <c:ptCount val="1"/>
                <c:pt idx="0">
                  <c:v>Total</c:v>
                </c:pt>
              </c:strCache>
            </c:strRef>
          </c:tx>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Sheet3!$M$7:$M$17</c:f>
              <c:strCache>
                <c:ptCount val="10"/>
                <c:pt idx="0">
                  <c:v>CID102</c:v>
                </c:pt>
                <c:pt idx="1">
                  <c:v>CID113</c:v>
                </c:pt>
                <c:pt idx="2">
                  <c:v>CID114</c:v>
                </c:pt>
                <c:pt idx="3">
                  <c:v>CID158</c:v>
                </c:pt>
                <c:pt idx="4">
                  <c:v>CID162</c:v>
                </c:pt>
                <c:pt idx="5">
                  <c:v>CID165</c:v>
                </c:pt>
                <c:pt idx="6">
                  <c:v>CID174</c:v>
                </c:pt>
                <c:pt idx="7">
                  <c:v>CID175</c:v>
                </c:pt>
                <c:pt idx="8">
                  <c:v>CID182</c:v>
                </c:pt>
                <c:pt idx="9">
                  <c:v>CID191</c:v>
                </c:pt>
              </c:strCache>
            </c:strRef>
          </c:cat>
          <c:val>
            <c:numRef>
              <c:f>Sheet3!$N$7:$N$17</c:f>
              <c:numCache>
                <c:formatCode>General</c:formatCode>
                <c:ptCount val="10"/>
                <c:pt idx="0">
                  <c:v>6854.0677999999998</c:v>
                </c:pt>
                <c:pt idx="1">
                  <c:v>6567.3071999999993</c:v>
                </c:pt>
                <c:pt idx="2">
                  <c:v>8218.4582999999984</c:v>
                </c:pt>
                <c:pt idx="3">
                  <c:v>6606.2736999999997</c:v>
                </c:pt>
                <c:pt idx="4">
                  <c:v>7874.7186999999994</c:v>
                </c:pt>
                <c:pt idx="5">
                  <c:v>7451.563799999999</c:v>
                </c:pt>
                <c:pt idx="6">
                  <c:v>13056.678899999997</c:v>
                </c:pt>
                <c:pt idx="7">
                  <c:v>6564.2684000000008</c:v>
                </c:pt>
                <c:pt idx="8">
                  <c:v>6576.1846000000005</c:v>
                </c:pt>
                <c:pt idx="9">
                  <c:v>6685.0841000000009</c:v>
                </c:pt>
              </c:numCache>
            </c:numRef>
          </c:val>
          <c:extLst>
            <c:ext xmlns:c16="http://schemas.microsoft.com/office/drawing/2014/chart" uri="{C3380CC4-5D6E-409C-BE32-E72D297353CC}">
              <c16:uniqueId val="{00000000-85F1-4F60-B97F-9A954CF81244}"/>
            </c:ext>
          </c:extLst>
        </c:ser>
        <c:dLbls>
          <c:showLegendKey val="0"/>
          <c:showVal val="0"/>
          <c:showCatName val="0"/>
          <c:showSerName val="0"/>
          <c:showPercent val="0"/>
          <c:showBubbleSize val="0"/>
        </c:dLbls>
        <c:gapWidth val="150"/>
        <c:overlap val="100"/>
        <c:axId val="239099168"/>
        <c:axId val="1996334608"/>
      </c:barChart>
      <c:catAx>
        <c:axId val="23909916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6334608"/>
        <c:crosses val="autoZero"/>
        <c:auto val="1"/>
        <c:lblAlgn val="ctr"/>
        <c:lblOffset val="100"/>
        <c:noMultiLvlLbl val="0"/>
      </c:catAx>
      <c:valAx>
        <c:axId val="19963346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9099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[Naveen Excel min project .xlsx]Sheet3!PivotTable18</c:name>
    <c:fmtId val="14"/>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Count</a:t>
            </a:r>
            <a:r>
              <a:rPr lang="en-US" baseline="0"/>
              <a:t> of coupon_code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6"/>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7"/>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9"/>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5555555555555552E-2"/>
          <c:y val="0.17581036745406825"/>
          <c:w val="0.80410651793525811"/>
          <c:h val="0.75474518810148727"/>
        </c:manualLayout>
      </c:layout>
      <c:pie3DChart>
        <c:varyColors val="1"/>
        <c:ser>
          <c:idx val="0"/>
          <c:order val="0"/>
          <c:tx>
            <c:strRef>
              <c:f>Sheet3!$N$23</c:f>
              <c:strCache>
                <c:ptCount val="1"/>
                <c:pt idx="0">
                  <c:v>Total</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713A-499D-99B8-A9E429FE447D}"/>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713A-499D-99B8-A9E429FE447D}"/>
              </c:ext>
            </c:extLst>
          </c:dPt>
          <c:dPt>
            <c:idx val="2"/>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713A-499D-99B8-A9E429FE447D}"/>
              </c:ext>
            </c:extLst>
          </c:dPt>
          <c:dPt>
            <c:idx val="3"/>
            <c:bubble3D val="0"/>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7-713A-499D-99B8-A9E429FE447D}"/>
              </c:ext>
            </c:extLst>
          </c:dPt>
          <c:dPt>
            <c:idx val="4"/>
            <c:bubble3D val="0"/>
            <c:spPr>
              <a:solidFill>
                <a:schemeClr val="accent5"/>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9-713A-499D-99B8-A9E429FE447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Sheet3!$M$24:$M$29</c:f>
              <c:strCache>
                <c:ptCount val="5"/>
                <c:pt idx="0">
                  <c:v>DEL0</c:v>
                </c:pt>
                <c:pt idx="1">
                  <c:v>FLAT10</c:v>
                </c:pt>
                <c:pt idx="2">
                  <c:v>FLAT15</c:v>
                </c:pt>
                <c:pt idx="3">
                  <c:v>FLAT20</c:v>
                </c:pt>
                <c:pt idx="4">
                  <c:v>FLAT8</c:v>
                </c:pt>
              </c:strCache>
            </c:strRef>
          </c:cat>
          <c:val>
            <c:numRef>
              <c:f>Sheet3!$N$24:$N$29</c:f>
              <c:numCache>
                <c:formatCode>General</c:formatCode>
                <c:ptCount val="5"/>
                <c:pt idx="0">
                  <c:v>102</c:v>
                </c:pt>
                <c:pt idx="1">
                  <c:v>100</c:v>
                </c:pt>
                <c:pt idx="2">
                  <c:v>83</c:v>
                </c:pt>
                <c:pt idx="3">
                  <c:v>104</c:v>
                </c:pt>
                <c:pt idx="4">
                  <c:v>111</c:v>
                </c:pt>
              </c:numCache>
            </c:numRef>
          </c:val>
          <c:extLst>
            <c:ext xmlns:c16="http://schemas.microsoft.com/office/drawing/2014/chart" uri="{C3380CC4-5D6E-409C-BE32-E72D297353CC}">
              <c16:uniqueId val="{0000000A-713A-499D-99B8-A9E429FE447D}"/>
            </c:ext>
          </c:extLst>
        </c:ser>
        <c:dLbls>
          <c:dLblPos val="inEnd"/>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[Naveen Excel min project .xlsx]Sheet3!PivotTable19</c:name>
    <c:fmtId val="6"/>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cOUNT</a:t>
            </a:r>
            <a:r>
              <a:rPr lang="en-US" baseline="0"/>
              <a:t> OF TOP 7 PRODUCTS AND ORDERS</a:t>
            </a:r>
            <a:endParaRPr lang="en-US"/>
          </a:p>
        </c:rich>
      </c:tx>
      <c:layout>
        <c:manualLayout>
          <c:xMode val="edge"/>
          <c:yMode val="edge"/>
          <c:x val="0.18374379753625689"/>
          <c:y val="3.1152647975077882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Sheet3!$N$37</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Sheet3!$M$38:$M$45</c:f>
              <c:strCache>
                <c:ptCount val="7"/>
                <c:pt idx="0">
                  <c:v>PID002</c:v>
                </c:pt>
                <c:pt idx="1">
                  <c:v>PID018</c:v>
                </c:pt>
                <c:pt idx="2">
                  <c:v>PID027</c:v>
                </c:pt>
                <c:pt idx="3">
                  <c:v>PID036</c:v>
                </c:pt>
                <c:pt idx="4">
                  <c:v>PID041</c:v>
                </c:pt>
                <c:pt idx="5">
                  <c:v>PID046</c:v>
                </c:pt>
                <c:pt idx="6">
                  <c:v>PID048</c:v>
                </c:pt>
              </c:strCache>
            </c:strRef>
          </c:cat>
          <c:val>
            <c:numRef>
              <c:f>Sheet3!$N$38:$N$45</c:f>
              <c:numCache>
                <c:formatCode>General</c:formatCode>
                <c:ptCount val="7"/>
                <c:pt idx="0">
                  <c:v>14</c:v>
                </c:pt>
                <c:pt idx="1">
                  <c:v>15</c:v>
                </c:pt>
                <c:pt idx="2">
                  <c:v>15</c:v>
                </c:pt>
                <c:pt idx="3">
                  <c:v>17</c:v>
                </c:pt>
                <c:pt idx="4">
                  <c:v>14</c:v>
                </c:pt>
                <c:pt idx="5">
                  <c:v>16</c:v>
                </c:pt>
                <c:pt idx="6">
                  <c:v>15</c:v>
                </c:pt>
              </c:numCache>
            </c:numRef>
          </c:val>
          <c:extLst>
            <c:ext xmlns:c16="http://schemas.microsoft.com/office/drawing/2014/chart" uri="{C3380CC4-5D6E-409C-BE32-E72D297353CC}">
              <c16:uniqueId val="{00000064-18F0-4893-9D70-D7ACDFB67E06}"/>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[Naveen Excel min project .xlsx]Sheet3!PivotTable20</c:name>
    <c:fmtId val="19"/>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IN" b="1"/>
              <a:t>Gender</a:t>
            </a:r>
            <a:r>
              <a:rPr lang="en-IN" b="1" baseline="0"/>
              <a:t> wise total Amount</a:t>
            </a:r>
            <a:endParaRPr lang="en-IN" b="1"/>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IN"/>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8"/>
          <c:spPr>
            <a:solidFill>
              <a:schemeClr val="accent1">
                <a:tint val="6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circle"/>
          <c:size val="8"/>
          <c:spPr>
            <a:solidFill>
              <a:schemeClr val="accent1">
                <a:shade val="6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58092738407698"/>
          <c:y val="0.24806746671726276"/>
          <c:w val="0.730011811023622"/>
          <c:h val="0.66057576763747905"/>
        </c:manualLayout>
      </c:layout>
      <c:barChart>
        <c:barDir val="col"/>
        <c:grouping val="clustered"/>
        <c:varyColors val="0"/>
        <c:ser>
          <c:idx val="0"/>
          <c:order val="0"/>
          <c:tx>
            <c:strRef>
              <c:f>Sheet3!$AA$17:$AA$18</c:f>
              <c:strCache>
                <c:ptCount val="1"/>
                <c:pt idx="0">
                  <c:v>Female</c:v>
                </c:pt>
              </c:strCache>
            </c:strRef>
          </c:tx>
          <c:spPr>
            <a:solidFill>
              <a:schemeClr val="accent1">
                <a:shade val="65000"/>
              </a:schemeClr>
            </a:solidFill>
            <a:ln>
              <a:noFill/>
            </a:ln>
            <a:effectLst/>
          </c:spPr>
          <c:invertIfNegative val="0"/>
          <c:cat>
            <c:strRef>
              <c:f>Sheet3!$Z$19:$Z$31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Sheet3!$AA$19:$AA$31</c:f>
              <c:numCache>
                <c:formatCode>General</c:formatCode>
                <c:ptCount val="12"/>
                <c:pt idx="0">
                  <c:v>8150.0287999999991</c:v>
                </c:pt>
                <c:pt idx="1">
                  <c:v>9383.2882999999983</c:v>
                </c:pt>
                <c:pt idx="2">
                  <c:v>11079.1746</c:v>
                </c:pt>
                <c:pt idx="3">
                  <c:v>16094.931699999999</c:v>
                </c:pt>
                <c:pt idx="4">
                  <c:v>3690.1650000000004</c:v>
                </c:pt>
                <c:pt idx="5">
                  <c:v>10185.532500000001</c:v>
                </c:pt>
                <c:pt idx="6">
                  <c:v>8454.1744000000017</c:v>
                </c:pt>
                <c:pt idx="7">
                  <c:v>10309.336700000002</c:v>
                </c:pt>
                <c:pt idx="8">
                  <c:v>5620.5067000000008</c:v>
                </c:pt>
                <c:pt idx="9">
                  <c:v>8193.9498999999996</c:v>
                </c:pt>
                <c:pt idx="10">
                  <c:v>3964.8175999999994</c:v>
                </c:pt>
                <c:pt idx="11">
                  <c:v>5307.2115999999996</c:v>
                </c:pt>
              </c:numCache>
            </c:numRef>
          </c:val>
          <c:extLst>
            <c:ext xmlns:c16="http://schemas.microsoft.com/office/drawing/2014/chart" uri="{C3380CC4-5D6E-409C-BE32-E72D297353CC}">
              <c16:uniqueId val="{00000000-BF1D-4E54-93CB-7BA5AE2E64E3}"/>
            </c:ext>
          </c:extLst>
        </c:ser>
        <c:ser>
          <c:idx val="1"/>
          <c:order val="1"/>
          <c:tx>
            <c:strRef>
              <c:f>Sheet3!$AB$17:$AB$18</c:f>
              <c:strCache>
                <c:ptCount val="1"/>
                <c:pt idx="0">
                  <c:v>Male</c:v>
                </c:pt>
              </c:strCache>
            </c:strRef>
          </c:tx>
          <c:spPr>
            <a:solidFill>
              <a:schemeClr val="accent1"/>
            </a:solidFill>
            <a:ln>
              <a:noFill/>
            </a:ln>
            <a:effectLst/>
          </c:spPr>
          <c:invertIfNegative val="0"/>
          <c:cat>
            <c:strRef>
              <c:f>Sheet3!$Z$19:$Z$31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Sheet3!$AB$19:$AB$31</c:f>
              <c:numCache>
                <c:formatCode>General</c:formatCode>
                <c:ptCount val="12"/>
                <c:pt idx="0">
                  <c:v>6482.6481000000013</c:v>
                </c:pt>
                <c:pt idx="1">
                  <c:v>7999.7120000000004</c:v>
                </c:pt>
                <c:pt idx="2">
                  <c:v>7791.677999999999</c:v>
                </c:pt>
                <c:pt idx="3">
                  <c:v>10241.5874</c:v>
                </c:pt>
                <c:pt idx="4">
                  <c:v>8286.7198000000008</c:v>
                </c:pt>
                <c:pt idx="5">
                  <c:v>10543.312599999999</c:v>
                </c:pt>
                <c:pt idx="6">
                  <c:v>14543.007100000001</c:v>
                </c:pt>
                <c:pt idx="7">
                  <c:v>8244.1471000000001</c:v>
                </c:pt>
                <c:pt idx="8">
                  <c:v>9875.9236999999994</c:v>
                </c:pt>
                <c:pt idx="9">
                  <c:v>9548.174500000001</c:v>
                </c:pt>
                <c:pt idx="10">
                  <c:v>5559.0000000000009</c:v>
                </c:pt>
                <c:pt idx="11">
                  <c:v>6295.1010999999999</c:v>
                </c:pt>
              </c:numCache>
            </c:numRef>
          </c:val>
          <c:extLst>
            <c:ext xmlns:c16="http://schemas.microsoft.com/office/drawing/2014/chart" uri="{C3380CC4-5D6E-409C-BE32-E72D297353CC}">
              <c16:uniqueId val="{0000000A-7168-4A6E-91AA-7866BD757C4B}"/>
            </c:ext>
          </c:extLst>
        </c:ser>
        <c:ser>
          <c:idx val="2"/>
          <c:order val="2"/>
          <c:tx>
            <c:strRef>
              <c:f>Sheet3!$AC$17:$AC$18</c:f>
              <c:strCache>
                <c:ptCount val="1"/>
                <c:pt idx="0">
                  <c:v>Other</c:v>
                </c:pt>
              </c:strCache>
            </c:strRef>
          </c:tx>
          <c:spPr>
            <a:solidFill>
              <a:schemeClr val="accent1">
                <a:tint val="65000"/>
              </a:schemeClr>
            </a:solidFill>
            <a:ln>
              <a:noFill/>
            </a:ln>
            <a:effectLst/>
          </c:spPr>
          <c:invertIfNegative val="0"/>
          <c:cat>
            <c:strRef>
              <c:f>Sheet3!$Z$19:$Z$31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Sheet3!$AC$19:$AC$31</c:f>
              <c:numCache>
                <c:formatCode>General</c:formatCode>
                <c:ptCount val="12"/>
                <c:pt idx="0">
                  <c:v>16747.9372</c:v>
                </c:pt>
                <c:pt idx="1">
                  <c:v>7828.3640999999998</c:v>
                </c:pt>
                <c:pt idx="2">
                  <c:v>8111.0689000000011</c:v>
                </c:pt>
                <c:pt idx="3">
                  <c:v>12224.427300000001</c:v>
                </c:pt>
                <c:pt idx="4">
                  <c:v>10840.48</c:v>
                </c:pt>
                <c:pt idx="5">
                  <c:v>10607.983799999998</c:v>
                </c:pt>
                <c:pt idx="6">
                  <c:v>15550.084700000001</c:v>
                </c:pt>
                <c:pt idx="7">
                  <c:v>9277.9221999999991</c:v>
                </c:pt>
                <c:pt idx="8">
                  <c:v>10683.466199999999</c:v>
                </c:pt>
                <c:pt idx="9">
                  <c:v>8392.2402000000002</c:v>
                </c:pt>
                <c:pt idx="10">
                  <c:v>16941.671599999998</c:v>
                </c:pt>
                <c:pt idx="11">
                  <c:v>14139.984299999996</c:v>
                </c:pt>
              </c:numCache>
            </c:numRef>
          </c:val>
          <c:extLst>
            <c:ext xmlns:c16="http://schemas.microsoft.com/office/drawing/2014/chart" uri="{C3380CC4-5D6E-409C-BE32-E72D297353CC}">
              <c16:uniqueId val="{0000000B-7168-4A6E-91AA-7866BD757C4B}"/>
            </c:ext>
          </c:extLst>
        </c:ser>
        <c:dLbls>
          <c:showLegendKey val="0"/>
          <c:showVal val="0"/>
          <c:showCatName val="0"/>
          <c:showSerName val="0"/>
          <c:showPercent val="0"/>
          <c:showBubbleSize val="0"/>
        </c:dLbls>
        <c:gapWidth val="199"/>
        <c:axId val="407151488"/>
        <c:axId val="282525072"/>
      </c:barChart>
      <c:catAx>
        <c:axId val="407151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282525072"/>
        <c:crosses val="autoZero"/>
        <c:auto val="1"/>
        <c:lblAlgn val="ctr"/>
        <c:lblOffset val="100"/>
        <c:noMultiLvlLbl val="0"/>
      </c:catAx>
      <c:valAx>
        <c:axId val="282525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7151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[Naveen Excel min project .xlsx]Sheet3!PivotTable22</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City Wise Toatl Amount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9254002624671915"/>
          <c:y val="0.21747703412073491"/>
          <c:w val="0.75912664041994748"/>
          <c:h val="0.69827172645086033"/>
        </c:manualLayout>
      </c:layout>
      <c:bar3DChart>
        <c:barDir val="bar"/>
        <c:grouping val="clustered"/>
        <c:varyColors val="0"/>
        <c:ser>
          <c:idx val="0"/>
          <c:order val="0"/>
          <c:tx>
            <c:strRef>
              <c:f>Sheet3!$AJ$26</c:f>
              <c:strCache>
                <c:ptCount val="1"/>
                <c:pt idx="0">
                  <c:v>Total</c:v>
                </c:pt>
              </c:strCache>
            </c:strRef>
          </c:tx>
          <c:spPr>
            <a:solidFill>
              <a:schemeClr val="accent1"/>
            </a:solidFill>
            <a:ln>
              <a:noFill/>
            </a:ln>
            <a:effectLst/>
            <a:sp3d/>
          </c:spPr>
          <c:invertIfNegative val="0"/>
          <c:cat>
            <c:strRef>
              <c:f>Sheet3!$AI$27:$AI$35</c:f>
              <c:strCache>
                <c:ptCount val="8"/>
                <c:pt idx="0">
                  <c:v>Chicago</c:v>
                </c:pt>
                <c:pt idx="1">
                  <c:v>Dallas</c:v>
                </c:pt>
                <c:pt idx="2">
                  <c:v>Houston</c:v>
                </c:pt>
                <c:pt idx="3">
                  <c:v>Los Angeles</c:v>
                </c:pt>
                <c:pt idx="4">
                  <c:v>Miami</c:v>
                </c:pt>
                <c:pt idx="5">
                  <c:v>New York</c:v>
                </c:pt>
                <c:pt idx="6">
                  <c:v>Phoenix</c:v>
                </c:pt>
                <c:pt idx="7">
                  <c:v>San Francisco</c:v>
                </c:pt>
              </c:strCache>
            </c:strRef>
          </c:cat>
          <c:val>
            <c:numRef>
              <c:f>Sheet3!$AJ$27:$AJ$35</c:f>
              <c:numCache>
                <c:formatCode>General</c:formatCode>
                <c:ptCount val="8"/>
                <c:pt idx="0">
                  <c:v>33234.737000000001</c:v>
                </c:pt>
                <c:pt idx="1">
                  <c:v>46047.757000000012</c:v>
                </c:pt>
                <c:pt idx="2">
                  <c:v>60148.810399999995</c:v>
                </c:pt>
                <c:pt idx="3">
                  <c:v>47533.305899999992</c:v>
                </c:pt>
                <c:pt idx="4">
                  <c:v>24762.065300000006</c:v>
                </c:pt>
                <c:pt idx="5">
                  <c:v>39809.197500000009</c:v>
                </c:pt>
                <c:pt idx="6">
                  <c:v>45607.425800000005</c:v>
                </c:pt>
                <c:pt idx="7">
                  <c:v>50046.460799999986</c:v>
                </c:pt>
              </c:numCache>
            </c:numRef>
          </c:val>
          <c:extLst>
            <c:ext xmlns:c16="http://schemas.microsoft.com/office/drawing/2014/chart" uri="{C3380CC4-5D6E-409C-BE32-E72D297353CC}">
              <c16:uniqueId val="{00000000-7943-47D6-BCFF-CABD6165B5E4}"/>
            </c:ext>
          </c:extLst>
        </c:ser>
        <c:dLbls>
          <c:showLegendKey val="0"/>
          <c:showVal val="0"/>
          <c:showCatName val="0"/>
          <c:showSerName val="0"/>
          <c:showPercent val="0"/>
          <c:showBubbleSize val="0"/>
        </c:dLbls>
        <c:gapWidth val="150"/>
        <c:shape val="box"/>
        <c:axId val="239314464"/>
        <c:axId val="1996319248"/>
        <c:axId val="0"/>
      </c:bar3DChart>
      <c:catAx>
        <c:axId val="2393144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6319248"/>
        <c:crosses val="autoZero"/>
        <c:auto val="1"/>
        <c:lblAlgn val="ctr"/>
        <c:lblOffset val="100"/>
        <c:noMultiLvlLbl val="0"/>
      </c:catAx>
      <c:valAx>
        <c:axId val="19963192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9314464"/>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txData>
          <cx:v>City Wise Toatl Sales</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Calibri" panose="020F0502020204030204"/>
            </a:rPr>
            <a:t>City Wise Toatl Sales</a:t>
          </a:r>
        </a:p>
      </cx:txPr>
    </cx:title>
    <cx:plotArea>
      <cx:plotAreaRegion>
        <cx:series layoutId="funnel" uniqueId="{00000000-20EC-4522-B69E-3135E6B14EE8}">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title pos="t" align="ctr" overlay="0">
      <cx:tx>
        <cx:txData>
          <cx:v>City Wise Toatl Sales</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Calibri" panose="020F0502020204030204"/>
            </a:rPr>
            <a:t>City Wise Toatl Sales</a:t>
          </a:r>
        </a:p>
      </cx:txPr>
      <cx:extLst>
        <cx:ext uri="ext:featex">
          <cx:featureExtension feature="mp" drop="onModelChange">
            <cx:offset top="0.0083333337679505348" left="-0.02500000037252903"/>
          </cx:featureExtension>
        </cx:ext>
      </cx:extLst>
    </cx:title>
    <cx:plotArea>
      <cx:plotAreaRegion>
        <cx:series layoutId="funnel" uniqueId="{00000000-20EC-4522-B69E-3135E6B14EE8}">
          <cx:dataLabels>
            <cx:visibility seriesName="0" categoryName="0" value="1"/>
          </cx:dataLabels>
          <cx:dataId val="0"/>
        </cx:series>
      </cx:plotAreaRegion>
      <cx:axis id="0">
        <cx:catScaling gapWidth="0.0599999987"/>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4">
  <a:schemeClr val="accent1"/>
</cs:colorStyle>
</file>

<file path=xl/charts/colors10.xml><?xml version="1.0" encoding="utf-8"?>
<cs:colorStyle xmlns:cs="http://schemas.microsoft.com/office/drawing/2012/chartStyle" xmlns:a="http://schemas.openxmlformats.org/drawingml/2006/main" meth="withinLinear" id="14">
  <a:schemeClr val="accent1"/>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microsoft.com/office/2014/relationships/chartEx" Target="../charts/chartEx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7.png"/><Relationship Id="rId18" Type="http://schemas.openxmlformats.org/officeDocument/2006/relationships/image" Target="../media/image12.svg"/><Relationship Id="rId3" Type="http://schemas.openxmlformats.org/officeDocument/2006/relationships/chart" Target="../charts/chart8.xml"/><Relationship Id="rId7" Type="http://schemas.openxmlformats.org/officeDocument/2006/relationships/image" Target="../media/image1.png"/><Relationship Id="rId12" Type="http://schemas.openxmlformats.org/officeDocument/2006/relationships/image" Target="../media/image6.svg"/><Relationship Id="rId17" Type="http://schemas.openxmlformats.org/officeDocument/2006/relationships/image" Target="../media/image11.png"/><Relationship Id="rId2" Type="http://schemas.openxmlformats.org/officeDocument/2006/relationships/chart" Target="../charts/chart7.xml"/><Relationship Id="rId16" Type="http://schemas.openxmlformats.org/officeDocument/2006/relationships/image" Target="../media/image10.svg"/><Relationship Id="rId20" Type="http://schemas.microsoft.com/office/2007/relationships/hdphoto" Target="../media/hdphoto1.wdp"/><Relationship Id="rId1" Type="http://schemas.openxmlformats.org/officeDocument/2006/relationships/chart" Target="../charts/chart6.xml"/><Relationship Id="rId6" Type="http://schemas.microsoft.com/office/2014/relationships/chartEx" Target="../charts/chartEx2.xml"/><Relationship Id="rId11" Type="http://schemas.openxmlformats.org/officeDocument/2006/relationships/image" Target="../media/image5.png"/><Relationship Id="rId5" Type="http://schemas.openxmlformats.org/officeDocument/2006/relationships/chart" Target="../charts/chart10.xml"/><Relationship Id="rId15" Type="http://schemas.openxmlformats.org/officeDocument/2006/relationships/image" Target="../media/image9.png"/><Relationship Id="rId10" Type="http://schemas.openxmlformats.org/officeDocument/2006/relationships/image" Target="../media/image4.svg"/><Relationship Id="rId19" Type="http://schemas.openxmlformats.org/officeDocument/2006/relationships/image" Target="../media/image13.png"/><Relationship Id="rId4" Type="http://schemas.openxmlformats.org/officeDocument/2006/relationships/chart" Target="../charts/chart9.xml"/><Relationship Id="rId9" Type="http://schemas.openxmlformats.org/officeDocument/2006/relationships/image" Target="../media/image3.png"/><Relationship Id="rId1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editAs="oneCell">
    <xdr:from>
      <xdr:col>5</xdr:col>
      <xdr:colOff>502920</xdr:colOff>
      <xdr:row>4</xdr:row>
      <xdr:rowOff>22860</xdr:rowOff>
    </xdr:from>
    <xdr:to>
      <xdr:col>8</xdr:col>
      <xdr:colOff>502920</xdr:colOff>
      <xdr:row>17</xdr:row>
      <xdr:rowOff>112395</xdr:rowOff>
    </xdr:to>
    <mc:AlternateContent xmlns:mc="http://schemas.openxmlformats.org/markup-compatibility/2006" xmlns:a14="http://schemas.microsoft.com/office/drawing/2010/main">
      <mc:Choice Requires="a14">
        <xdr:graphicFrame macro="">
          <xdr:nvGraphicFramePr>
            <xdr:cNvPr id="3" name="Gender 1">
              <a:extLst>
                <a:ext uri="{FF2B5EF4-FFF2-40B4-BE49-F238E27FC236}">
                  <a16:creationId xmlns:a16="http://schemas.microsoft.com/office/drawing/2014/main" id="{483DF384-9518-C90F-B715-8F72D81BC660}"/>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5829300" y="7543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579120</xdr:colOff>
      <xdr:row>15</xdr:row>
      <xdr:rowOff>53340</xdr:rowOff>
    </xdr:from>
    <xdr:to>
      <xdr:col>4</xdr:col>
      <xdr:colOff>1927860</xdr:colOff>
      <xdr:row>29</xdr:row>
      <xdr:rowOff>106680</xdr:rowOff>
    </xdr:to>
    <mc:AlternateContent xmlns:mc="http://schemas.openxmlformats.org/markup-compatibility/2006" xmlns:a14="http://schemas.microsoft.com/office/drawing/2010/main">
      <mc:Choice Requires="a14">
        <xdr:graphicFrame macro="">
          <xdr:nvGraphicFramePr>
            <xdr:cNvPr id="4" name="City">
              <a:extLst>
                <a:ext uri="{FF2B5EF4-FFF2-40B4-BE49-F238E27FC236}">
                  <a16:creationId xmlns:a16="http://schemas.microsoft.com/office/drawing/2014/main" id="{8D0DEB2E-A407-A155-0571-8CCDA874FE9F}"/>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3520440" y="2796540"/>
              <a:ext cx="1348740" cy="2613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358140</xdr:colOff>
      <xdr:row>14</xdr:row>
      <xdr:rowOff>114301</xdr:rowOff>
    </xdr:from>
    <xdr:to>
      <xdr:col>12</xdr:col>
      <xdr:colOff>358140</xdr:colOff>
      <xdr:row>21</xdr:row>
      <xdr:rowOff>60960</xdr:rowOff>
    </xdr:to>
    <mc:AlternateContent xmlns:mc="http://schemas.openxmlformats.org/markup-compatibility/2006" xmlns:a14="http://schemas.microsoft.com/office/drawing/2010/main">
      <mc:Choice Requires="a14">
        <xdr:graphicFrame macro="">
          <xdr:nvGraphicFramePr>
            <xdr:cNvPr id="5" name="Coupon_Code">
              <a:extLst>
                <a:ext uri="{FF2B5EF4-FFF2-40B4-BE49-F238E27FC236}">
                  <a16:creationId xmlns:a16="http://schemas.microsoft.com/office/drawing/2014/main" id="{7F1A823C-883B-9594-E7B2-8C1703344D67}"/>
                </a:ext>
              </a:extLst>
            </xdr:cNvPr>
            <xdr:cNvGraphicFramePr/>
          </xdr:nvGraphicFramePr>
          <xdr:xfrm>
            <a:off x="0" y="0"/>
            <a:ext cx="0" cy="0"/>
          </xdr:xfrm>
          <a:graphic>
            <a:graphicData uri="http://schemas.microsoft.com/office/drawing/2010/slicer">
              <sle:slicer xmlns:sle="http://schemas.microsoft.com/office/drawing/2010/slicer" name="Coupon_Code"/>
            </a:graphicData>
          </a:graphic>
        </xdr:graphicFrame>
      </mc:Choice>
      <mc:Fallback xmlns="">
        <xdr:sp macro="" textlink="">
          <xdr:nvSpPr>
            <xdr:cNvPr id="0" name=""/>
            <xdr:cNvSpPr>
              <a:spLocks noTextEdit="1"/>
            </xdr:cNvSpPr>
          </xdr:nvSpPr>
          <xdr:spPr>
            <a:xfrm>
              <a:off x="8122920" y="2674621"/>
              <a:ext cx="1828800" cy="12268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327660</xdr:colOff>
      <xdr:row>21</xdr:row>
      <xdr:rowOff>91441</xdr:rowOff>
    </xdr:from>
    <xdr:to>
      <xdr:col>12</xdr:col>
      <xdr:colOff>388620</xdr:colOff>
      <xdr:row>33</xdr:row>
      <xdr:rowOff>114301</xdr:rowOff>
    </xdr:to>
    <mc:AlternateContent xmlns:mc="http://schemas.openxmlformats.org/markup-compatibility/2006" xmlns:a14="http://schemas.microsoft.com/office/drawing/2010/main">
      <mc:Choice Requires="a14">
        <xdr:graphicFrame macro="">
          <xdr:nvGraphicFramePr>
            <xdr:cNvPr id="6" name="Product_ID">
              <a:extLst>
                <a:ext uri="{FF2B5EF4-FFF2-40B4-BE49-F238E27FC236}">
                  <a16:creationId xmlns:a16="http://schemas.microsoft.com/office/drawing/2014/main" id="{106CFF20-2E9B-998A-ED84-65E379C8F93B}"/>
                </a:ext>
              </a:extLst>
            </xdr:cNvPr>
            <xdr:cNvGraphicFramePr/>
          </xdr:nvGraphicFramePr>
          <xdr:xfrm>
            <a:off x="0" y="0"/>
            <a:ext cx="0" cy="0"/>
          </xdr:xfrm>
          <a:graphic>
            <a:graphicData uri="http://schemas.microsoft.com/office/drawing/2010/slicer">
              <sle:slicer xmlns:sle="http://schemas.microsoft.com/office/drawing/2010/slicer" name="Product_ID"/>
            </a:graphicData>
          </a:graphic>
        </xdr:graphicFrame>
      </mc:Choice>
      <mc:Fallback xmlns="">
        <xdr:sp macro="" textlink="">
          <xdr:nvSpPr>
            <xdr:cNvPr id="0" name=""/>
            <xdr:cNvSpPr>
              <a:spLocks noTextEdit="1"/>
            </xdr:cNvSpPr>
          </xdr:nvSpPr>
          <xdr:spPr>
            <a:xfrm>
              <a:off x="8092440" y="3931921"/>
              <a:ext cx="1889760" cy="2217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502920</xdr:colOff>
      <xdr:row>4</xdr:row>
      <xdr:rowOff>121920</xdr:rowOff>
    </xdr:from>
    <xdr:to>
      <xdr:col>15</xdr:col>
      <xdr:colOff>182880</xdr:colOff>
      <xdr:row>12</xdr:row>
      <xdr:rowOff>30480</xdr:rowOff>
    </xdr:to>
    <mc:AlternateContent xmlns:mc="http://schemas.openxmlformats.org/markup-compatibility/2006" xmlns:tsle="http://schemas.microsoft.com/office/drawing/2012/timeslicer">
      <mc:Choice Requires="tsle">
        <xdr:graphicFrame macro="">
          <xdr:nvGraphicFramePr>
            <xdr:cNvPr id="7" name="Order_Date">
              <a:extLst>
                <a:ext uri="{FF2B5EF4-FFF2-40B4-BE49-F238E27FC236}">
                  <a16:creationId xmlns:a16="http://schemas.microsoft.com/office/drawing/2014/main" id="{B644BFCB-8289-5C9D-F653-BBAF0B4801C6}"/>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8267700" y="85344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14</xdr:col>
      <xdr:colOff>457200</xdr:colOff>
      <xdr:row>6</xdr:row>
      <xdr:rowOff>30480</xdr:rowOff>
    </xdr:from>
    <xdr:to>
      <xdr:col>22</xdr:col>
      <xdr:colOff>152400</xdr:colOff>
      <xdr:row>21</xdr:row>
      <xdr:rowOff>30480</xdr:rowOff>
    </xdr:to>
    <xdr:graphicFrame macro="">
      <xdr:nvGraphicFramePr>
        <xdr:cNvPr id="3" name="Chart 2">
          <a:extLst>
            <a:ext uri="{FF2B5EF4-FFF2-40B4-BE49-F238E27FC236}">
              <a16:creationId xmlns:a16="http://schemas.microsoft.com/office/drawing/2014/main" id="{57F8A40C-311E-12B2-FE4D-D6437BD493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320040</xdr:colOff>
      <xdr:row>22</xdr:row>
      <xdr:rowOff>83820</xdr:rowOff>
    </xdr:from>
    <xdr:to>
      <xdr:col>20</xdr:col>
      <xdr:colOff>7620</xdr:colOff>
      <xdr:row>31</xdr:row>
      <xdr:rowOff>167640</xdr:rowOff>
    </xdr:to>
    <xdr:graphicFrame macro="">
      <xdr:nvGraphicFramePr>
        <xdr:cNvPr id="4" name="Chart 3">
          <a:extLst>
            <a:ext uri="{FF2B5EF4-FFF2-40B4-BE49-F238E27FC236}">
              <a16:creationId xmlns:a16="http://schemas.microsoft.com/office/drawing/2014/main" id="{0756DF42-E1F5-72A0-F135-FF9242E6B2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25</xdr:col>
      <xdr:colOff>967740</xdr:colOff>
      <xdr:row>32</xdr:row>
      <xdr:rowOff>22860</xdr:rowOff>
    </xdr:from>
    <xdr:to>
      <xdr:col>31</xdr:col>
      <xdr:colOff>274320</xdr:colOff>
      <xdr:row>47</xdr:row>
      <xdr:rowOff>22860</xdr:rowOff>
    </xdr:to>
    <xdr:graphicFrame macro="">
      <xdr:nvGraphicFramePr>
        <xdr:cNvPr id="6" name="Chart 5">
          <a:extLst>
            <a:ext uri="{FF2B5EF4-FFF2-40B4-BE49-F238E27FC236}">
              <a16:creationId xmlns:a16="http://schemas.microsoft.com/office/drawing/2014/main" id="{5502C165-979B-B4C5-581B-D57D75C42A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36</xdr:col>
      <xdr:colOff>441960</xdr:colOff>
      <xdr:row>26</xdr:row>
      <xdr:rowOff>167640</xdr:rowOff>
    </xdr:from>
    <xdr:to>
      <xdr:col>44</xdr:col>
      <xdr:colOff>137160</xdr:colOff>
      <xdr:row>41</xdr:row>
      <xdr:rowOff>167640</xdr:rowOff>
    </xdr:to>
    <xdr:graphicFrame macro="">
      <xdr:nvGraphicFramePr>
        <xdr:cNvPr id="8" name="Chart 7">
          <a:extLst>
            <a:ext uri="{FF2B5EF4-FFF2-40B4-BE49-F238E27FC236}">
              <a16:creationId xmlns:a16="http://schemas.microsoft.com/office/drawing/2014/main" id="{C726A13B-572A-3CEA-E06C-EE9C1B6FCC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46</xdr:col>
      <xdr:colOff>175260</xdr:colOff>
      <xdr:row>26</xdr:row>
      <xdr:rowOff>7620</xdr:rowOff>
    </xdr:from>
    <xdr:to>
      <xdr:col>53</xdr:col>
      <xdr:colOff>480060</xdr:colOff>
      <xdr:row>41</xdr:row>
      <xdr:rowOff>7620</xdr:rowOff>
    </xdr:to>
    <mc:AlternateContent xmlns:mc="http://schemas.openxmlformats.org/markup-compatibility/2006">
      <mc:Choice xmlns:cx2="http://schemas.microsoft.com/office/drawing/2015/10/21/chartex" Requires="cx2">
        <xdr:graphicFrame macro="">
          <xdr:nvGraphicFramePr>
            <xdr:cNvPr id="9" name="Chart 8">
              <a:extLst>
                <a:ext uri="{FF2B5EF4-FFF2-40B4-BE49-F238E27FC236}">
                  <a16:creationId xmlns:a16="http://schemas.microsoft.com/office/drawing/2014/main" id="{C00D3737-3ADD-65CE-C514-086853C8B99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42900600" y="476250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3</xdr:col>
      <xdr:colOff>579120</xdr:colOff>
      <xdr:row>36</xdr:row>
      <xdr:rowOff>152401</xdr:rowOff>
    </xdr:from>
    <xdr:to>
      <xdr:col>4</xdr:col>
      <xdr:colOff>2209800</xdr:colOff>
      <xdr:row>41</xdr:row>
      <xdr:rowOff>76200</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04107C3B-7ED9-7952-A2AA-A45699FEEC6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4632960" y="6736081"/>
              <a:ext cx="2240280" cy="8381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548640</xdr:colOff>
      <xdr:row>38</xdr:row>
      <xdr:rowOff>53340</xdr:rowOff>
    </xdr:from>
    <xdr:to>
      <xdr:col>22</xdr:col>
      <xdr:colOff>243840</xdr:colOff>
      <xdr:row>53</xdr:row>
      <xdr:rowOff>53340</xdr:rowOff>
    </xdr:to>
    <xdr:graphicFrame macro="">
      <xdr:nvGraphicFramePr>
        <xdr:cNvPr id="7" name="Chart 6">
          <a:extLst>
            <a:ext uri="{FF2B5EF4-FFF2-40B4-BE49-F238E27FC236}">
              <a16:creationId xmlns:a16="http://schemas.microsoft.com/office/drawing/2014/main" id="{7889A4E1-8B1D-ED08-FB62-9505AE1E6A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22860</xdr:colOff>
      <xdr:row>2</xdr:row>
      <xdr:rowOff>106680</xdr:rowOff>
    </xdr:from>
    <xdr:to>
      <xdr:col>23</xdr:col>
      <xdr:colOff>144780</xdr:colOff>
      <xdr:row>37</xdr:row>
      <xdr:rowOff>106680</xdr:rowOff>
    </xdr:to>
    <xdr:sp macro="" textlink="">
      <xdr:nvSpPr>
        <xdr:cNvPr id="2" name="Rectangle: Rounded Corners 1">
          <a:extLst>
            <a:ext uri="{FF2B5EF4-FFF2-40B4-BE49-F238E27FC236}">
              <a16:creationId xmlns:a16="http://schemas.microsoft.com/office/drawing/2014/main" id="{695B7A76-6DDA-25AB-0628-60477362F7C8}"/>
            </a:ext>
          </a:extLst>
        </xdr:cNvPr>
        <xdr:cNvSpPr/>
      </xdr:nvSpPr>
      <xdr:spPr>
        <a:xfrm>
          <a:off x="22860" y="472440"/>
          <a:ext cx="14142720" cy="6400800"/>
        </a:xfrm>
        <a:prstGeom prst="roundRect">
          <a:avLst>
            <a:gd name="adj" fmla="val 5085"/>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45720</xdr:colOff>
      <xdr:row>5</xdr:row>
      <xdr:rowOff>167640</xdr:rowOff>
    </xdr:from>
    <xdr:to>
      <xdr:col>2</xdr:col>
      <xdr:colOff>144780</xdr:colOff>
      <xdr:row>9</xdr:row>
      <xdr:rowOff>45720</xdr:rowOff>
    </xdr:to>
    <xdr:sp macro="" textlink="">
      <xdr:nvSpPr>
        <xdr:cNvPr id="3" name="Rectangle: Rounded Corners 2">
          <a:extLst>
            <a:ext uri="{FF2B5EF4-FFF2-40B4-BE49-F238E27FC236}">
              <a16:creationId xmlns:a16="http://schemas.microsoft.com/office/drawing/2014/main" id="{BC05A049-58C4-5FF9-0A97-EBAD64A2F74E}"/>
            </a:ext>
          </a:extLst>
        </xdr:cNvPr>
        <xdr:cNvSpPr/>
      </xdr:nvSpPr>
      <xdr:spPr>
        <a:xfrm>
          <a:off x="45720" y="1082040"/>
          <a:ext cx="1318260" cy="609600"/>
        </a:xfrm>
        <a:prstGeom prst="roundRect">
          <a:avLst>
            <a:gd name="adj" fmla="val 2350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205740</xdr:colOff>
      <xdr:row>5</xdr:row>
      <xdr:rowOff>167640</xdr:rowOff>
    </xdr:from>
    <xdr:to>
      <xdr:col>4</xdr:col>
      <xdr:colOff>388620</xdr:colOff>
      <xdr:row>9</xdr:row>
      <xdr:rowOff>38100</xdr:rowOff>
    </xdr:to>
    <xdr:sp macro="" textlink="">
      <xdr:nvSpPr>
        <xdr:cNvPr id="4" name="Rectangle: Rounded Corners 3">
          <a:extLst>
            <a:ext uri="{FF2B5EF4-FFF2-40B4-BE49-F238E27FC236}">
              <a16:creationId xmlns:a16="http://schemas.microsoft.com/office/drawing/2014/main" id="{6F461E7C-9E87-4329-9FFF-14A9F5408D03}"/>
            </a:ext>
          </a:extLst>
        </xdr:cNvPr>
        <xdr:cNvSpPr/>
      </xdr:nvSpPr>
      <xdr:spPr>
        <a:xfrm>
          <a:off x="1424940" y="1082040"/>
          <a:ext cx="1402080" cy="601980"/>
        </a:xfrm>
        <a:prstGeom prst="roundRect">
          <a:avLst>
            <a:gd name="adj" fmla="val 24883"/>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457200</xdr:colOff>
      <xdr:row>5</xdr:row>
      <xdr:rowOff>152400</xdr:rowOff>
    </xdr:from>
    <xdr:to>
      <xdr:col>6</xdr:col>
      <xdr:colOff>556260</xdr:colOff>
      <xdr:row>9</xdr:row>
      <xdr:rowOff>22860</xdr:rowOff>
    </xdr:to>
    <xdr:sp macro="" textlink="">
      <xdr:nvSpPr>
        <xdr:cNvPr id="5" name="Rectangle: Rounded Corners 4">
          <a:extLst>
            <a:ext uri="{FF2B5EF4-FFF2-40B4-BE49-F238E27FC236}">
              <a16:creationId xmlns:a16="http://schemas.microsoft.com/office/drawing/2014/main" id="{02D08D0F-D9E1-4F84-B76A-56F9AD603FA2}"/>
            </a:ext>
          </a:extLst>
        </xdr:cNvPr>
        <xdr:cNvSpPr/>
      </xdr:nvSpPr>
      <xdr:spPr>
        <a:xfrm>
          <a:off x="2895600" y="1066800"/>
          <a:ext cx="1318260" cy="601980"/>
        </a:xfrm>
        <a:prstGeom prst="roundRect">
          <a:avLst>
            <a:gd name="adj" fmla="val 16704"/>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6</xdr:row>
      <xdr:rowOff>7620</xdr:rowOff>
    </xdr:from>
    <xdr:to>
      <xdr:col>2</xdr:col>
      <xdr:colOff>586740</xdr:colOff>
      <xdr:row>7</xdr:row>
      <xdr:rowOff>53340</xdr:rowOff>
    </xdr:to>
    <xdr:sp macro="" textlink="">
      <xdr:nvSpPr>
        <xdr:cNvPr id="12" name="TextBox 11">
          <a:extLst>
            <a:ext uri="{FF2B5EF4-FFF2-40B4-BE49-F238E27FC236}">
              <a16:creationId xmlns:a16="http://schemas.microsoft.com/office/drawing/2014/main" id="{8CA0A14A-F6E5-0F1B-2D70-91502CA7DD63}"/>
            </a:ext>
          </a:extLst>
        </xdr:cNvPr>
        <xdr:cNvSpPr txBox="1"/>
      </xdr:nvSpPr>
      <xdr:spPr>
        <a:xfrm>
          <a:off x="0" y="1104900"/>
          <a:ext cx="180594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t>Total_unqiue_customer</a:t>
          </a:r>
        </a:p>
      </xdr:txBody>
    </xdr:sp>
    <xdr:clientData/>
  </xdr:twoCellAnchor>
  <xdr:twoCellAnchor>
    <xdr:from>
      <xdr:col>1</xdr:col>
      <xdr:colOff>266700</xdr:colOff>
      <xdr:row>7</xdr:row>
      <xdr:rowOff>76200</xdr:rowOff>
    </xdr:from>
    <xdr:to>
      <xdr:col>2</xdr:col>
      <xdr:colOff>449580</xdr:colOff>
      <xdr:row>9</xdr:row>
      <xdr:rowOff>7620</xdr:rowOff>
    </xdr:to>
    <xdr:sp macro="" textlink="">
      <xdr:nvSpPr>
        <xdr:cNvPr id="13" name="TextBox 12">
          <a:extLst>
            <a:ext uri="{FF2B5EF4-FFF2-40B4-BE49-F238E27FC236}">
              <a16:creationId xmlns:a16="http://schemas.microsoft.com/office/drawing/2014/main" id="{F876DB43-4C26-1A8E-3923-E4AFA65496DE}"/>
            </a:ext>
          </a:extLst>
        </xdr:cNvPr>
        <xdr:cNvSpPr txBox="1"/>
      </xdr:nvSpPr>
      <xdr:spPr>
        <a:xfrm>
          <a:off x="876300" y="1356360"/>
          <a:ext cx="79248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IN" sz="1400" b="1">
              <a:effectLst/>
            </a:rPr>
            <a:t> </a:t>
          </a:r>
          <a:endParaRPr lang="en-IN" sz="1400" b="1"/>
        </a:p>
      </xdr:txBody>
    </xdr:sp>
    <xdr:clientData/>
  </xdr:twoCellAnchor>
  <xdr:twoCellAnchor>
    <xdr:from>
      <xdr:col>2</xdr:col>
      <xdr:colOff>228600</xdr:colOff>
      <xdr:row>5</xdr:row>
      <xdr:rowOff>152400</xdr:rowOff>
    </xdr:from>
    <xdr:to>
      <xdr:col>5</xdr:col>
      <xdr:colOff>38100</xdr:colOff>
      <xdr:row>7</xdr:row>
      <xdr:rowOff>45720</xdr:rowOff>
    </xdr:to>
    <xdr:sp macro="" textlink="">
      <xdr:nvSpPr>
        <xdr:cNvPr id="15" name="TextBox 14">
          <a:extLst>
            <a:ext uri="{FF2B5EF4-FFF2-40B4-BE49-F238E27FC236}">
              <a16:creationId xmlns:a16="http://schemas.microsoft.com/office/drawing/2014/main" id="{A556B7F9-5DF6-6CE5-43B2-D4F046184B89}"/>
            </a:ext>
          </a:extLst>
        </xdr:cNvPr>
        <xdr:cNvSpPr txBox="1"/>
      </xdr:nvSpPr>
      <xdr:spPr>
        <a:xfrm>
          <a:off x="1447800" y="1066800"/>
          <a:ext cx="163830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t>High_order_customer</a:t>
          </a:r>
        </a:p>
      </xdr:txBody>
    </xdr:sp>
    <xdr:clientData/>
  </xdr:twoCellAnchor>
  <xdr:twoCellAnchor>
    <xdr:from>
      <xdr:col>8</xdr:col>
      <xdr:colOff>236220</xdr:colOff>
      <xdr:row>9</xdr:row>
      <xdr:rowOff>60960</xdr:rowOff>
    </xdr:from>
    <xdr:to>
      <xdr:col>10</xdr:col>
      <xdr:colOff>335280</xdr:colOff>
      <xdr:row>12</xdr:row>
      <xdr:rowOff>114300</xdr:rowOff>
    </xdr:to>
    <xdr:sp macro="" textlink="">
      <xdr:nvSpPr>
        <xdr:cNvPr id="21" name="Rectangle: Rounded Corners 20">
          <a:extLst>
            <a:ext uri="{FF2B5EF4-FFF2-40B4-BE49-F238E27FC236}">
              <a16:creationId xmlns:a16="http://schemas.microsoft.com/office/drawing/2014/main" id="{778415CC-E415-4BFB-BDC0-0C68F31CF502}"/>
            </a:ext>
          </a:extLst>
        </xdr:cNvPr>
        <xdr:cNvSpPr/>
      </xdr:nvSpPr>
      <xdr:spPr>
        <a:xfrm>
          <a:off x="5113020" y="1706880"/>
          <a:ext cx="1318260" cy="601980"/>
        </a:xfrm>
        <a:prstGeom prst="roundRect">
          <a:avLst>
            <a:gd name="adj" fmla="val 20501"/>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396240</xdr:colOff>
      <xdr:row>5</xdr:row>
      <xdr:rowOff>152400</xdr:rowOff>
    </xdr:from>
    <xdr:to>
      <xdr:col>7</xdr:col>
      <xdr:colOff>228600</xdr:colOff>
      <xdr:row>7</xdr:row>
      <xdr:rowOff>83820</xdr:rowOff>
    </xdr:to>
    <xdr:sp macro="" textlink="">
      <xdr:nvSpPr>
        <xdr:cNvPr id="22" name="TextBox 21">
          <a:extLst>
            <a:ext uri="{FF2B5EF4-FFF2-40B4-BE49-F238E27FC236}">
              <a16:creationId xmlns:a16="http://schemas.microsoft.com/office/drawing/2014/main" id="{6749FF2B-B00A-AC42-AC85-44746EA7B34C}"/>
            </a:ext>
          </a:extLst>
        </xdr:cNvPr>
        <xdr:cNvSpPr txBox="1"/>
      </xdr:nvSpPr>
      <xdr:spPr>
        <a:xfrm>
          <a:off x="2834640" y="1066800"/>
          <a:ext cx="166116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t>Average_Age_customer</a:t>
          </a:r>
        </a:p>
      </xdr:txBody>
    </xdr:sp>
    <xdr:clientData/>
  </xdr:twoCellAnchor>
  <xdr:twoCellAnchor>
    <xdr:from>
      <xdr:col>5</xdr:col>
      <xdr:colOff>175260</xdr:colOff>
      <xdr:row>7</xdr:row>
      <xdr:rowOff>53340</xdr:rowOff>
    </xdr:from>
    <xdr:to>
      <xdr:col>6</xdr:col>
      <xdr:colOff>312420</xdr:colOff>
      <xdr:row>8</xdr:row>
      <xdr:rowOff>160020</xdr:rowOff>
    </xdr:to>
    <xdr:sp macro="" textlink="Sheet3!$B$7">
      <xdr:nvSpPr>
        <xdr:cNvPr id="23" name="TextBox 22">
          <a:extLst>
            <a:ext uri="{FF2B5EF4-FFF2-40B4-BE49-F238E27FC236}">
              <a16:creationId xmlns:a16="http://schemas.microsoft.com/office/drawing/2014/main" id="{41A5A004-BF1D-601C-0A50-6D56DFDC12D5}"/>
            </a:ext>
          </a:extLst>
        </xdr:cNvPr>
        <xdr:cNvSpPr txBox="1"/>
      </xdr:nvSpPr>
      <xdr:spPr>
        <a:xfrm>
          <a:off x="3223260" y="1333500"/>
          <a:ext cx="74676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E0DA180-142A-4DF0-B60B-A51F32E81A6A}" type="TxLink">
            <a:rPr lang="en-US" sz="1400" b="1" i="0" u="none" strike="noStrike">
              <a:solidFill>
                <a:srgbClr val="000000"/>
              </a:solidFill>
              <a:effectLst/>
              <a:latin typeface="Calibri"/>
              <a:ea typeface="Calibri"/>
              <a:cs typeface="Calibri"/>
            </a:rPr>
            <a:pPr/>
            <a:t>42.124</a:t>
          </a:fld>
          <a:endParaRPr lang="en-IN" sz="1400" b="1"/>
        </a:p>
      </xdr:txBody>
    </xdr:sp>
    <xdr:clientData/>
  </xdr:twoCellAnchor>
  <xdr:twoCellAnchor>
    <xdr:from>
      <xdr:col>8</xdr:col>
      <xdr:colOff>419100</xdr:colOff>
      <xdr:row>9</xdr:row>
      <xdr:rowOff>38100</xdr:rowOff>
    </xdr:from>
    <xdr:to>
      <xdr:col>10</xdr:col>
      <xdr:colOff>228600</xdr:colOff>
      <xdr:row>10</xdr:row>
      <xdr:rowOff>175260</xdr:rowOff>
    </xdr:to>
    <xdr:sp macro="" textlink="">
      <xdr:nvSpPr>
        <xdr:cNvPr id="29" name="TextBox 28">
          <a:extLst>
            <a:ext uri="{FF2B5EF4-FFF2-40B4-BE49-F238E27FC236}">
              <a16:creationId xmlns:a16="http://schemas.microsoft.com/office/drawing/2014/main" id="{ACB01605-A50A-C7BE-A668-362FEAC862DC}"/>
            </a:ext>
          </a:extLst>
        </xdr:cNvPr>
        <xdr:cNvSpPr txBox="1"/>
      </xdr:nvSpPr>
      <xdr:spPr>
        <a:xfrm>
          <a:off x="5295900" y="1684020"/>
          <a:ext cx="102870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t>Total_orders</a:t>
          </a:r>
        </a:p>
      </xdr:txBody>
    </xdr:sp>
    <xdr:clientData/>
  </xdr:twoCellAnchor>
  <xdr:twoCellAnchor>
    <xdr:from>
      <xdr:col>8</xdr:col>
      <xdr:colOff>342900</xdr:colOff>
      <xdr:row>10</xdr:row>
      <xdr:rowOff>144780</xdr:rowOff>
    </xdr:from>
    <xdr:to>
      <xdr:col>10</xdr:col>
      <xdr:colOff>53340</xdr:colOff>
      <xdr:row>12</xdr:row>
      <xdr:rowOff>38100</xdr:rowOff>
    </xdr:to>
    <xdr:sp macro="" textlink="Sheet3!B26">
      <xdr:nvSpPr>
        <xdr:cNvPr id="30" name="TextBox 29">
          <a:extLst>
            <a:ext uri="{FF2B5EF4-FFF2-40B4-BE49-F238E27FC236}">
              <a16:creationId xmlns:a16="http://schemas.microsoft.com/office/drawing/2014/main" id="{846EA7A9-4972-00AB-B73B-D7048FD0C891}"/>
            </a:ext>
          </a:extLst>
        </xdr:cNvPr>
        <xdr:cNvSpPr txBox="1"/>
      </xdr:nvSpPr>
      <xdr:spPr>
        <a:xfrm>
          <a:off x="5219700" y="1973580"/>
          <a:ext cx="92964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A2D5EF94-E702-4ED6-97E0-B30680E2F180}" type="TxLink">
            <a:rPr lang="en-US" sz="1400" b="1" i="0" u="none" strike="noStrike">
              <a:solidFill>
                <a:srgbClr val="000000"/>
              </a:solidFill>
              <a:effectLst/>
              <a:latin typeface="Calibri"/>
              <a:ea typeface="Calibri"/>
              <a:cs typeface="Calibri"/>
            </a:rPr>
            <a:pPr algn="r"/>
            <a:t>500</a:t>
          </a:fld>
          <a:endParaRPr lang="en-IN" sz="1400" b="1"/>
        </a:p>
      </xdr:txBody>
    </xdr:sp>
    <xdr:clientData/>
  </xdr:twoCellAnchor>
  <xdr:twoCellAnchor>
    <xdr:from>
      <xdr:col>7</xdr:col>
      <xdr:colOff>0</xdr:colOff>
      <xdr:row>5</xdr:row>
      <xdr:rowOff>137160</xdr:rowOff>
    </xdr:from>
    <xdr:to>
      <xdr:col>9</xdr:col>
      <xdr:colOff>99060</xdr:colOff>
      <xdr:row>9</xdr:row>
      <xdr:rowOff>7620</xdr:rowOff>
    </xdr:to>
    <xdr:sp macro="" textlink="">
      <xdr:nvSpPr>
        <xdr:cNvPr id="33" name="Rectangle: Rounded Corners 32">
          <a:extLst>
            <a:ext uri="{FF2B5EF4-FFF2-40B4-BE49-F238E27FC236}">
              <a16:creationId xmlns:a16="http://schemas.microsoft.com/office/drawing/2014/main" id="{B3CC4A7B-2EE3-497D-A7A1-D00D5C22826D}"/>
            </a:ext>
          </a:extLst>
        </xdr:cNvPr>
        <xdr:cNvSpPr/>
      </xdr:nvSpPr>
      <xdr:spPr>
        <a:xfrm>
          <a:off x="4267200" y="1051560"/>
          <a:ext cx="1318260" cy="601980"/>
        </a:xfrm>
        <a:prstGeom prst="roundRect">
          <a:avLst>
            <a:gd name="adj" fmla="val 21767"/>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579120</xdr:colOff>
      <xdr:row>5</xdr:row>
      <xdr:rowOff>121920</xdr:rowOff>
    </xdr:from>
    <xdr:to>
      <xdr:col>9</xdr:col>
      <xdr:colOff>388620</xdr:colOff>
      <xdr:row>8</xdr:row>
      <xdr:rowOff>99060</xdr:rowOff>
    </xdr:to>
    <xdr:sp macro="" textlink="">
      <xdr:nvSpPr>
        <xdr:cNvPr id="34" name="TextBox 33">
          <a:extLst>
            <a:ext uri="{FF2B5EF4-FFF2-40B4-BE49-F238E27FC236}">
              <a16:creationId xmlns:a16="http://schemas.microsoft.com/office/drawing/2014/main" id="{F314D214-F3C4-D134-EF57-FBF040826B0D}"/>
            </a:ext>
          </a:extLst>
        </xdr:cNvPr>
        <xdr:cNvSpPr txBox="1"/>
      </xdr:nvSpPr>
      <xdr:spPr>
        <a:xfrm>
          <a:off x="4236720" y="1036320"/>
          <a:ext cx="1638300" cy="5257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t>Average_Day_Delivery</a:t>
          </a:r>
        </a:p>
      </xdr:txBody>
    </xdr:sp>
    <xdr:clientData/>
  </xdr:twoCellAnchor>
  <xdr:twoCellAnchor>
    <xdr:from>
      <xdr:col>9</xdr:col>
      <xdr:colOff>152400</xdr:colOff>
      <xdr:row>5</xdr:row>
      <xdr:rowOff>137160</xdr:rowOff>
    </xdr:from>
    <xdr:to>
      <xdr:col>11</xdr:col>
      <xdr:colOff>251460</xdr:colOff>
      <xdr:row>9</xdr:row>
      <xdr:rowOff>7620</xdr:rowOff>
    </xdr:to>
    <xdr:sp macro="" textlink="">
      <xdr:nvSpPr>
        <xdr:cNvPr id="37" name="Rectangle: Rounded Corners 36">
          <a:extLst>
            <a:ext uri="{FF2B5EF4-FFF2-40B4-BE49-F238E27FC236}">
              <a16:creationId xmlns:a16="http://schemas.microsoft.com/office/drawing/2014/main" id="{0A6A2868-9092-419E-9E0D-056E11FE3519}"/>
            </a:ext>
          </a:extLst>
        </xdr:cNvPr>
        <xdr:cNvSpPr/>
      </xdr:nvSpPr>
      <xdr:spPr>
        <a:xfrm>
          <a:off x="5638800" y="1051560"/>
          <a:ext cx="1318260" cy="601980"/>
        </a:xfrm>
        <a:prstGeom prst="roundRect">
          <a:avLst>
            <a:gd name="adj" fmla="val 20501"/>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106680</xdr:colOff>
      <xdr:row>5</xdr:row>
      <xdr:rowOff>121920</xdr:rowOff>
    </xdr:from>
    <xdr:to>
      <xdr:col>11</xdr:col>
      <xdr:colOff>457200</xdr:colOff>
      <xdr:row>7</xdr:row>
      <xdr:rowOff>30480</xdr:rowOff>
    </xdr:to>
    <xdr:sp macro="" textlink="">
      <xdr:nvSpPr>
        <xdr:cNvPr id="38" name="TextBox 37">
          <a:extLst>
            <a:ext uri="{FF2B5EF4-FFF2-40B4-BE49-F238E27FC236}">
              <a16:creationId xmlns:a16="http://schemas.microsoft.com/office/drawing/2014/main" id="{0656719F-5E0D-E197-FFCF-5F43EFC99E8D}"/>
            </a:ext>
          </a:extLst>
        </xdr:cNvPr>
        <xdr:cNvSpPr txBox="1"/>
      </xdr:nvSpPr>
      <xdr:spPr>
        <a:xfrm>
          <a:off x="5593080" y="1036320"/>
          <a:ext cx="15697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t>Total_Delivery_charge</a:t>
          </a:r>
        </a:p>
      </xdr:txBody>
    </xdr:sp>
    <xdr:clientData/>
  </xdr:twoCellAnchor>
  <xdr:twoCellAnchor>
    <xdr:from>
      <xdr:col>9</xdr:col>
      <xdr:colOff>510540</xdr:colOff>
      <xdr:row>7</xdr:row>
      <xdr:rowOff>38100</xdr:rowOff>
    </xdr:from>
    <xdr:to>
      <xdr:col>11</xdr:col>
      <xdr:colOff>320040</xdr:colOff>
      <xdr:row>8</xdr:row>
      <xdr:rowOff>99060</xdr:rowOff>
    </xdr:to>
    <xdr:sp macro="" textlink="Sheet3!E26">
      <xdr:nvSpPr>
        <xdr:cNvPr id="39" name="TextBox 38">
          <a:extLst>
            <a:ext uri="{FF2B5EF4-FFF2-40B4-BE49-F238E27FC236}">
              <a16:creationId xmlns:a16="http://schemas.microsoft.com/office/drawing/2014/main" id="{9AB2907E-00D3-0E96-1A02-460FCBFD2EAE}"/>
            </a:ext>
          </a:extLst>
        </xdr:cNvPr>
        <xdr:cNvSpPr txBox="1"/>
      </xdr:nvSpPr>
      <xdr:spPr>
        <a:xfrm>
          <a:off x="5996940" y="1318260"/>
          <a:ext cx="102870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5A1FA57-E395-4A05-B59B-201CA840D9DB}" type="TxLink">
            <a:rPr lang="en-US" sz="1400" b="1" i="0" u="none" strike="noStrike">
              <a:solidFill>
                <a:srgbClr val="000000"/>
              </a:solidFill>
              <a:latin typeface="Calibri"/>
              <a:ea typeface="Calibri"/>
              <a:cs typeface="Calibri"/>
            </a:rPr>
            <a:pPr algn="ctr"/>
            <a:t>52.246</a:t>
          </a:fld>
          <a:endParaRPr lang="en-IN" sz="1400" b="1"/>
        </a:p>
      </xdr:txBody>
    </xdr:sp>
    <xdr:clientData/>
  </xdr:twoCellAnchor>
  <xdr:twoCellAnchor>
    <xdr:from>
      <xdr:col>10</xdr:col>
      <xdr:colOff>373380</xdr:colOff>
      <xdr:row>9</xdr:row>
      <xdr:rowOff>45720</xdr:rowOff>
    </xdr:from>
    <xdr:to>
      <xdr:col>12</xdr:col>
      <xdr:colOff>472440</xdr:colOff>
      <xdr:row>12</xdr:row>
      <xdr:rowOff>99060</xdr:rowOff>
    </xdr:to>
    <xdr:sp macro="" textlink="">
      <xdr:nvSpPr>
        <xdr:cNvPr id="42" name="Rectangle: Rounded Corners 41">
          <a:extLst>
            <a:ext uri="{FF2B5EF4-FFF2-40B4-BE49-F238E27FC236}">
              <a16:creationId xmlns:a16="http://schemas.microsoft.com/office/drawing/2014/main" id="{20FF338B-1507-4028-87D2-981C60229A04}"/>
            </a:ext>
          </a:extLst>
        </xdr:cNvPr>
        <xdr:cNvSpPr/>
      </xdr:nvSpPr>
      <xdr:spPr>
        <a:xfrm>
          <a:off x="6469380" y="1691640"/>
          <a:ext cx="1318260" cy="601980"/>
        </a:xfrm>
        <a:prstGeom prst="roundRect">
          <a:avLst>
            <a:gd name="adj" fmla="val 2683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t</a:t>
          </a:r>
        </a:p>
      </xdr:txBody>
    </xdr:sp>
    <xdr:clientData/>
  </xdr:twoCellAnchor>
  <xdr:twoCellAnchor>
    <xdr:from>
      <xdr:col>10</xdr:col>
      <xdr:colOff>342900</xdr:colOff>
      <xdr:row>9</xdr:row>
      <xdr:rowOff>7620</xdr:rowOff>
    </xdr:from>
    <xdr:to>
      <xdr:col>13</xdr:col>
      <xdr:colOff>0</xdr:colOff>
      <xdr:row>10</xdr:row>
      <xdr:rowOff>152400</xdr:rowOff>
    </xdr:to>
    <xdr:sp macro="" textlink="">
      <xdr:nvSpPr>
        <xdr:cNvPr id="43" name="TextBox 42">
          <a:extLst>
            <a:ext uri="{FF2B5EF4-FFF2-40B4-BE49-F238E27FC236}">
              <a16:creationId xmlns:a16="http://schemas.microsoft.com/office/drawing/2014/main" id="{08415025-9839-F3D3-94ED-BAED5E751043}"/>
            </a:ext>
          </a:extLst>
        </xdr:cNvPr>
        <xdr:cNvSpPr txBox="1"/>
      </xdr:nvSpPr>
      <xdr:spPr>
        <a:xfrm>
          <a:off x="6438900" y="1653540"/>
          <a:ext cx="148590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t>Total_unique_product</a:t>
          </a:r>
        </a:p>
      </xdr:txBody>
    </xdr:sp>
    <xdr:clientData/>
  </xdr:twoCellAnchor>
  <xdr:twoCellAnchor>
    <xdr:from>
      <xdr:col>11</xdr:col>
      <xdr:colOff>91440</xdr:colOff>
      <xdr:row>10</xdr:row>
      <xdr:rowOff>76200</xdr:rowOff>
    </xdr:from>
    <xdr:to>
      <xdr:col>12</xdr:col>
      <xdr:colOff>464820</xdr:colOff>
      <xdr:row>12</xdr:row>
      <xdr:rowOff>15240</xdr:rowOff>
    </xdr:to>
    <xdr:sp macro="" textlink="Sheet1!D14">
      <xdr:nvSpPr>
        <xdr:cNvPr id="44" name="TextBox 43">
          <a:extLst>
            <a:ext uri="{FF2B5EF4-FFF2-40B4-BE49-F238E27FC236}">
              <a16:creationId xmlns:a16="http://schemas.microsoft.com/office/drawing/2014/main" id="{87F74A9A-F395-CE96-43C0-6A7A37ADCDDB}"/>
            </a:ext>
          </a:extLst>
        </xdr:cNvPr>
        <xdr:cNvSpPr txBox="1"/>
      </xdr:nvSpPr>
      <xdr:spPr>
        <a:xfrm>
          <a:off x="6797040" y="1905000"/>
          <a:ext cx="98298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DEE7EEE-A2F0-444F-BBF4-F63A22E46F68}" type="TxLink">
            <a:rPr lang="en-US" sz="1400" b="1" i="0" u="none" strike="noStrike">
              <a:solidFill>
                <a:srgbClr val="000000"/>
              </a:solidFill>
              <a:latin typeface="Calibri"/>
              <a:ea typeface="Calibri"/>
              <a:cs typeface="Calibri"/>
            </a:rPr>
            <a:pPr algn="ctr"/>
            <a:t>50</a:t>
          </a:fld>
          <a:endParaRPr lang="en-IN" sz="1400" b="1"/>
        </a:p>
      </xdr:txBody>
    </xdr:sp>
    <xdr:clientData/>
  </xdr:twoCellAnchor>
  <xdr:twoCellAnchor>
    <xdr:from>
      <xdr:col>12</xdr:col>
      <xdr:colOff>518160</xdr:colOff>
      <xdr:row>9</xdr:row>
      <xdr:rowOff>15240</xdr:rowOff>
    </xdr:from>
    <xdr:to>
      <xdr:col>15</xdr:col>
      <xdr:colOff>7620</xdr:colOff>
      <xdr:row>12</xdr:row>
      <xdr:rowOff>68580</xdr:rowOff>
    </xdr:to>
    <xdr:sp macro="" textlink="">
      <xdr:nvSpPr>
        <xdr:cNvPr id="45" name="Rectangle: Rounded Corners 44">
          <a:extLst>
            <a:ext uri="{FF2B5EF4-FFF2-40B4-BE49-F238E27FC236}">
              <a16:creationId xmlns:a16="http://schemas.microsoft.com/office/drawing/2014/main" id="{85CE92E6-39F0-47A8-B020-460077D4AC79}"/>
            </a:ext>
          </a:extLst>
        </xdr:cNvPr>
        <xdr:cNvSpPr/>
      </xdr:nvSpPr>
      <xdr:spPr>
        <a:xfrm>
          <a:off x="7833360" y="1661160"/>
          <a:ext cx="1318260" cy="601980"/>
        </a:xfrm>
        <a:prstGeom prst="roundRect">
          <a:avLst>
            <a:gd name="adj" fmla="val 20501"/>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t</a:t>
          </a:r>
        </a:p>
      </xdr:txBody>
    </xdr:sp>
    <xdr:clientData/>
  </xdr:twoCellAnchor>
  <xdr:twoCellAnchor>
    <xdr:from>
      <xdr:col>12</xdr:col>
      <xdr:colOff>472440</xdr:colOff>
      <xdr:row>9</xdr:row>
      <xdr:rowOff>22860</xdr:rowOff>
    </xdr:from>
    <xdr:to>
      <xdr:col>15</xdr:col>
      <xdr:colOff>99060</xdr:colOff>
      <xdr:row>10</xdr:row>
      <xdr:rowOff>60960</xdr:rowOff>
    </xdr:to>
    <xdr:sp macro="" textlink="">
      <xdr:nvSpPr>
        <xdr:cNvPr id="46" name="TextBox 45">
          <a:extLst>
            <a:ext uri="{FF2B5EF4-FFF2-40B4-BE49-F238E27FC236}">
              <a16:creationId xmlns:a16="http://schemas.microsoft.com/office/drawing/2014/main" id="{A3A27693-D4D5-65E8-D642-C8ED66CB4E91}"/>
            </a:ext>
          </a:extLst>
        </xdr:cNvPr>
        <xdr:cNvSpPr txBox="1"/>
      </xdr:nvSpPr>
      <xdr:spPr>
        <a:xfrm>
          <a:off x="7787640" y="1668780"/>
          <a:ext cx="145542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Most_order_product</a:t>
          </a:r>
        </a:p>
      </xdr:txBody>
    </xdr:sp>
    <xdr:clientData/>
  </xdr:twoCellAnchor>
  <xdr:twoCellAnchor>
    <xdr:from>
      <xdr:col>13</xdr:col>
      <xdr:colOff>350520</xdr:colOff>
      <xdr:row>10</xdr:row>
      <xdr:rowOff>114300</xdr:rowOff>
    </xdr:from>
    <xdr:to>
      <xdr:col>15</xdr:col>
      <xdr:colOff>83820</xdr:colOff>
      <xdr:row>11</xdr:row>
      <xdr:rowOff>152400</xdr:rowOff>
    </xdr:to>
    <xdr:sp macro="" textlink="Sheet1!V14">
      <xdr:nvSpPr>
        <xdr:cNvPr id="48" name="TextBox 47">
          <a:extLst>
            <a:ext uri="{FF2B5EF4-FFF2-40B4-BE49-F238E27FC236}">
              <a16:creationId xmlns:a16="http://schemas.microsoft.com/office/drawing/2014/main" id="{2ED1C061-CE20-ED71-1B0F-FC869E7EDAD6}"/>
            </a:ext>
          </a:extLst>
        </xdr:cNvPr>
        <xdr:cNvSpPr txBox="1"/>
      </xdr:nvSpPr>
      <xdr:spPr>
        <a:xfrm>
          <a:off x="8275320" y="1943100"/>
          <a:ext cx="95250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97BAC1B-B59A-4E78-A0F3-B810E1517DE9}" type="TxLink">
            <a:rPr lang="en-US" sz="1400" b="1" i="0" u="none" strike="noStrike">
              <a:solidFill>
                <a:srgbClr val="000000"/>
              </a:solidFill>
              <a:latin typeface="Calibri"/>
              <a:ea typeface="Calibri"/>
              <a:cs typeface="Calibri"/>
            </a:rPr>
            <a:t>PID036</a:t>
          </a:fld>
          <a:endParaRPr lang="en-US" sz="1400" b="1"/>
        </a:p>
      </xdr:txBody>
    </xdr:sp>
    <xdr:clientData/>
  </xdr:twoCellAnchor>
  <xdr:twoCellAnchor>
    <xdr:from>
      <xdr:col>15</xdr:col>
      <xdr:colOff>53340</xdr:colOff>
      <xdr:row>9</xdr:row>
      <xdr:rowOff>15240</xdr:rowOff>
    </xdr:from>
    <xdr:to>
      <xdr:col>17</xdr:col>
      <xdr:colOff>152400</xdr:colOff>
      <xdr:row>12</xdr:row>
      <xdr:rowOff>68580</xdr:rowOff>
    </xdr:to>
    <xdr:sp macro="" textlink="">
      <xdr:nvSpPr>
        <xdr:cNvPr id="49" name="Rectangle: Rounded Corners 48">
          <a:extLst>
            <a:ext uri="{FF2B5EF4-FFF2-40B4-BE49-F238E27FC236}">
              <a16:creationId xmlns:a16="http://schemas.microsoft.com/office/drawing/2014/main" id="{DB2C2457-3FBC-4B89-B3A2-B9C4417D5521}"/>
            </a:ext>
          </a:extLst>
        </xdr:cNvPr>
        <xdr:cNvSpPr/>
      </xdr:nvSpPr>
      <xdr:spPr>
        <a:xfrm>
          <a:off x="9197340" y="1661160"/>
          <a:ext cx="1318260" cy="601980"/>
        </a:xfrm>
        <a:prstGeom prst="roundRect">
          <a:avLst>
            <a:gd name="adj" fmla="val 24299"/>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t</a:t>
          </a:r>
        </a:p>
      </xdr:txBody>
    </xdr:sp>
    <xdr:clientData/>
  </xdr:twoCellAnchor>
  <xdr:twoCellAnchor>
    <xdr:from>
      <xdr:col>15</xdr:col>
      <xdr:colOff>60960</xdr:colOff>
      <xdr:row>8</xdr:row>
      <xdr:rowOff>160020</xdr:rowOff>
    </xdr:from>
    <xdr:to>
      <xdr:col>17</xdr:col>
      <xdr:colOff>182880</xdr:colOff>
      <xdr:row>10</xdr:row>
      <xdr:rowOff>91440</xdr:rowOff>
    </xdr:to>
    <xdr:sp macro="" textlink="">
      <xdr:nvSpPr>
        <xdr:cNvPr id="50" name="TextBox 49">
          <a:extLst>
            <a:ext uri="{FF2B5EF4-FFF2-40B4-BE49-F238E27FC236}">
              <a16:creationId xmlns:a16="http://schemas.microsoft.com/office/drawing/2014/main" id="{EF89F6A2-17ED-6882-5EAD-F5FF6B89E909}"/>
            </a:ext>
          </a:extLst>
        </xdr:cNvPr>
        <xdr:cNvSpPr txBox="1"/>
      </xdr:nvSpPr>
      <xdr:spPr>
        <a:xfrm>
          <a:off x="9204960" y="1623060"/>
          <a:ext cx="134112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High_sales</a:t>
          </a:r>
        </a:p>
      </xdr:txBody>
    </xdr:sp>
    <xdr:clientData/>
  </xdr:twoCellAnchor>
  <xdr:twoCellAnchor>
    <xdr:from>
      <xdr:col>17</xdr:col>
      <xdr:colOff>190500</xdr:colOff>
      <xdr:row>9</xdr:row>
      <xdr:rowOff>15240</xdr:rowOff>
    </xdr:from>
    <xdr:to>
      <xdr:col>19</xdr:col>
      <xdr:colOff>289560</xdr:colOff>
      <xdr:row>12</xdr:row>
      <xdr:rowOff>76200</xdr:rowOff>
    </xdr:to>
    <xdr:sp macro="" textlink="">
      <xdr:nvSpPr>
        <xdr:cNvPr id="54" name="Rectangle: Rounded Corners 53">
          <a:extLst>
            <a:ext uri="{FF2B5EF4-FFF2-40B4-BE49-F238E27FC236}">
              <a16:creationId xmlns:a16="http://schemas.microsoft.com/office/drawing/2014/main" id="{EDEE9513-EDAD-45CC-A6C5-84E7371877CE}"/>
            </a:ext>
          </a:extLst>
        </xdr:cNvPr>
        <xdr:cNvSpPr/>
      </xdr:nvSpPr>
      <xdr:spPr>
        <a:xfrm>
          <a:off x="10553700" y="1661160"/>
          <a:ext cx="1318260" cy="609600"/>
        </a:xfrm>
        <a:prstGeom prst="roundRect">
          <a:avLst>
            <a:gd name="adj" fmla="val 2225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68580</xdr:colOff>
      <xdr:row>9</xdr:row>
      <xdr:rowOff>99060</xdr:rowOff>
    </xdr:from>
    <xdr:to>
      <xdr:col>2</xdr:col>
      <xdr:colOff>129540</xdr:colOff>
      <xdr:row>12</xdr:row>
      <xdr:rowOff>160020</xdr:rowOff>
    </xdr:to>
    <xdr:sp macro="" textlink="">
      <xdr:nvSpPr>
        <xdr:cNvPr id="55" name="Rectangle: Rounded Corners 54">
          <a:extLst>
            <a:ext uri="{FF2B5EF4-FFF2-40B4-BE49-F238E27FC236}">
              <a16:creationId xmlns:a16="http://schemas.microsoft.com/office/drawing/2014/main" id="{25E33B7E-8463-44E8-BC8E-46A692D3B305}"/>
            </a:ext>
          </a:extLst>
        </xdr:cNvPr>
        <xdr:cNvSpPr/>
      </xdr:nvSpPr>
      <xdr:spPr>
        <a:xfrm>
          <a:off x="68580" y="1744980"/>
          <a:ext cx="1280160" cy="609600"/>
        </a:xfrm>
        <a:prstGeom prst="roundRect">
          <a:avLst>
            <a:gd name="adj" fmla="val 2475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365760</xdr:colOff>
      <xdr:row>8</xdr:row>
      <xdr:rowOff>167640</xdr:rowOff>
    </xdr:from>
    <xdr:to>
      <xdr:col>19</xdr:col>
      <xdr:colOff>175260</xdr:colOff>
      <xdr:row>10</xdr:row>
      <xdr:rowOff>68580</xdr:rowOff>
    </xdr:to>
    <xdr:sp macro="" textlink="">
      <xdr:nvSpPr>
        <xdr:cNvPr id="56" name="TextBox 55">
          <a:extLst>
            <a:ext uri="{FF2B5EF4-FFF2-40B4-BE49-F238E27FC236}">
              <a16:creationId xmlns:a16="http://schemas.microsoft.com/office/drawing/2014/main" id="{25758CAF-75EA-9DBF-72CE-C96EA7C2A0E3}"/>
            </a:ext>
          </a:extLst>
        </xdr:cNvPr>
        <xdr:cNvSpPr txBox="1"/>
      </xdr:nvSpPr>
      <xdr:spPr>
        <a:xfrm>
          <a:off x="10728960" y="1630680"/>
          <a:ext cx="10287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t>Total_sales</a:t>
          </a:r>
        </a:p>
      </xdr:txBody>
    </xdr:sp>
    <xdr:clientData/>
  </xdr:twoCellAnchor>
  <xdr:twoCellAnchor>
    <xdr:from>
      <xdr:col>17</xdr:col>
      <xdr:colOff>579120</xdr:colOff>
      <xdr:row>10</xdr:row>
      <xdr:rowOff>53340</xdr:rowOff>
    </xdr:from>
    <xdr:to>
      <xdr:col>19</xdr:col>
      <xdr:colOff>373380</xdr:colOff>
      <xdr:row>11</xdr:row>
      <xdr:rowOff>144780</xdr:rowOff>
    </xdr:to>
    <xdr:sp macro="" textlink="Sheet3!H55">
      <xdr:nvSpPr>
        <xdr:cNvPr id="57" name="TextBox 56">
          <a:extLst>
            <a:ext uri="{FF2B5EF4-FFF2-40B4-BE49-F238E27FC236}">
              <a16:creationId xmlns:a16="http://schemas.microsoft.com/office/drawing/2014/main" id="{7FD8153A-AB36-D63D-91D1-939B779DA39F}"/>
            </a:ext>
          </a:extLst>
        </xdr:cNvPr>
        <xdr:cNvSpPr txBox="1"/>
      </xdr:nvSpPr>
      <xdr:spPr>
        <a:xfrm>
          <a:off x="10942320" y="1882140"/>
          <a:ext cx="101346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217A5A9-8F8C-47A2-B5D6-82C333CA3767}" type="TxLink">
            <a:rPr lang="en-US" sz="1400" b="1" i="0" u="none" strike="noStrike">
              <a:solidFill>
                <a:srgbClr val="000000"/>
              </a:solidFill>
              <a:effectLst/>
              <a:latin typeface="Calibri"/>
              <a:ea typeface="Calibri"/>
              <a:cs typeface="Calibri"/>
            </a:rPr>
            <a:pPr/>
            <a:t>364289.49</a:t>
          </a:fld>
          <a:endParaRPr lang="en-IN" sz="1400" b="1"/>
        </a:p>
      </xdr:txBody>
    </xdr:sp>
    <xdr:clientData/>
  </xdr:twoCellAnchor>
  <xdr:twoCellAnchor>
    <xdr:from>
      <xdr:col>0</xdr:col>
      <xdr:colOff>15240</xdr:colOff>
      <xdr:row>9</xdr:row>
      <xdr:rowOff>68580</xdr:rowOff>
    </xdr:from>
    <xdr:to>
      <xdr:col>2</xdr:col>
      <xdr:colOff>167640</xdr:colOff>
      <xdr:row>10</xdr:row>
      <xdr:rowOff>83820</xdr:rowOff>
    </xdr:to>
    <xdr:sp macro="" textlink="">
      <xdr:nvSpPr>
        <xdr:cNvPr id="62" name="TextBox 61">
          <a:extLst>
            <a:ext uri="{FF2B5EF4-FFF2-40B4-BE49-F238E27FC236}">
              <a16:creationId xmlns:a16="http://schemas.microsoft.com/office/drawing/2014/main" id="{B6D44BFD-71C8-AA4A-02BE-4B64A8C1BB67}"/>
            </a:ext>
          </a:extLst>
        </xdr:cNvPr>
        <xdr:cNvSpPr txBox="1"/>
      </xdr:nvSpPr>
      <xdr:spPr>
        <a:xfrm>
          <a:off x="15240" y="1714500"/>
          <a:ext cx="137160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Discount_Amount</a:t>
          </a:r>
        </a:p>
      </xdr:txBody>
    </xdr:sp>
    <xdr:clientData/>
  </xdr:twoCellAnchor>
  <xdr:twoCellAnchor>
    <xdr:from>
      <xdr:col>0</xdr:col>
      <xdr:colOff>449580</xdr:colOff>
      <xdr:row>10</xdr:row>
      <xdr:rowOff>175260</xdr:rowOff>
    </xdr:from>
    <xdr:to>
      <xdr:col>2</xdr:col>
      <xdr:colOff>182880</xdr:colOff>
      <xdr:row>12</xdr:row>
      <xdr:rowOff>38100</xdr:rowOff>
    </xdr:to>
    <xdr:sp macro="" textlink="Sheet3!B62">
      <xdr:nvSpPr>
        <xdr:cNvPr id="63" name="TextBox 62">
          <a:extLst>
            <a:ext uri="{FF2B5EF4-FFF2-40B4-BE49-F238E27FC236}">
              <a16:creationId xmlns:a16="http://schemas.microsoft.com/office/drawing/2014/main" id="{AA26BCDC-D506-B519-DC61-283011912D60}"/>
            </a:ext>
          </a:extLst>
        </xdr:cNvPr>
        <xdr:cNvSpPr txBox="1"/>
      </xdr:nvSpPr>
      <xdr:spPr>
        <a:xfrm>
          <a:off x="449580" y="2004060"/>
          <a:ext cx="9525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A7A4FCB-F314-41C8-BEB7-04C23901E535}" type="TxLink">
            <a:rPr lang="en-US" sz="1400" b="1" i="0" u="none" strike="noStrike">
              <a:solidFill>
                <a:srgbClr val="000000"/>
              </a:solidFill>
              <a:latin typeface="Calibri"/>
              <a:ea typeface="Calibri"/>
              <a:cs typeface="Calibri"/>
            </a:rPr>
            <a:pPr/>
            <a:t>326325.76</a:t>
          </a:fld>
          <a:endParaRPr lang="en-IN" sz="1400" b="1"/>
        </a:p>
      </xdr:txBody>
    </xdr:sp>
    <xdr:clientData/>
  </xdr:twoCellAnchor>
  <xdr:twoCellAnchor>
    <xdr:from>
      <xdr:col>2</xdr:col>
      <xdr:colOff>175260</xdr:colOff>
      <xdr:row>9</xdr:row>
      <xdr:rowOff>76200</xdr:rowOff>
    </xdr:from>
    <xdr:to>
      <xdr:col>4</xdr:col>
      <xdr:colOff>121920</xdr:colOff>
      <xdr:row>12</xdr:row>
      <xdr:rowOff>137160</xdr:rowOff>
    </xdr:to>
    <xdr:sp macro="" textlink="">
      <xdr:nvSpPr>
        <xdr:cNvPr id="65" name="Rectangle: Rounded Corners 64">
          <a:extLst>
            <a:ext uri="{FF2B5EF4-FFF2-40B4-BE49-F238E27FC236}">
              <a16:creationId xmlns:a16="http://schemas.microsoft.com/office/drawing/2014/main" id="{78D4ACD4-95F6-4DBB-AC4B-6DE91221D8DD}"/>
            </a:ext>
          </a:extLst>
        </xdr:cNvPr>
        <xdr:cNvSpPr/>
      </xdr:nvSpPr>
      <xdr:spPr>
        <a:xfrm>
          <a:off x="1394460" y="1722120"/>
          <a:ext cx="1165860" cy="609600"/>
        </a:xfrm>
        <a:prstGeom prst="roundRect">
          <a:avLst>
            <a:gd name="adj" fmla="val 2225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182880</xdr:colOff>
      <xdr:row>9</xdr:row>
      <xdr:rowOff>60960</xdr:rowOff>
    </xdr:from>
    <xdr:to>
      <xdr:col>4</xdr:col>
      <xdr:colOff>480060</xdr:colOff>
      <xdr:row>10</xdr:row>
      <xdr:rowOff>129540</xdr:rowOff>
    </xdr:to>
    <xdr:sp macro="" textlink="">
      <xdr:nvSpPr>
        <xdr:cNvPr id="66" name="TextBox 65">
          <a:extLst>
            <a:ext uri="{FF2B5EF4-FFF2-40B4-BE49-F238E27FC236}">
              <a16:creationId xmlns:a16="http://schemas.microsoft.com/office/drawing/2014/main" id="{02477D5A-097E-DFF3-9F76-32F43402FA39}"/>
            </a:ext>
          </a:extLst>
        </xdr:cNvPr>
        <xdr:cNvSpPr txBox="1"/>
      </xdr:nvSpPr>
      <xdr:spPr>
        <a:xfrm>
          <a:off x="1402080" y="1706880"/>
          <a:ext cx="151638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Discount_offer</a:t>
          </a:r>
        </a:p>
      </xdr:txBody>
    </xdr:sp>
    <xdr:clientData/>
  </xdr:twoCellAnchor>
  <xdr:twoCellAnchor>
    <xdr:from>
      <xdr:col>3</xdr:col>
      <xdr:colOff>22860</xdr:colOff>
      <xdr:row>10</xdr:row>
      <xdr:rowOff>175260</xdr:rowOff>
    </xdr:from>
    <xdr:to>
      <xdr:col>4</xdr:col>
      <xdr:colOff>312420</xdr:colOff>
      <xdr:row>12</xdr:row>
      <xdr:rowOff>68580</xdr:rowOff>
    </xdr:to>
    <xdr:sp macro="" textlink="Sheet3!B56">
      <xdr:nvSpPr>
        <xdr:cNvPr id="67" name="TextBox 66">
          <a:extLst>
            <a:ext uri="{FF2B5EF4-FFF2-40B4-BE49-F238E27FC236}">
              <a16:creationId xmlns:a16="http://schemas.microsoft.com/office/drawing/2014/main" id="{36D2B902-2780-8814-BF99-10C7FD9BF5FE}"/>
            </a:ext>
          </a:extLst>
        </xdr:cNvPr>
        <xdr:cNvSpPr txBox="1"/>
      </xdr:nvSpPr>
      <xdr:spPr>
        <a:xfrm>
          <a:off x="1851660" y="2004060"/>
          <a:ext cx="8991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4F443B1-4D9B-4219-BBC0-3967C56B4159}" type="TxLink">
            <a:rPr lang="en-US" sz="1400" b="1" i="0" u="none" strike="noStrike">
              <a:solidFill>
                <a:srgbClr val="000000"/>
              </a:solidFill>
              <a:latin typeface="Calibri"/>
              <a:ea typeface="Calibri"/>
              <a:cs typeface="Calibri"/>
            </a:rPr>
            <a:pPr/>
            <a:t>5213%</a:t>
          </a:fld>
          <a:endParaRPr lang="en-IN" sz="1400" b="1"/>
        </a:p>
      </xdr:txBody>
    </xdr:sp>
    <xdr:clientData/>
  </xdr:twoCellAnchor>
  <xdr:twoCellAnchor>
    <xdr:from>
      <xdr:col>4</xdr:col>
      <xdr:colOff>205740</xdr:colOff>
      <xdr:row>9</xdr:row>
      <xdr:rowOff>60960</xdr:rowOff>
    </xdr:from>
    <xdr:to>
      <xdr:col>8</xdr:col>
      <xdr:colOff>190500</xdr:colOff>
      <xdr:row>12</xdr:row>
      <xdr:rowOff>121920</xdr:rowOff>
    </xdr:to>
    <xdr:sp macro="" textlink="">
      <xdr:nvSpPr>
        <xdr:cNvPr id="70" name="Rectangle: Rounded Corners 69">
          <a:extLst>
            <a:ext uri="{FF2B5EF4-FFF2-40B4-BE49-F238E27FC236}">
              <a16:creationId xmlns:a16="http://schemas.microsoft.com/office/drawing/2014/main" id="{19C453EE-E69C-471F-8BB2-E4C5D7757D2E}"/>
            </a:ext>
          </a:extLst>
        </xdr:cNvPr>
        <xdr:cNvSpPr/>
      </xdr:nvSpPr>
      <xdr:spPr>
        <a:xfrm>
          <a:off x="2644140" y="1706880"/>
          <a:ext cx="2423160" cy="609600"/>
        </a:xfrm>
        <a:prstGeom prst="roundRect">
          <a:avLst>
            <a:gd name="adj" fmla="val 2225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175260</xdr:colOff>
      <xdr:row>9</xdr:row>
      <xdr:rowOff>53340</xdr:rowOff>
    </xdr:from>
    <xdr:to>
      <xdr:col>8</xdr:col>
      <xdr:colOff>327660</xdr:colOff>
      <xdr:row>10</xdr:row>
      <xdr:rowOff>167640</xdr:rowOff>
    </xdr:to>
    <xdr:sp macro="" textlink="">
      <xdr:nvSpPr>
        <xdr:cNvPr id="71" name="TextBox 70">
          <a:extLst>
            <a:ext uri="{FF2B5EF4-FFF2-40B4-BE49-F238E27FC236}">
              <a16:creationId xmlns:a16="http://schemas.microsoft.com/office/drawing/2014/main" id="{4D91C12F-15EC-9E70-7FBD-23A55F294F23}"/>
            </a:ext>
          </a:extLst>
        </xdr:cNvPr>
        <xdr:cNvSpPr txBox="1"/>
      </xdr:nvSpPr>
      <xdr:spPr>
        <a:xfrm>
          <a:off x="2613660" y="1699260"/>
          <a:ext cx="259080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Total_amount_with_delivery_charge</a:t>
          </a:r>
        </a:p>
      </xdr:txBody>
    </xdr:sp>
    <xdr:clientData/>
  </xdr:twoCellAnchor>
  <xdr:twoCellAnchor>
    <xdr:from>
      <xdr:col>6</xdr:col>
      <xdr:colOff>152400</xdr:colOff>
      <xdr:row>10</xdr:row>
      <xdr:rowOff>152400</xdr:rowOff>
    </xdr:from>
    <xdr:to>
      <xdr:col>8</xdr:col>
      <xdr:colOff>411480</xdr:colOff>
      <xdr:row>12</xdr:row>
      <xdr:rowOff>45720</xdr:rowOff>
    </xdr:to>
    <xdr:sp macro="" textlink="Sheet3!H61">
      <xdr:nvSpPr>
        <xdr:cNvPr id="72" name="TextBox 71">
          <a:extLst>
            <a:ext uri="{FF2B5EF4-FFF2-40B4-BE49-F238E27FC236}">
              <a16:creationId xmlns:a16="http://schemas.microsoft.com/office/drawing/2014/main" id="{3DEF1B89-4B5B-7B0A-2A7B-412CEA61AFB7}"/>
            </a:ext>
          </a:extLst>
        </xdr:cNvPr>
        <xdr:cNvSpPr txBox="1"/>
      </xdr:nvSpPr>
      <xdr:spPr>
        <a:xfrm>
          <a:off x="3810000" y="1981200"/>
          <a:ext cx="147828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B049DFC-F1B7-4A23-860D-9477744810D5}" type="TxLink">
            <a:rPr lang="en-US" sz="1400" b="1" i="0" u="none" strike="noStrike">
              <a:solidFill>
                <a:srgbClr val="000000"/>
              </a:solidFill>
              <a:latin typeface="Calibri"/>
              <a:ea typeface="Calibri"/>
              <a:cs typeface="Calibri"/>
            </a:rPr>
            <a:pPr/>
            <a:t>347189.7597</a:t>
          </a:fld>
          <a:endParaRPr lang="en-IN" sz="1400" b="1"/>
        </a:p>
      </xdr:txBody>
    </xdr:sp>
    <xdr:clientData/>
  </xdr:twoCellAnchor>
  <xdr:twoCellAnchor>
    <xdr:from>
      <xdr:col>3</xdr:col>
      <xdr:colOff>175260</xdr:colOff>
      <xdr:row>12</xdr:row>
      <xdr:rowOff>175260</xdr:rowOff>
    </xdr:from>
    <xdr:to>
      <xdr:col>22</xdr:col>
      <xdr:colOff>556260</xdr:colOff>
      <xdr:row>37</xdr:row>
      <xdr:rowOff>0</xdr:rowOff>
    </xdr:to>
    <xdr:sp macro="" textlink="">
      <xdr:nvSpPr>
        <xdr:cNvPr id="74" name="Rectangle: Rounded Corners 73">
          <a:extLst>
            <a:ext uri="{FF2B5EF4-FFF2-40B4-BE49-F238E27FC236}">
              <a16:creationId xmlns:a16="http://schemas.microsoft.com/office/drawing/2014/main" id="{747356AC-379E-857E-AA9F-F10CEAB8800D}"/>
            </a:ext>
          </a:extLst>
        </xdr:cNvPr>
        <xdr:cNvSpPr/>
      </xdr:nvSpPr>
      <xdr:spPr>
        <a:xfrm>
          <a:off x="2004060" y="2369820"/>
          <a:ext cx="11963400" cy="4396740"/>
        </a:xfrm>
        <a:prstGeom prst="roundRect">
          <a:avLst>
            <a:gd name="adj" fmla="val 8176"/>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350520</xdr:colOff>
      <xdr:row>12</xdr:row>
      <xdr:rowOff>175260</xdr:rowOff>
    </xdr:from>
    <xdr:to>
      <xdr:col>8</xdr:col>
      <xdr:colOff>541020</xdr:colOff>
      <xdr:row>25</xdr:row>
      <xdr:rowOff>68580</xdr:rowOff>
    </xdr:to>
    <xdr:graphicFrame macro="">
      <xdr:nvGraphicFramePr>
        <xdr:cNvPr id="76" name="Chart 75">
          <a:extLst>
            <a:ext uri="{FF2B5EF4-FFF2-40B4-BE49-F238E27FC236}">
              <a16:creationId xmlns:a16="http://schemas.microsoft.com/office/drawing/2014/main" id="{EF41220F-D230-4CC8-855B-03B647599C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449580</xdr:colOff>
      <xdr:row>12</xdr:row>
      <xdr:rowOff>175260</xdr:rowOff>
    </xdr:from>
    <xdr:to>
      <xdr:col>15</xdr:col>
      <xdr:colOff>76200</xdr:colOff>
      <xdr:row>25</xdr:row>
      <xdr:rowOff>99060</xdr:rowOff>
    </xdr:to>
    <xdr:graphicFrame macro="">
      <xdr:nvGraphicFramePr>
        <xdr:cNvPr id="77" name="Chart 76">
          <a:extLst>
            <a:ext uri="{FF2B5EF4-FFF2-40B4-BE49-F238E27FC236}">
              <a16:creationId xmlns:a16="http://schemas.microsoft.com/office/drawing/2014/main" id="{410EDA70-BED1-47B7-A087-CAC131D15C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251460</xdr:colOff>
      <xdr:row>12</xdr:row>
      <xdr:rowOff>76200</xdr:rowOff>
    </xdr:from>
    <xdr:to>
      <xdr:col>22</xdr:col>
      <xdr:colOff>160020</xdr:colOff>
      <xdr:row>25</xdr:row>
      <xdr:rowOff>144780</xdr:rowOff>
    </xdr:to>
    <xdr:graphicFrame macro="">
      <xdr:nvGraphicFramePr>
        <xdr:cNvPr id="78" name="Chart 77">
          <a:extLst>
            <a:ext uri="{FF2B5EF4-FFF2-40B4-BE49-F238E27FC236}">
              <a16:creationId xmlns:a16="http://schemas.microsoft.com/office/drawing/2014/main" id="{0C40981F-E028-4C14-AC20-39B5D03924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274320</xdr:colOff>
      <xdr:row>24</xdr:row>
      <xdr:rowOff>38100</xdr:rowOff>
    </xdr:from>
    <xdr:to>
      <xdr:col>10</xdr:col>
      <xdr:colOff>160020</xdr:colOff>
      <xdr:row>36</xdr:row>
      <xdr:rowOff>129540</xdr:rowOff>
    </xdr:to>
    <xdr:graphicFrame macro="">
      <xdr:nvGraphicFramePr>
        <xdr:cNvPr id="79" name="Chart 78">
          <a:extLst>
            <a:ext uri="{FF2B5EF4-FFF2-40B4-BE49-F238E27FC236}">
              <a16:creationId xmlns:a16="http://schemas.microsoft.com/office/drawing/2014/main" id="{46564030-3BB3-4E19-85C1-3EFD3120C9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373380</xdr:colOff>
      <xdr:row>23</xdr:row>
      <xdr:rowOff>60960</xdr:rowOff>
    </xdr:from>
    <xdr:to>
      <xdr:col>16</xdr:col>
      <xdr:colOff>449580</xdr:colOff>
      <xdr:row>37</xdr:row>
      <xdr:rowOff>30480</xdr:rowOff>
    </xdr:to>
    <xdr:graphicFrame macro="">
      <xdr:nvGraphicFramePr>
        <xdr:cNvPr id="80" name="Chart 79">
          <a:extLst>
            <a:ext uri="{FF2B5EF4-FFF2-40B4-BE49-F238E27FC236}">
              <a16:creationId xmlns:a16="http://schemas.microsoft.com/office/drawing/2014/main" id="{0D23B04C-E2BB-46B9-A841-A627D141E7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266700</xdr:colOff>
      <xdr:row>24</xdr:row>
      <xdr:rowOff>22860</xdr:rowOff>
    </xdr:from>
    <xdr:to>
      <xdr:col>21</xdr:col>
      <xdr:colOff>434340</xdr:colOff>
      <xdr:row>37</xdr:row>
      <xdr:rowOff>76200</xdr:rowOff>
    </xdr:to>
    <mc:AlternateContent xmlns:mc="http://schemas.openxmlformats.org/markup-compatibility/2006">
      <mc:Choice xmlns:cx2="http://schemas.microsoft.com/office/drawing/2015/10/21/chartex" Requires="cx2">
        <xdr:graphicFrame macro="">
          <xdr:nvGraphicFramePr>
            <xdr:cNvPr id="81" name="Chart 80">
              <a:extLst>
                <a:ext uri="{FF2B5EF4-FFF2-40B4-BE49-F238E27FC236}">
                  <a16:creationId xmlns:a16="http://schemas.microsoft.com/office/drawing/2014/main" id="{5A887C98-C51E-44C3-8722-1EE80E4745D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0020300" y="4411980"/>
              <a:ext cx="3215640" cy="24307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190500</xdr:colOff>
      <xdr:row>7</xdr:row>
      <xdr:rowOff>91440</xdr:rowOff>
    </xdr:from>
    <xdr:to>
      <xdr:col>2</xdr:col>
      <xdr:colOff>586740</xdr:colOff>
      <xdr:row>8</xdr:row>
      <xdr:rowOff>175260</xdr:rowOff>
    </xdr:to>
    <xdr:sp macro="" textlink="Sheet1!E18">
      <xdr:nvSpPr>
        <xdr:cNvPr id="84" name="TextBox 83">
          <a:extLst>
            <a:ext uri="{FF2B5EF4-FFF2-40B4-BE49-F238E27FC236}">
              <a16:creationId xmlns:a16="http://schemas.microsoft.com/office/drawing/2014/main" id="{A05D9733-6665-CED8-9D3A-975CA8F657A9}"/>
            </a:ext>
          </a:extLst>
        </xdr:cNvPr>
        <xdr:cNvSpPr txBox="1"/>
      </xdr:nvSpPr>
      <xdr:spPr>
        <a:xfrm>
          <a:off x="800100" y="1371600"/>
          <a:ext cx="100584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3530A16-77AF-4A9D-A801-670579EC4802}" type="TxLink">
            <a:rPr lang="en-US" sz="1400" b="1" i="0" u="none" strike="noStrike">
              <a:solidFill>
                <a:srgbClr val="000000"/>
              </a:solidFill>
              <a:latin typeface="Calibri"/>
              <a:ea typeface="Calibri"/>
              <a:cs typeface="Calibri"/>
            </a:rPr>
            <a:pPr/>
            <a:t>100</a:t>
          </a:fld>
          <a:endParaRPr lang="en-IN" sz="1400" b="1"/>
        </a:p>
      </xdr:txBody>
    </xdr:sp>
    <xdr:clientData/>
  </xdr:twoCellAnchor>
  <xdr:twoCellAnchor>
    <xdr:from>
      <xdr:col>8</xdr:col>
      <xdr:colOff>22860</xdr:colOff>
      <xdr:row>7</xdr:row>
      <xdr:rowOff>68580</xdr:rowOff>
    </xdr:from>
    <xdr:to>
      <xdr:col>9</xdr:col>
      <xdr:colOff>464820</xdr:colOff>
      <xdr:row>8</xdr:row>
      <xdr:rowOff>114300</xdr:rowOff>
    </xdr:to>
    <xdr:sp macro="" textlink="Sheet3!B30">
      <xdr:nvSpPr>
        <xdr:cNvPr id="6" name="TextBox 5">
          <a:extLst>
            <a:ext uri="{FF2B5EF4-FFF2-40B4-BE49-F238E27FC236}">
              <a16:creationId xmlns:a16="http://schemas.microsoft.com/office/drawing/2014/main" id="{192DD629-A190-0BA1-27D0-953F8C0E7B37}"/>
            </a:ext>
          </a:extLst>
        </xdr:cNvPr>
        <xdr:cNvSpPr txBox="1"/>
      </xdr:nvSpPr>
      <xdr:spPr>
        <a:xfrm>
          <a:off x="4899660" y="1348740"/>
          <a:ext cx="105156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2B10377-A80B-4FBB-BA6D-3BD926AFE29A}" type="TxLink">
            <a:rPr lang="en-US" sz="1400" b="1" i="0" u="none" strike="noStrike">
              <a:solidFill>
                <a:srgbClr val="000000"/>
              </a:solidFill>
              <a:latin typeface="Calibri"/>
              <a:ea typeface="Calibri"/>
              <a:cs typeface="Calibri"/>
            </a:rPr>
            <a:pPr/>
            <a:t>4.00</a:t>
          </a:fld>
          <a:endParaRPr lang="en-US" sz="1400" b="1"/>
        </a:p>
      </xdr:txBody>
    </xdr:sp>
    <xdr:clientData/>
  </xdr:twoCellAnchor>
  <xdr:twoCellAnchor editAs="oneCell">
    <xdr:from>
      <xdr:col>8</xdr:col>
      <xdr:colOff>312420</xdr:colOff>
      <xdr:row>9</xdr:row>
      <xdr:rowOff>167640</xdr:rowOff>
    </xdr:from>
    <xdr:to>
      <xdr:col>9</xdr:col>
      <xdr:colOff>274320</xdr:colOff>
      <xdr:row>13</xdr:row>
      <xdr:rowOff>7620</xdr:rowOff>
    </xdr:to>
    <xdr:pic>
      <xdr:nvPicPr>
        <xdr:cNvPr id="9" name="Graphic 8" descr="Truck with solid fill">
          <a:extLst>
            <a:ext uri="{FF2B5EF4-FFF2-40B4-BE49-F238E27FC236}">
              <a16:creationId xmlns:a16="http://schemas.microsoft.com/office/drawing/2014/main" id="{7E51D78F-5BE4-CD04-C64B-FFE28324A00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189220" y="1813560"/>
          <a:ext cx="571500" cy="571500"/>
        </a:xfrm>
        <a:prstGeom prst="rect">
          <a:avLst/>
        </a:prstGeom>
      </xdr:spPr>
    </xdr:pic>
    <xdr:clientData/>
  </xdr:twoCellAnchor>
  <xdr:twoCellAnchor editAs="oneCell">
    <xdr:from>
      <xdr:col>7</xdr:col>
      <xdr:colOff>53340</xdr:colOff>
      <xdr:row>6</xdr:row>
      <xdr:rowOff>121920</xdr:rowOff>
    </xdr:from>
    <xdr:to>
      <xdr:col>8</xdr:col>
      <xdr:colOff>15240</xdr:colOff>
      <xdr:row>9</xdr:row>
      <xdr:rowOff>144780</xdr:rowOff>
    </xdr:to>
    <xdr:pic>
      <xdr:nvPicPr>
        <xdr:cNvPr id="10" name="Graphic 9" descr="Truck with solid fill">
          <a:extLst>
            <a:ext uri="{FF2B5EF4-FFF2-40B4-BE49-F238E27FC236}">
              <a16:creationId xmlns:a16="http://schemas.microsoft.com/office/drawing/2014/main" id="{A2693319-51FD-4E41-9F80-26668FFF61A4}"/>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320540" y="1219200"/>
          <a:ext cx="571500" cy="571500"/>
        </a:xfrm>
        <a:prstGeom prst="rect">
          <a:avLst/>
        </a:prstGeom>
      </xdr:spPr>
    </xdr:pic>
    <xdr:clientData/>
  </xdr:twoCellAnchor>
  <xdr:twoCellAnchor editAs="oneCell">
    <xdr:from>
      <xdr:col>9</xdr:col>
      <xdr:colOff>205740</xdr:colOff>
      <xdr:row>6</xdr:row>
      <xdr:rowOff>114300</xdr:rowOff>
    </xdr:from>
    <xdr:to>
      <xdr:col>10</xdr:col>
      <xdr:colOff>91440</xdr:colOff>
      <xdr:row>9</xdr:row>
      <xdr:rowOff>60960</xdr:rowOff>
    </xdr:to>
    <xdr:pic>
      <xdr:nvPicPr>
        <xdr:cNvPr id="14" name="Graphic 13" descr="Coins with solid fill">
          <a:extLst>
            <a:ext uri="{FF2B5EF4-FFF2-40B4-BE49-F238E27FC236}">
              <a16:creationId xmlns:a16="http://schemas.microsoft.com/office/drawing/2014/main" id="{2DB0C3FA-8A45-4896-71C1-BF3D9BF507BB}"/>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5692140" y="1211580"/>
          <a:ext cx="495300" cy="495300"/>
        </a:xfrm>
        <a:prstGeom prst="rect">
          <a:avLst/>
        </a:prstGeom>
      </xdr:spPr>
    </xdr:pic>
    <xdr:clientData/>
  </xdr:twoCellAnchor>
  <xdr:twoCellAnchor editAs="oneCell">
    <xdr:from>
      <xdr:col>15</xdr:col>
      <xdr:colOff>121920</xdr:colOff>
      <xdr:row>10</xdr:row>
      <xdr:rowOff>0</xdr:rowOff>
    </xdr:from>
    <xdr:to>
      <xdr:col>15</xdr:col>
      <xdr:colOff>571500</xdr:colOff>
      <xdr:row>12</xdr:row>
      <xdr:rowOff>83820</xdr:rowOff>
    </xdr:to>
    <xdr:pic>
      <xdr:nvPicPr>
        <xdr:cNvPr id="18" name="Graphic 17" descr="Money with solid fill">
          <a:extLst>
            <a:ext uri="{FF2B5EF4-FFF2-40B4-BE49-F238E27FC236}">
              <a16:creationId xmlns:a16="http://schemas.microsoft.com/office/drawing/2014/main" id="{951F60A7-CCE8-9F74-582C-462C984DF78D}"/>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9265920" y="1828800"/>
          <a:ext cx="449580" cy="449580"/>
        </a:xfrm>
        <a:prstGeom prst="rect">
          <a:avLst/>
        </a:prstGeom>
      </xdr:spPr>
    </xdr:pic>
    <xdr:clientData/>
  </xdr:twoCellAnchor>
  <xdr:twoCellAnchor editAs="oneCell">
    <xdr:from>
      <xdr:col>4</xdr:col>
      <xdr:colOff>563880</xdr:colOff>
      <xdr:row>10</xdr:row>
      <xdr:rowOff>60960</xdr:rowOff>
    </xdr:from>
    <xdr:to>
      <xdr:col>6</xdr:col>
      <xdr:colOff>22860</xdr:colOff>
      <xdr:row>12</xdr:row>
      <xdr:rowOff>144780</xdr:rowOff>
    </xdr:to>
    <xdr:pic>
      <xdr:nvPicPr>
        <xdr:cNvPr id="20" name="Graphic 19" descr="Money with solid fill">
          <a:extLst>
            <a:ext uri="{FF2B5EF4-FFF2-40B4-BE49-F238E27FC236}">
              <a16:creationId xmlns:a16="http://schemas.microsoft.com/office/drawing/2014/main" id="{86BF3EF1-2F4E-4613-A4B8-D250952DAC8E}"/>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3002280" y="1889760"/>
          <a:ext cx="678180" cy="449580"/>
        </a:xfrm>
        <a:prstGeom prst="rect">
          <a:avLst/>
        </a:prstGeom>
      </xdr:spPr>
    </xdr:pic>
    <xdr:clientData/>
  </xdr:twoCellAnchor>
  <xdr:twoCellAnchor editAs="oneCell">
    <xdr:from>
      <xdr:col>0</xdr:col>
      <xdr:colOff>83820</xdr:colOff>
      <xdr:row>10</xdr:row>
      <xdr:rowOff>53340</xdr:rowOff>
    </xdr:from>
    <xdr:to>
      <xdr:col>0</xdr:col>
      <xdr:colOff>533400</xdr:colOff>
      <xdr:row>12</xdr:row>
      <xdr:rowOff>137160</xdr:rowOff>
    </xdr:to>
    <xdr:pic>
      <xdr:nvPicPr>
        <xdr:cNvPr id="24" name="Graphic 23" descr="Money with solid fill">
          <a:extLst>
            <a:ext uri="{FF2B5EF4-FFF2-40B4-BE49-F238E27FC236}">
              <a16:creationId xmlns:a16="http://schemas.microsoft.com/office/drawing/2014/main" id="{983F6762-D257-4495-A248-3216E3FD77EC}"/>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83820" y="1882140"/>
          <a:ext cx="449580" cy="449580"/>
        </a:xfrm>
        <a:prstGeom prst="rect">
          <a:avLst/>
        </a:prstGeom>
      </xdr:spPr>
    </xdr:pic>
    <xdr:clientData/>
  </xdr:twoCellAnchor>
  <xdr:twoCellAnchor editAs="oneCell">
    <xdr:from>
      <xdr:col>17</xdr:col>
      <xdr:colOff>213360</xdr:colOff>
      <xdr:row>10</xdr:row>
      <xdr:rowOff>15240</xdr:rowOff>
    </xdr:from>
    <xdr:to>
      <xdr:col>18</xdr:col>
      <xdr:colOff>68580</xdr:colOff>
      <xdr:row>12</xdr:row>
      <xdr:rowOff>7620</xdr:rowOff>
    </xdr:to>
    <xdr:pic>
      <xdr:nvPicPr>
        <xdr:cNvPr id="25" name="Graphic 24" descr="Money with solid fill">
          <a:extLst>
            <a:ext uri="{FF2B5EF4-FFF2-40B4-BE49-F238E27FC236}">
              <a16:creationId xmlns:a16="http://schemas.microsoft.com/office/drawing/2014/main" id="{6C3E2333-98DB-439B-A907-02F6A3415EC2}"/>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0576560" y="1844040"/>
          <a:ext cx="464820" cy="358140"/>
        </a:xfrm>
        <a:prstGeom prst="rect">
          <a:avLst/>
        </a:prstGeom>
      </xdr:spPr>
    </xdr:pic>
    <xdr:clientData/>
  </xdr:twoCellAnchor>
  <xdr:twoCellAnchor editAs="oneCell">
    <xdr:from>
      <xdr:col>12</xdr:col>
      <xdr:colOff>563880</xdr:colOff>
      <xdr:row>10</xdr:row>
      <xdr:rowOff>30480</xdr:rowOff>
    </xdr:from>
    <xdr:to>
      <xdr:col>13</xdr:col>
      <xdr:colOff>548640</xdr:colOff>
      <xdr:row>12</xdr:row>
      <xdr:rowOff>68580</xdr:rowOff>
    </xdr:to>
    <xdr:pic>
      <xdr:nvPicPr>
        <xdr:cNvPr id="27" name="Graphic 26" descr="User with solid fill">
          <a:extLst>
            <a:ext uri="{FF2B5EF4-FFF2-40B4-BE49-F238E27FC236}">
              <a16:creationId xmlns:a16="http://schemas.microsoft.com/office/drawing/2014/main" id="{2E3995F2-A7D5-6543-A6B7-9AD6FA0A48F7}"/>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7879080" y="1859280"/>
          <a:ext cx="594360" cy="403860"/>
        </a:xfrm>
        <a:prstGeom prst="rect">
          <a:avLst/>
        </a:prstGeom>
      </xdr:spPr>
    </xdr:pic>
    <xdr:clientData/>
  </xdr:twoCellAnchor>
  <xdr:twoCellAnchor editAs="oneCell">
    <xdr:from>
      <xdr:col>0</xdr:col>
      <xdr:colOff>76200</xdr:colOff>
      <xdr:row>7</xdr:row>
      <xdr:rowOff>22860</xdr:rowOff>
    </xdr:from>
    <xdr:to>
      <xdr:col>1</xdr:col>
      <xdr:colOff>38100</xdr:colOff>
      <xdr:row>9</xdr:row>
      <xdr:rowOff>129540</xdr:rowOff>
    </xdr:to>
    <xdr:pic>
      <xdr:nvPicPr>
        <xdr:cNvPr id="31" name="Graphic 30" descr="Children with solid fill">
          <a:extLst>
            <a:ext uri="{FF2B5EF4-FFF2-40B4-BE49-F238E27FC236}">
              <a16:creationId xmlns:a16="http://schemas.microsoft.com/office/drawing/2014/main" id="{D8827EFD-05C0-24CC-F5DA-7AFDC5EE9952}"/>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76200" y="1303020"/>
          <a:ext cx="571500" cy="472440"/>
        </a:xfrm>
        <a:prstGeom prst="rect">
          <a:avLst/>
        </a:prstGeom>
      </xdr:spPr>
    </xdr:pic>
    <xdr:clientData/>
  </xdr:twoCellAnchor>
  <xdr:twoCellAnchor editAs="oneCell">
    <xdr:from>
      <xdr:col>2</xdr:col>
      <xdr:colOff>144780</xdr:colOff>
      <xdr:row>6</xdr:row>
      <xdr:rowOff>167640</xdr:rowOff>
    </xdr:from>
    <xdr:to>
      <xdr:col>3</xdr:col>
      <xdr:colOff>129540</xdr:colOff>
      <xdr:row>9</xdr:row>
      <xdr:rowOff>22860</xdr:rowOff>
    </xdr:to>
    <xdr:pic>
      <xdr:nvPicPr>
        <xdr:cNvPr id="32" name="Graphic 31" descr="User with solid fill">
          <a:extLst>
            <a:ext uri="{FF2B5EF4-FFF2-40B4-BE49-F238E27FC236}">
              <a16:creationId xmlns:a16="http://schemas.microsoft.com/office/drawing/2014/main" id="{5EE33FA4-2A97-453B-A76C-EDA2925BA1C3}"/>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363980" y="1264920"/>
          <a:ext cx="594360" cy="403860"/>
        </a:xfrm>
        <a:prstGeom prst="rect">
          <a:avLst/>
        </a:prstGeom>
      </xdr:spPr>
    </xdr:pic>
    <xdr:clientData/>
  </xdr:twoCellAnchor>
  <xdr:twoCellAnchor editAs="oneCell">
    <xdr:from>
      <xdr:col>2</xdr:col>
      <xdr:colOff>198120</xdr:colOff>
      <xdr:row>10</xdr:row>
      <xdr:rowOff>45720</xdr:rowOff>
    </xdr:from>
    <xdr:to>
      <xdr:col>3</xdr:col>
      <xdr:colOff>83820</xdr:colOff>
      <xdr:row>12</xdr:row>
      <xdr:rowOff>175260</xdr:rowOff>
    </xdr:to>
    <xdr:pic>
      <xdr:nvPicPr>
        <xdr:cNvPr id="35" name="Graphic 34" descr="Coins with solid fill">
          <a:extLst>
            <a:ext uri="{FF2B5EF4-FFF2-40B4-BE49-F238E27FC236}">
              <a16:creationId xmlns:a16="http://schemas.microsoft.com/office/drawing/2014/main" id="{D5D1E773-D376-4816-BD0B-499048D1CFC1}"/>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417320" y="1874520"/>
          <a:ext cx="495300" cy="495300"/>
        </a:xfrm>
        <a:prstGeom prst="rect">
          <a:avLst/>
        </a:prstGeom>
      </xdr:spPr>
    </xdr:pic>
    <xdr:clientData/>
  </xdr:twoCellAnchor>
  <xdr:twoCellAnchor editAs="oneCell">
    <xdr:from>
      <xdr:col>19</xdr:col>
      <xdr:colOff>335280</xdr:colOff>
      <xdr:row>9</xdr:row>
      <xdr:rowOff>0</xdr:rowOff>
    </xdr:from>
    <xdr:to>
      <xdr:col>23</xdr:col>
      <xdr:colOff>92880</xdr:colOff>
      <xdr:row>12</xdr:row>
      <xdr:rowOff>83820</xdr:rowOff>
    </xdr:to>
    <mc:AlternateContent xmlns:mc="http://schemas.openxmlformats.org/markup-compatibility/2006" xmlns:a14="http://schemas.microsoft.com/office/drawing/2010/main">
      <mc:Choice Requires="a14">
        <xdr:graphicFrame macro="">
          <xdr:nvGraphicFramePr>
            <xdr:cNvPr id="36" name="Gender 2">
              <a:extLst>
                <a:ext uri="{FF2B5EF4-FFF2-40B4-BE49-F238E27FC236}">
                  <a16:creationId xmlns:a16="http://schemas.microsoft.com/office/drawing/2014/main" id="{7D8ADF22-C14A-4018-B8B1-329701C6A314}"/>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11917680" y="1645920"/>
              <a:ext cx="2196000" cy="632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563880</xdr:colOff>
      <xdr:row>7</xdr:row>
      <xdr:rowOff>53340</xdr:rowOff>
    </xdr:from>
    <xdr:to>
      <xdr:col>4</xdr:col>
      <xdr:colOff>373380</xdr:colOff>
      <xdr:row>8</xdr:row>
      <xdr:rowOff>129540</xdr:rowOff>
    </xdr:to>
    <xdr:sp macro="" textlink="Sheet1!$C$6">
      <xdr:nvSpPr>
        <xdr:cNvPr id="40" name="TextBox 39">
          <a:extLst>
            <a:ext uri="{FF2B5EF4-FFF2-40B4-BE49-F238E27FC236}">
              <a16:creationId xmlns:a16="http://schemas.microsoft.com/office/drawing/2014/main" id="{B9A3E31B-8B09-2E94-DDDB-8C9EE8A56E27}"/>
            </a:ext>
          </a:extLst>
        </xdr:cNvPr>
        <xdr:cNvSpPr txBox="1"/>
      </xdr:nvSpPr>
      <xdr:spPr>
        <a:xfrm>
          <a:off x="1783080" y="1333500"/>
          <a:ext cx="102870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95FADC5-C895-41FB-93D5-417B4EE900AE}" type="TxLink">
            <a:rPr lang="en-US" sz="1400" b="1" i="0" u="none" strike="noStrike">
              <a:solidFill>
                <a:srgbClr val="000000"/>
              </a:solidFill>
              <a:latin typeface="Calibri"/>
              <a:ea typeface="Calibri"/>
              <a:cs typeface="Calibri"/>
            </a:rPr>
            <a:pPr/>
            <a:t>AmyGriffin</a:t>
          </a:fld>
          <a:endParaRPr lang="en-IN" sz="1400" b="1"/>
        </a:p>
      </xdr:txBody>
    </xdr:sp>
    <xdr:clientData/>
  </xdr:twoCellAnchor>
  <xdr:twoCellAnchor editAs="oneCell">
    <xdr:from>
      <xdr:col>10</xdr:col>
      <xdr:colOff>441960</xdr:colOff>
      <xdr:row>10</xdr:row>
      <xdr:rowOff>45720</xdr:rowOff>
    </xdr:from>
    <xdr:to>
      <xdr:col>11</xdr:col>
      <xdr:colOff>335280</xdr:colOff>
      <xdr:row>12</xdr:row>
      <xdr:rowOff>99060</xdr:rowOff>
    </xdr:to>
    <xdr:pic>
      <xdr:nvPicPr>
        <xdr:cNvPr id="52" name="Graphic 51" descr="Clapping hands with solid fill">
          <a:extLst>
            <a:ext uri="{FF2B5EF4-FFF2-40B4-BE49-F238E27FC236}">
              <a16:creationId xmlns:a16="http://schemas.microsoft.com/office/drawing/2014/main" id="{FBC37140-4DCB-F641-268B-FCD9312C833E}"/>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6537960" y="1874520"/>
          <a:ext cx="502920" cy="419100"/>
        </a:xfrm>
        <a:prstGeom prst="rect">
          <a:avLst/>
        </a:prstGeom>
      </xdr:spPr>
    </xdr:pic>
    <xdr:clientData/>
  </xdr:twoCellAnchor>
  <xdr:twoCellAnchor editAs="oneCell">
    <xdr:from>
      <xdr:col>0</xdr:col>
      <xdr:colOff>68580</xdr:colOff>
      <xdr:row>13</xdr:row>
      <xdr:rowOff>45720</xdr:rowOff>
    </xdr:from>
    <xdr:to>
      <xdr:col>3</xdr:col>
      <xdr:colOff>137160</xdr:colOff>
      <xdr:row>21</xdr:row>
      <xdr:rowOff>7620</xdr:rowOff>
    </xdr:to>
    <mc:AlternateContent xmlns:mc="http://schemas.openxmlformats.org/markup-compatibility/2006" xmlns:a14="http://schemas.microsoft.com/office/drawing/2010/main">
      <mc:Choice Requires="a14">
        <xdr:graphicFrame macro="">
          <xdr:nvGraphicFramePr>
            <xdr:cNvPr id="53" name="City 1">
              <a:extLst>
                <a:ext uri="{FF2B5EF4-FFF2-40B4-BE49-F238E27FC236}">
                  <a16:creationId xmlns:a16="http://schemas.microsoft.com/office/drawing/2014/main" id="{3D5B80F1-CD21-4210-96AF-B1C5D7D7BC9E}"/>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68580" y="2423160"/>
              <a:ext cx="1897380" cy="1424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68580</xdr:colOff>
      <xdr:row>21</xdr:row>
      <xdr:rowOff>68580</xdr:rowOff>
    </xdr:from>
    <xdr:to>
      <xdr:col>3</xdr:col>
      <xdr:colOff>121920</xdr:colOff>
      <xdr:row>28</xdr:row>
      <xdr:rowOff>15239</xdr:rowOff>
    </xdr:to>
    <mc:AlternateContent xmlns:mc="http://schemas.openxmlformats.org/markup-compatibility/2006" xmlns:a14="http://schemas.microsoft.com/office/drawing/2010/main">
      <mc:Choice Requires="a14">
        <xdr:graphicFrame macro="">
          <xdr:nvGraphicFramePr>
            <xdr:cNvPr id="58" name="Coupon_Code 1">
              <a:extLst>
                <a:ext uri="{FF2B5EF4-FFF2-40B4-BE49-F238E27FC236}">
                  <a16:creationId xmlns:a16="http://schemas.microsoft.com/office/drawing/2014/main" id="{21853993-83D6-4BB8-9ED6-018531119F3B}"/>
                </a:ext>
              </a:extLst>
            </xdr:cNvPr>
            <xdr:cNvGraphicFramePr/>
          </xdr:nvGraphicFramePr>
          <xdr:xfrm>
            <a:off x="0" y="0"/>
            <a:ext cx="0" cy="0"/>
          </xdr:xfrm>
          <a:graphic>
            <a:graphicData uri="http://schemas.microsoft.com/office/drawing/2010/slicer">
              <sle:slicer xmlns:sle="http://schemas.microsoft.com/office/drawing/2010/slicer" name="Coupon_Code 1"/>
            </a:graphicData>
          </a:graphic>
        </xdr:graphicFrame>
      </mc:Choice>
      <mc:Fallback xmlns="">
        <xdr:sp macro="" textlink="">
          <xdr:nvSpPr>
            <xdr:cNvPr id="0" name=""/>
            <xdr:cNvSpPr>
              <a:spLocks noTextEdit="1"/>
            </xdr:cNvSpPr>
          </xdr:nvSpPr>
          <xdr:spPr>
            <a:xfrm>
              <a:off x="68580" y="3909060"/>
              <a:ext cx="1882140" cy="12268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121920</xdr:colOff>
      <xdr:row>28</xdr:row>
      <xdr:rowOff>53340</xdr:rowOff>
    </xdr:from>
    <xdr:to>
      <xdr:col>3</xdr:col>
      <xdr:colOff>142696</xdr:colOff>
      <xdr:row>36</xdr:row>
      <xdr:rowOff>175260</xdr:rowOff>
    </xdr:to>
    <mc:AlternateContent xmlns:mc="http://schemas.openxmlformats.org/markup-compatibility/2006" xmlns:a14="http://schemas.microsoft.com/office/drawing/2010/main">
      <mc:Choice Requires="a14">
        <xdr:graphicFrame macro="">
          <xdr:nvGraphicFramePr>
            <xdr:cNvPr id="59" name="Product_ID 1">
              <a:extLst>
                <a:ext uri="{FF2B5EF4-FFF2-40B4-BE49-F238E27FC236}">
                  <a16:creationId xmlns:a16="http://schemas.microsoft.com/office/drawing/2014/main" id="{B100F521-87BA-4A66-9CB4-E75E88EE7EA6}"/>
                </a:ext>
              </a:extLst>
            </xdr:cNvPr>
            <xdr:cNvGraphicFramePr/>
          </xdr:nvGraphicFramePr>
          <xdr:xfrm>
            <a:off x="0" y="0"/>
            <a:ext cx="0" cy="0"/>
          </xdr:xfrm>
          <a:graphic>
            <a:graphicData uri="http://schemas.microsoft.com/office/drawing/2010/slicer">
              <sle:slicer xmlns:sle="http://schemas.microsoft.com/office/drawing/2010/slicer" name="Product_ID 1"/>
            </a:graphicData>
          </a:graphic>
        </xdr:graphicFrame>
      </mc:Choice>
      <mc:Fallback xmlns="">
        <xdr:sp macro="" textlink="">
          <xdr:nvSpPr>
            <xdr:cNvPr id="0" name=""/>
            <xdr:cNvSpPr>
              <a:spLocks noTextEdit="1"/>
            </xdr:cNvSpPr>
          </xdr:nvSpPr>
          <xdr:spPr>
            <a:xfrm>
              <a:off x="121920" y="5173980"/>
              <a:ext cx="1849576" cy="1584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220980</xdr:colOff>
      <xdr:row>2</xdr:row>
      <xdr:rowOff>137160</xdr:rowOff>
    </xdr:from>
    <xdr:to>
      <xdr:col>22</xdr:col>
      <xdr:colOff>556260</xdr:colOff>
      <xdr:row>8</xdr:row>
      <xdr:rowOff>152400</xdr:rowOff>
    </xdr:to>
    <mc:AlternateContent xmlns:mc="http://schemas.openxmlformats.org/markup-compatibility/2006" xmlns:tsle="http://schemas.microsoft.com/office/drawing/2012/timeslicer">
      <mc:Choice Requires="tsle">
        <xdr:graphicFrame macro="">
          <xdr:nvGraphicFramePr>
            <xdr:cNvPr id="60" name="Order_Date 1">
              <a:extLst>
                <a:ext uri="{FF2B5EF4-FFF2-40B4-BE49-F238E27FC236}">
                  <a16:creationId xmlns:a16="http://schemas.microsoft.com/office/drawing/2014/main" id="{49F6B2C1-B14F-4960-ABAD-41B1AC7FFD73}"/>
                </a:ext>
              </a:extLst>
            </xdr:cNvPr>
            <xdr:cNvGraphicFramePr/>
          </xdr:nvGraphicFramePr>
          <xdr:xfrm>
            <a:off x="0" y="0"/>
            <a:ext cx="0" cy="0"/>
          </xdr:xfrm>
          <a:graphic>
            <a:graphicData uri="http://schemas.microsoft.com/office/drawing/2012/timeslicer">
              <tsle:timeslicer name="Order_Date 1"/>
            </a:graphicData>
          </a:graphic>
        </xdr:graphicFrame>
      </mc:Choice>
      <mc:Fallback xmlns="">
        <xdr:sp macro="" textlink="">
          <xdr:nvSpPr>
            <xdr:cNvPr id="0" name=""/>
            <xdr:cNvSpPr>
              <a:spLocks noTextEdit="1"/>
            </xdr:cNvSpPr>
          </xdr:nvSpPr>
          <xdr:spPr>
            <a:xfrm>
              <a:off x="7536180" y="502920"/>
              <a:ext cx="6431280" cy="11125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3</xdr:col>
      <xdr:colOff>121920</xdr:colOff>
      <xdr:row>2</xdr:row>
      <xdr:rowOff>144780</xdr:rowOff>
    </xdr:from>
    <xdr:to>
      <xdr:col>12</xdr:col>
      <xdr:colOff>144780</xdr:colOff>
      <xdr:row>5</xdr:row>
      <xdr:rowOff>68580</xdr:rowOff>
    </xdr:to>
    <xdr:sp macro="" textlink="">
      <xdr:nvSpPr>
        <xdr:cNvPr id="61" name="TextBox 60">
          <a:extLst>
            <a:ext uri="{FF2B5EF4-FFF2-40B4-BE49-F238E27FC236}">
              <a16:creationId xmlns:a16="http://schemas.microsoft.com/office/drawing/2014/main" id="{9F535A6E-1BCA-63AB-C75F-D6DF7BA7B4D4}"/>
            </a:ext>
          </a:extLst>
        </xdr:cNvPr>
        <xdr:cNvSpPr txBox="1"/>
      </xdr:nvSpPr>
      <xdr:spPr>
        <a:xfrm>
          <a:off x="1950720" y="510540"/>
          <a:ext cx="5509260" cy="472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600" b="1"/>
            <a:t>Sales &amp; Customer</a:t>
          </a:r>
          <a:r>
            <a:rPr lang="en-IN" sz="2600" b="1" baseline="0"/>
            <a:t> Analytics Dashboard</a:t>
          </a:r>
          <a:endParaRPr lang="en-IN" sz="2600" b="1"/>
        </a:p>
      </xdr:txBody>
    </xdr:sp>
    <xdr:clientData/>
  </xdr:twoCellAnchor>
  <xdr:twoCellAnchor editAs="oneCell">
    <xdr:from>
      <xdr:col>0</xdr:col>
      <xdr:colOff>198120</xdr:colOff>
      <xdr:row>2</xdr:row>
      <xdr:rowOff>144780</xdr:rowOff>
    </xdr:from>
    <xdr:to>
      <xdr:col>3</xdr:col>
      <xdr:colOff>205740</xdr:colOff>
      <xdr:row>5</xdr:row>
      <xdr:rowOff>144780</xdr:rowOff>
    </xdr:to>
    <xdr:pic>
      <xdr:nvPicPr>
        <xdr:cNvPr id="68" name="Picture 67">
          <a:extLst>
            <a:ext uri="{FF2B5EF4-FFF2-40B4-BE49-F238E27FC236}">
              <a16:creationId xmlns:a16="http://schemas.microsoft.com/office/drawing/2014/main" id="{79D82C51-5EF7-2A19-0C61-F51CCFCB8014}"/>
            </a:ext>
          </a:extLst>
        </xdr:cNvPr>
        <xdr:cNvPicPr>
          <a:picLocks noChangeAspect="1"/>
        </xdr:cNvPicPr>
      </xdr:nvPicPr>
      <xdr:blipFill>
        <a:blip xmlns:r="http://schemas.openxmlformats.org/officeDocument/2006/relationships" r:embed="rId19" cstate="print">
          <a:extLst>
            <a:ext uri="{BEBA8EAE-BF5A-486C-A8C5-ECC9F3942E4B}">
              <a14:imgProps xmlns:a14="http://schemas.microsoft.com/office/drawing/2010/main">
                <a14:imgLayer r:embed="rId20">
                  <a14:imgEffect>
                    <a14:colorTemperature colorTemp="5300"/>
                  </a14:imgEffect>
                </a14:imgLayer>
              </a14:imgProps>
            </a:ext>
            <a:ext uri="{28A0092B-C50C-407E-A947-70E740481C1C}">
              <a14:useLocalDpi xmlns:a14="http://schemas.microsoft.com/office/drawing/2010/main" val="0"/>
            </a:ext>
          </a:extLst>
        </a:blip>
        <a:stretch>
          <a:fillRect/>
        </a:stretch>
      </xdr:blipFill>
      <xdr:spPr>
        <a:xfrm>
          <a:off x="198120" y="510540"/>
          <a:ext cx="1836420" cy="548640"/>
        </a:xfrm>
        <a:prstGeom prst="rect">
          <a:avLst/>
        </a:prstGeom>
        <a:ln>
          <a:noFill/>
        </a:ln>
        <a:effectLst>
          <a:softEdge rad="112500"/>
        </a:effectLst>
      </xdr:spPr>
    </xdr:pic>
    <xdr:clientData/>
  </xdr:twoCellAnchor>
  <xdr:twoCellAnchor>
    <xdr:from>
      <xdr:col>15</xdr:col>
      <xdr:colOff>495300</xdr:colOff>
      <xdr:row>10</xdr:row>
      <xdr:rowOff>76200</xdr:rowOff>
    </xdr:from>
    <xdr:to>
      <xdr:col>17</xdr:col>
      <xdr:colOff>198120</xdr:colOff>
      <xdr:row>12</xdr:row>
      <xdr:rowOff>0</xdr:rowOff>
    </xdr:to>
    <xdr:sp macro="" textlink="Sheet1!V21">
      <xdr:nvSpPr>
        <xdr:cNvPr id="73" name="TextBox 72">
          <a:extLst>
            <a:ext uri="{FF2B5EF4-FFF2-40B4-BE49-F238E27FC236}">
              <a16:creationId xmlns:a16="http://schemas.microsoft.com/office/drawing/2014/main" id="{77EC21E1-74A9-B1A1-0574-1D8A1F2E26AB}"/>
            </a:ext>
          </a:extLst>
        </xdr:cNvPr>
        <xdr:cNvSpPr txBox="1"/>
      </xdr:nvSpPr>
      <xdr:spPr>
        <a:xfrm>
          <a:off x="9639300" y="1905000"/>
          <a:ext cx="9220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5058CBB-9D7B-4A35-B8D1-3ECD76D94F03}" type="TxLink">
            <a:rPr lang="en-US" sz="1400" b="1" i="0" u="none" strike="noStrike">
              <a:solidFill>
                <a:srgbClr val="000000"/>
              </a:solidFill>
              <a:latin typeface="Calibri"/>
              <a:ea typeface="Calibri"/>
              <a:cs typeface="Calibri"/>
            </a:rPr>
            <a:t>18899.28</a:t>
          </a:fld>
          <a:endParaRPr lang="en-IN" sz="14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VEEN" refreshedDate="46249.898775925925" createdVersion="8" refreshedVersion="8" minRefreshableVersion="3" recordCount="500" xr:uid="{B37D783F-9428-4E24-83FC-DFDB9AFD5F83}">
  <cacheSource type="worksheet">
    <worksheetSource name="Table3"/>
  </cacheSource>
  <cacheFields count="32">
    <cacheField name="Customer_ID" numFmtId="0">
      <sharedItems count="100">
        <s v="CID186"/>
        <s v="CID150"/>
        <s v="CID115"/>
        <s v="CID149"/>
        <s v="CID159"/>
        <s v="CID198"/>
        <s v="CID152"/>
        <s v="CID130"/>
        <s v="CID101"/>
        <s v="CID105"/>
        <s v="CID172"/>
        <s v="CID178"/>
        <s v="CID176"/>
        <s v="CID148"/>
        <s v="CID137"/>
        <s v="CID147"/>
        <s v="CID128"/>
        <s v="CID168"/>
        <s v="CID179"/>
        <s v="CID163"/>
        <s v="CID182"/>
        <s v="CID158"/>
        <s v="CID193"/>
        <s v="CID166"/>
        <s v="CID191"/>
        <s v="CID108"/>
        <s v="CID161"/>
        <s v="CID190"/>
        <s v="CID120"/>
        <s v="CID155"/>
        <s v="CID121"/>
        <s v="CID133"/>
        <s v="CID169"/>
        <s v="CID132"/>
        <s v="CID180"/>
        <s v="CID184"/>
        <s v="CID187"/>
        <s v="CID181"/>
        <s v="CID116"/>
        <s v="CID135"/>
        <s v="CID165"/>
        <s v="CID126"/>
        <s v="CID111"/>
        <s v="CID129"/>
        <s v="CID199"/>
        <s v="CID134"/>
        <s v="CID136"/>
        <s v="CID153"/>
        <s v="CID100"/>
        <s v="CID195"/>
        <s v="CID175"/>
        <s v="CID103"/>
        <s v="CID192"/>
        <s v="CID174"/>
        <s v="CID145"/>
        <s v="CID144"/>
        <s v="CID125"/>
        <s v="CID139"/>
        <s v="CID118"/>
        <s v="CID140"/>
        <s v="CID123"/>
        <s v="CID183"/>
        <s v="CID143"/>
        <s v="CID156"/>
        <s v="CID170"/>
        <s v="CID107"/>
        <s v="CID185"/>
        <s v="CID194"/>
        <s v="CID188"/>
        <s v="CID112"/>
        <s v="CID124"/>
        <s v="CID160"/>
        <s v="CID171"/>
        <s v="CID173"/>
        <s v="CID119"/>
        <s v="CID109"/>
        <s v="CID127"/>
        <s v="CID189"/>
        <s v="CID162"/>
        <s v="CID104"/>
        <s v="CID138"/>
        <s v="CID142"/>
        <s v="CID113"/>
        <s v="CID102"/>
        <s v="CID117"/>
        <s v="CID154"/>
        <s v="CID141"/>
        <s v="CID122"/>
        <s v="CID131"/>
        <s v="CID157"/>
        <s v="CID164"/>
        <s v="CID151"/>
        <s v="CID114"/>
        <s v="CID110"/>
        <s v="CID196"/>
        <s v="CID177"/>
        <s v="CID106"/>
        <s v="CID197"/>
        <s v="CID146"/>
        <s v="CID167"/>
      </sharedItems>
    </cacheField>
    <cacheField name="First_Name" numFmtId="0">
      <sharedItems/>
    </cacheField>
    <cacheField name="Last_Name" numFmtId="0">
      <sharedItems/>
    </cacheField>
    <cacheField name="Full Name" numFmtId="0">
      <sharedItems count="100">
        <s v="AnneOconnell"/>
        <s v="AnthonyThomas"/>
        <s v="KarlGallagher"/>
        <s v="AngelaHorne"/>
        <s v="ChristineWest"/>
        <s v="DavidDelacruz"/>
        <s v="MarcusValenzuela"/>
        <s v="DebraRodriguez"/>
        <s v="BobbyForbes"/>
        <s v="JosephStewart"/>
        <s v="KaraBrennan"/>
        <s v="AmyReid"/>
        <s v="JoshuaCampbell"/>
        <s v="ErinMiller"/>
        <s v="GinaMoreno"/>
        <s v="MalloryMitchell"/>
        <s v="TraciJones"/>
        <s v="DeborahBates"/>
        <s v="ChristianClayton"/>
        <s v="MarkHenderson"/>
        <s v="JohnHerrera"/>
        <s v="AngelaEvans"/>
        <s v="AshleyRose"/>
        <s v="TaylorDavis"/>
        <s v="LaurenLong"/>
        <s v="TeresaHarvey"/>
        <s v="HeatherSchneider"/>
        <s v="ValerieCarr"/>
        <s v="JennyEstrada"/>
        <s v="CourtneyParker"/>
        <s v="JulieMeyer"/>
        <s v="DonnaOneill"/>
        <s v="RobertCastillo"/>
        <s v="TimothyHicks"/>
        <s v="ThomasAndersen"/>
        <s v="AaronThompson"/>
        <s v="JasonLopez"/>
        <s v="AlexandraSmith"/>
        <s v="JohnRamirez"/>
        <s v="AmandaHoward"/>
        <s v="MaryKnight"/>
        <s v="MarcusRogers"/>
        <s v="BrianKennedy"/>
        <s v="RebeccaFigueroa"/>
        <s v="LoriCook"/>
        <s v="DebraHayes"/>
        <s v="BrittanyStewart"/>
        <s v="MitchellParker"/>
        <s v="SharonThompson"/>
        <s v="SarahButler"/>
        <s v="KatherineWeber"/>
        <s v="JasonNguyen"/>
        <s v="BrandonCruz"/>
        <s v="JodiWhitney"/>
        <s v="AshleyRomero"/>
        <s v="WilliamMann"/>
        <s v="KelliSmith"/>
        <s v="JosephGaines"/>
        <s v="AmyEllis"/>
        <s v="BethMason"/>
        <s v="ChristyChang"/>
        <s v="TroyGomez"/>
        <s v="KimBlevins"/>
        <s v="GregoryLee"/>
        <s v="BruceAllen"/>
        <s v="LisaMiller"/>
        <s v="MelissaLevy"/>
        <s v="BarbaraFuller"/>
        <s v="KristinaHaynes"/>
        <s v="LindseyByrd"/>
        <s v="EdwardBlack"/>
        <s v="JamesBrown"/>
        <s v="LeslieMontgomery"/>
        <s v="SusanThompson"/>
        <s v="AmyGriffin"/>
        <s v="RachaelRobinson"/>
        <s v="NatashaMichael"/>
        <s v="ChristineAguilar"/>
        <s v="MarkSummers"/>
        <s v="GaryHuff"/>
        <s v="MikeCarter"/>
        <s v="ThomasOwens"/>
        <s v="BrendanKelly"/>
        <s v="JessicaRuiz"/>
        <s v="HannahGutierrez"/>
        <s v="AngelaCasey"/>
        <s v="MeganHunt"/>
        <s v="JaredHorn"/>
        <s v="VeronicaLopez"/>
        <s v="SarahBenson"/>
        <s v="LaurenLane"/>
        <s v="WilliamRichmond"/>
        <s v="LaurenCrane"/>
        <s v="KatieHicks"/>
        <s v="ReginaHawkins"/>
        <s v="RachelLopez"/>
        <s v="ScottJones"/>
        <s v="GaryJacobs"/>
        <s v="JaniceGordon"/>
        <s v="DianaFrench"/>
      </sharedItems>
    </cacheField>
    <cacheField name="Age" numFmtId="0">
      <sharedItems containsSemiMixedTypes="0" containsString="0" containsNumber="1" containsInteger="1" minValue="18" maxValue="70"/>
    </cacheField>
    <cacheField name="Gender" numFmtId="0">
      <sharedItems count="3">
        <s v="Male"/>
        <s v="Female"/>
        <s v="Other"/>
      </sharedItems>
    </cacheField>
    <cacheField name="City" numFmtId="0">
      <sharedItems count="8">
        <s v="Phoenix"/>
        <s v="Houston"/>
        <s v="New York"/>
        <s v="Los Angeles"/>
        <s v="Miami"/>
        <s v="Chicago"/>
        <s v="San Francisco"/>
        <s v="Dallas"/>
      </sharedItems>
    </cacheField>
    <cacheField name="Email" numFmtId="0">
      <sharedItems/>
    </cacheField>
    <cacheField name="Address" numFmtId="0">
      <sharedItems/>
    </cacheField>
    <cacheField name="Order_ID" numFmtId="0">
      <sharedItems count="500">
        <s v="OID2497"/>
        <s v="OID7056"/>
        <s v="OID7502"/>
        <s v="OID7077"/>
        <s v="OID2793"/>
        <s v="OID1483"/>
        <s v="OID4105"/>
        <s v="OID4372"/>
        <s v="OID3528"/>
        <s v="OID9634"/>
        <s v="OID1905"/>
        <s v="OID3136"/>
        <s v="OID6886"/>
        <s v="OID3509"/>
        <s v="OID3689"/>
        <s v="OID1911"/>
        <s v="OID6520"/>
        <s v="OID6123"/>
        <s v="OID1699"/>
        <s v="OID3792"/>
        <s v="OID7663"/>
        <s v="OID7609"/>
        <s v="OID8875"/>
        <s v="OID4032"/>
        <s v="OID9964"/>
        <s v="OID2121"/>
        <s v="OID4710"/>
        <s v="OID4295"/>
        <s v="OID2817"/>
        <s v="OID4643"/>
        <s v="OID4558"/>
        <s v="OID9577"/>
        <s v="OID5502"/>
        <s v="OID6974"/>
        <s v="OID2701"/>
        <s v="OID4432"/>
        <s v="OID3502"/>
        <s v="OID4411"/>
        <s v="OID6304"/>
        <s v="OID5126"/>
        <s v="OID8577"/>
        <s v="OID7688"/>
        <s v="OID4670"/>
        <s v="OID3319"/>
        <s v="OID6911"/>
        <s v="OID8494"/>
        <s v="OID6898"/>
        <s v="OID7606"/>
        <s v="OID6503"/>
        <s v="OID3616"/>
        <s v="OID2170"/>
        <s v="OID1956"/>
        <s v="OID8620"/>
        <s v="OID4770"/>
        <s v="OID9880"/>
        <s v="OID2152"/>
        <s v="OID2991"/>
        <s v="OID5607"/>
        <s v="OID8169"/>
        <s v="OID5832"/>
        <s v="OID7806"/>
        <s v="OID4875"/>
        <s v="OID4070"/>
        <s v="OID7679"/>
        <s v="OID3097"/>
        <s v="OID8869"/>
        <s v="OID2686"/>
        <s v="OID1046"/>
        <s v="OID8953"/>
        <s v="OID1157"/>
        <s v="OID7358"/>
        <s v="OID7453"/>
        <s v="OID1573"/>
        <s v="OID5696"/>
        <s v="OID3467"/>
        <s v="OID8542"/>
        <s v="OID1520"/>
        <s v="OID2157"/>
        <s v="OID6374"/>
        <s v="OID6555"/>
        <s v="OID5850"/>
        <s v="OID8041"/>
        <s v="OID5605"/>
        <s v="OID8388"/>
        <s v="OID5787"/>
        <s v="OID3140"/>
        <s v="OID6771"/>
        <s v="OID8988"/>
        <s v="OID9398"/>
        <s v="OID9822"/>
        <s v="OID1269"/>
        <s v="OID9915"/>
        <s v="OID3348"/>
        <s v="OID8431"/>
        <s v="OID6943"/>
        <s v="OID6229"/>
        <s v="OID6912"/>
        <s v="OID5081"/>
        <s v="OID5610"/>
        <s v="OID7759"/>
        <s v="OID4481"/>
        <s v="OID6749"/>
        <s v="OID8681"/>
        <s v="OID9693"/>
        <s v="OID3607"/>
        <s v="OID9743"/>
        <s v="OID7866"/>
        <s v="OID1137"/>
        <s v="OID4685"/>
        <s v="OID9584"/>
        <s v="OID1686"/>
        <s v="OID5272"/>
        <s v="OID7359"/>
        <s v="OID3570"/>
        <s v="OID2519"/>
        <s v="OID1134"/>
        <s v="OID8270"/>
        <s v="OID9515"/>
        <s v="OID6608"/>
        <s v="OID3035"/>
        <s v="OID4548"/>
        <s v="OID5978"/>
        <s v="OID6297"/>
        <s v="OID5108"/>
        <s v="OID4599"/>
        <s v="OID1418"/>
        <s v="OID1411"/>
        <s v="OID8692"/>
        <s v="OID4402"/>
        <s v="OID1309"/>
        <s v="OID2746"/>
        <s v="OID9360"/>
        <s v="OID6453"/>
        <s v="OID9745"/>
        <s v="OID4081"/>
        <s v="OID3967"/>
        <s v="OID9112"/>
        <s v="OID8628"/>
        <s v="OID5996"/>
        <s v="OID5210"/>
        <s v="OID4415"/>
        <s v="OID6716"/>
        <s v="OID9804"/>
        <s v="OID9798"/>
        <s v="OID4965"/>
        <s v="OID3209"/>
        <s v="OID6103"/>
        <s v="OID4368"/>
        <s v="OID1692"/>
        <s v="OID9808"/>
        <s v="OID3568"/>
        <s v="OID3469"/>
        <s v="OID6217"/>
        <s v="OID9257"/>
        <s v="OID7258"/>
        <s v="OID8380"/>
        <s v="OID9224"/>
        <s v="OID4506"/>
        <s v="OID7689"/>
        <s v="OID8699"/>
        <s v="OID1317"/>
        <s v="OID2429"/>
        <s v="OID4514"/>
        <s v="OID6237"/>
        <s v="OID6752"/>
        <s v="OID7059"/>
        <s v="OID6264"/>
        <s v="OID5366"/>
        <s v="OID1663"/>
        <s v="OID7664"/>
        <s v="OID4364"/>
        <s v="OID1153"/>
        <s v="OID5700"/>
        <s v="OID1706"/>
        <s v="OID6420"/>
        <s v="OID2659"/>
        <s v="OID5326"/>
        <s v="OID4465"/>
        <s v="OID9324"/>
        <s v="OID9267"/>
        <s v="OID5402"/>
        <s v="OID8716"/>
        <s v="OID4014"/>
        <s v="OID8569"/>
        <s v="OID6330"/>
        <s v="OID6607"/>
        <s v="OID4892"/>
        <s v="OID9692"/>
        <s v="OID4746"/>
        <s v="OID6057"/>
        <s v="OID3134"/>
        <s v="OID7980"/>
        <s v="OID7432"/>
        <s v="OID9465"/>
        <s v="OID9872"/>
        <s v="OID6856"/>
        <s v="OID1826"/>
        <s v="OID3421"/>
        <s v="OID6869"/>
        <s v="OID6635"/>
        <s v="OID8295"/>
        <s v="OID4642"/>
        <s v="OID7380"/>
        <s v="OID1086"/>
        <s v="OID6936"/>
        <s v="OID2938"/>
        <s v="OID8074"/>
        <s v="OID1076"/>
        <s v="OID8347"/>
        <s v="OID6373"/>
        <s v="OID5913"/>
        <s v="OID2941"/>
        <s v="OID9627"/>
        <s v="OID9705"/>
        <s v="OID7486"/>
        <s v="OID4560"/>
        <s v="OID1379"/>
        <s v="OID8114"/>
        <s v="OID9805"/>
        <s v="OID7003"/>
        <s v="OID5372"/>
        <s v="OID4097"/>
        <s v="OID7090"/>
        <s v="OID8741"/>
        <s v="OID6002"/>
        <s v="OID8585"/>
        <s v="OID6767"/>
        <s v="OID4369"/>
        <s v="OID5283"/>
        <s v="OID2949"/>
        <s v="OID1071"/>
        <s v="OID7412"/>
        <s v="OID6541"/>
        <s v="OID3550"/>
        <s v="OID7812"/>
        <s v="OID4101"/>
        <s v="OID2704"/>
        <s v="OID3902"/>
        <s v="OID6097"/>
        <s v="OID2270"/>
        <s v="OID4575"/>
        <s v="OID2338"/>
        <s v="OID9816"/>
        <s v="OID1586"/>
        <s v="OID9630"/>
        <s v="OID8034"/>
        <s v="OID4815"/>
        <s v="OID1898"/>
        <s v="OID7454"/>
        <s v="OID2597"/>
        <s v="OID6600"/>
        <s v="OID3490"/>
        <s v="OID5561"/>
        <s v="OID8830"/>
        <s v="OID9527"/>
        <s v="OID1067"/>
        <s v="OID2119"/>
        <s v="OID5802"/>
        <s v="OID4569"/>
        <s v="OID1508"/>
        <s v="OID3969"/>
        <s v="OID8974"/>
        <s v="OID6987"/>
        <s v="OID5834"/>
        <s v="OID3980"/>
        <s v="OID9700"/>
        <s v="OID1135"/>
        <s v="OID9451"/>
        <s v="OID4659"/>
        <s v="OID7205"/>
        <s v="OID9735"/>
        <s v="OID3358"/>
        <s v="OID4719"/>
        <s v="OID8203"/>
        <s v="OID2353"/>
        <s v="OID5255"/>
        <s v="OID7946"/>
        <s v="OID1159"/>
        <s v="OID5186"/>
        <s v="OID7156"/>
        <s v="OID3574"/>
        <s v="OID1477"/>
        <s v="OID2944"/>
        <s v="OID5130"/>
        <s v="OID7754"/>
        <s v="OID1246"/>
        <s v="OID8680"/>
        <s v="OID7102"/>
        <s v="OID7555"/>
        <s v="OID3165"/>
        <s v="OID9628"/>
        <s v="OID9782"/>
        <s v="OID7302"/>
        <s v="OID4580"/>
        <s v="OID7954"/>
        <s v="OID6246"/>
        <s v="OID5671"/>
        <s v="OID3145"/>
        <s v="OID8575"/>
        <s v="OID7910"/>
        <s v="OID1179"/>
        <s v="OID1041"/>
        <s v="OID1693"/>
        <s v="OID8609"/>
        <s v="OID9578"/>
        <s v="OID5985"/>
        <s v="OID2571"/>
        <s v="OID6045"/>
        <s v="OID1336"/>
        <s v="OID7117"/>
        <s v="OID3749"/>
        <s v="OID7008"/>
        <s v="OID8913"/>
        <s v="OID1597"/>
        <s v="OID4412"/>
        <s v="OID3900"/>
        <s v="OID9756"/>
        <s v="OID8307"/>
        <s v="OID5575"/>
        <s v="OID5883"/>
        <s v="OID6340"/>
        <s v="OID2501"/>
        <s v="OID6973"/>
        <s v="OID6597"/>
        <s v="OID4840"/>
        <s v="OID5389"/>
        <s v="OID8649"/>
        <s v="OID2779"/>
        <s v="OID4185"/>
        <s v="OID1243"/>
        <s v="OID4147"/>
        <s v="OID3681"/>
        <s v="OID5229"/>
        <s v="OID9990"/>
        <s v="OID1756"/>
        <s v="OID1866"/>
        <s v="OID2619"/>
        <s v="OID2505"/>
        <s v="OID7850"/>
        <s v="OID1966"/>
        <s v="OID3837"/>
        <s v="OID9187"/>
        <s v="OID3760"/>
        <s v="OID7065"/>
        <s v="OID6906"/>
        <s v="OID7996"/>
        <s v="OID9247"/>
        <s v="OID7303"/>
        <s v="OID2173"/>
        <s v="OID5367"/>
        <s v="OID9748"/>
        <s v="OID6469"/>
        <s v="OID1013"/>
        <s v="OID1219"/>
        <s v="OID9988"/>
        <s v="OID1669"/>
        <s v="OID7329"/>
        <s v="OID2873"/>
        <s v="OID4932"/>
        <s v="OID4169"/>
        <s v="OID6945"/>
        <s v="OID6794"/>
        <s v="OID2412"/>
        <s v="OID8162"/>
        <s v="OID8860"/>
        <s v="OID2523"/>
        <s v="OID7382"/>
        <s v="OID7593"/>
        <s v="OID9980"/>
        <s v="OID2440"/>
        <s v="OID7256"/>
        <s v="OID6854"/>
        <s v="OID9600"/>
        <s v="OID3186"/>
        <s v="OID1420"/>
        <s v="OID4436"/>
        <s v="OID6410"/>
        <s v="OID4538"/>
        <s v="OID8225"/>
        <s v="OID2099"/>
        <s v="OID9222"/>
        <s v="OID3523"/>
        <s v="OID3834"/>
        <s v="OID9975"/>
        <s v="OID6893"/>
        <s v="OID8192"/>
        <s v="OID7904"/>
        <s v="OID5999"/>
        <s v="OID7409"/>
        <s v="OID8708"/>
        <s v="OID5745"/>
        <s v="OID9178"/>
        <s v="OID2529"/>
        <s v="OID3125"/>
        <s v="OID4011"/>
        <s v="OID1592"/>
        <s v="OID7667"/>
        <s v="OID5182"/>
        <s v="OID1833"/>
        <s v="OID5190"/>
        <s v="OID4399"/>
        <s v="OID8104"/>
        <s v="OID1054"/>
        <s v="OID7828"/>
        <s v="OID5598"/>
        <s v="OID7417"/>
        <s v="OID8004"/>
        <s v="OID7287"/>
        <s v="OID3637"/>
        <s v="OID2097"/>
        <s v="OID3388"/>
        <s v="OID1114"/>
        <s v="OID3556"/>
        <s v="OID9404"/>
        <s v="OID4552"/>
        <s v="OID8486"/>
        <s v="OID4240"/>
        <s v="OID3727"/>
        <s v="OID8955"/>
        <s v="OID1744"/>
        <s v="OID5831"/>
        <s v="OID2842"/>
        <s v="OID1661"/>
        <s v="OID9123"/>
        <s v="OID3981"/>
        <s v="OID6634"/>
        <s v="OID9069"/>
        <s v="OID6802"/>
        <s v="OID4442"/>
        <s v="OID4995"/>
        <s v="OID7650"/>
        <s v="OID5555"/>
        <s v="OID1769"/>
        <s v="OID2189"/>
        <s v="OID9035"/>
        <s v="OID4219"/>
        <s v="OID1694"/>
        <s v="OID7495"/>
        <s v="OID1080"/>
        <s v="OID4539"/>
        <s v="OID8093"/>
        <s v="OID1707"/>
        <s v="OID5703"/>
        <s v="OID7457"/>
        <s v="OID4784"/>
        <s v="OID1726"/>
        <s v="OID1073"/>
        <s v="OID7443"/>
        <s v="OID1025"/>
        <s v="OID8826"/>
        <s v="OID6254"/>
        <s v="OID7518"/>
        <s v="OID4491"/>
        <s v="OID8288"/>
        <s v="OID6504"/>
        <s v="OID2595"/>
        <s v="OID9478"/>
        <s v="OID1169"/>
        <s v="OID6775"/>
        <s v="OID2383"/>
        <s v="OID3750"/>
        <s v="OID4837"/>
        <s v="OID6975"/>
        <s v="OID1869"/>
        <s v="OID3921"/>
        <s v="OID4056"/>
        <s v="OID4907"/>
        <s v="OID9684"/>
        <s v="OID2044"/>
        <s v="OID6436"/>
        <s v="OID9374"/>
        <s v="OID2767"/>
        <s v="OID8981"/>
        <s v="OID2246"/>
        <s v="OID1779"/>
        <s v="OID2005"/>
        <s v="OID6485"/>
        <s v="OID6319"/>
        <s v="OID9461"/>
        <s v="OID4522"/>
        <s v="OID9862"/>
        <s v="OID6361"/>
        <s v="OID7238"/>
        <s v="OID8446"/>
        <s v="OID9459"/>
        <s v="OID6433"/>
        <s v="OID3128"/>
        <s v="OID8972"/>
        <s v="OID5970"/>
        <s v="OID3491"/>
        <s v="OID6651"/>
        <s v="OID2861"/>
        <s v="OID3302"/>
        <s v="OID9922"/>
        <s v="OID4613"/>
        <s v="OID7483"/>
        <s v="OID7418"/>
        <s v="OID3361"/>
        <s v="OID7475"/>
        <s v="OID6847"/>
      </sharedItems>
    </cacheField>
    <cacheField name="Order_Date" numFmtId="14">
      <sharedItems containsSemiMixedTypes="0" containsNonDate="0" containsDate="1" containsString="0" minDate="2023-02-09T00:00:00" maxDate="2025-02-08T00:00:00" count="365">
        <d v="2024-03-07T00:00:00"/>
        <d v="2024-03-27T00:00:00"/>
        <d v="2024-02-20T00:00:00"/>
        <d v="2024-05-14T00:00:00"/>
        <d v="2024-04-09T00:00:00"/>
        <d v="2024-09-08T00:00:00"/>
        <d v="2025-01-05T00:00:00"/>
        <d v="2024-06-16T00:00:00"/>
        <d v="2023-04-24T00:00:00"/>
        <d v="2023-12-22T00:00:00"/>
        <d v="2024-10-23T00:00:00"/>
        <d v="2024-07-25T00:00:00"/>
        <d v="2023-03-12T00:00:00"/>
        <d v="2023-12-07T00:00:00"/>
        <d v="2024-03-26T00:00:00"/>
        <d v="2023-06-02T00:00:00"/>
        <d v="2023-02-09T00:00:00"/>
        <d v="2024-09-07T00:00:00"/>
        <d v="2025-01-08T00:00:00"/>
        <d v="2024-09-21T00:00:00"/>
        <d v="2024-08-16T00:00:00"/>
        <d v="2024-03-01T00:00:00"/>
        <d v="2023-07-18T00:00:00"/>
        <d v="2023-09-25T00:00:00"/>
        <d v="2023-08-08T00:00:00"/>
        <d v="2023-07-31T00:00:00"/>
        <d v="2023-05-20T00:00:00"/>
        <d v="2023-09-16T00:00:00"/>
        <d v="2023-03-02T00:00:00"/>
        <d v="2023-10-25T00:00:00"/>
        <d v="2024-04-07T00:00:00"/>
        <d v="2023-04-23T00:00:00"/>
        <d v="2024-09-13T00:00:00"/>
        <d v="2024-04-25T00:00:00"/>
        <d v="2023-08-30T00:00:00"/>
        <d v="2023-11-14T00:00:00"/>
        <d v="2023-11-12T00:00:00"/>
        <d v="2023-09-24T00:00:00"/>
        <d v="2024-12-30T00:00:00"/>
        <d v="2024-10-09T00:00:00"/>
        <d v="2024-09-22T00:00:00"/>
        <d v="2024-10-03T00:00:00"/>
        <d v="2023-08-13T00:00:00"/>
        <d v="2023-04-04T00:00:00"/>
        <d v="2024-02-14T00:00:00"/>
        <d v="2024-01-22T00:00:00"/>
        <d v="2023-05-08T00:00:00"/>
        <d v="2024-11-24T00:00:00"/>
        <d v="2024-09-10T00:00:00"/>
        <d v="2024-03-14T00:00:00"/>
        <d v="2023-08-07T00:00:00"/>
        <d v="2024-01-21T00:00:00"/>
        <d v="2024-11-03T00:00:00"/>
        <d v="2023-10-30T00:00:00"/>
        <d v="2023-08-11T00:00:00"/>
        <d v="2023-10-14T00:00:00"/>
        <d v="2024-12-29T00:00:00"/>
        <d v="2023-02-15T00:00:00"/>
        <d v="2024-05-23T00:00:00"/>
        <d v="2023-03-17T00:00:00"/>
        <d v="2025-01-23T00:00:00"/>
        <d v="2024-12-03T00:00:00"/>
        <d v="2024-02-24T00:00:00"/>
        <d v="2024-07-30T00:00:00"/>
        <d v="2024-06-08T00:00:00"/>
        <d v="2024-01-31T00:00:00"/>
        <d v="2023-12-17T00:00:00"/>
        <d v="2024-10-21T00:00:00"/>
        <d v="2024-10-02T00:00:00"/>
        <d v="2024-07-22T00:00:00"/>
        <d v="2024-03-04T00:00:00"/>
        <d v="2023-07-25T00:00:00"/>
        <d v="2024-12-24T00:00:00"/>
        <d v="2023-04-25T00:00:00"/>
        <d v="2025-01-26T00:00:00"/>
        <d v="2024-05-31T00:00:00"/>
        <d v="2025-01-18T00:00:00"/>
        <d v="2024-08-21T00:00:00"/>
        <d v="2024-11-29T00:00:00"/>
        <d v="2024-08-01T00:00:00"/>
        <d v="2023-11-22T00:00:00"/>
        <d v="2024-10-30T00:00:00"/>
        <d v="2023-10-28T00:00:00"/>
        <d v="2023-05-30T00:00:00"/>
        <d v="2024-09-20T00:00:00"/>
        <d v="2024-01-16T00:00:00"/>
        <d v="2024-07-31T00:00:00"/>
        <d v="2024-07-15T00:00:00"/>
        <d v="2023-07-11T00:00:00"/>
        <d v="2023-09-14T00:00:00"/>
        <d v="2025-01-16T00:00:00"/>
        <d v="2024-01-30T00:00:00"/>
        <d v="2023-10-04T00:00:00"/>
        <d v="2024-12-10T00:00:00"/>
        <d v="2023-08-27T00:00:00"/>
        <d v="2024-07-11T00:00:00"/>
        <d v="2023-07-06T00:00:00"/>
        <d v="2024-08-26T00:00:00"/>
        <d v="2024-05-20T00:00:00"/>
        <d v="2024-05-15T00:00:00"/>
        <d v="2023-04-05T00:00:00"/>
        <d v="2023-03-20T00:00:00"/>
        <d v="2024-04-24T00:00:00"/>
        <d v="2024-04-15T00:00:00"/>
        <d v="2023-12-16T00:00:00"/>
        <d v="2023-07-24T00:00:00"/>
        <d v="2023-08-18T00:00:00"/>
        <d v="2023-04-07T00:00:00"/>
        <d v="2023-06-29T00:00:00"/>
        <d v="2023-03-18T00:00:00"/>
        <d v="2024-07-26T00:00:00"/>
        <d v="2024-02-13T00:00:00"/>
        <d v="2023-09-17T00:00:00"/>
        <d v="2025-01-10T00:00:00"/>
        <d v="2024-06-07T00:00:00"/>
        <d v="2024-11-02T00:00:00"/>
        <d v="2024-10-24T00:00:00"/>
        <d v="2025-02-01T00:00:00"/>
        <d v="2023-06-17T00:00:00"/>
        <d v="2023-12-21T00:00:00"/>
        <d v="2023-02-22T00:00:00"/>
        <d v="2025-01-06T00:00:00"/>
        <d v="2023-10-27T00:00:00"/>
        <d v="2023-11-19T00:00:00"/>
        <d v="2024-02-09T00:00:00"/>
        <d v="2023-07-01T00:00:00"/>
        <d v="2023-12-23T00:00:00"/>
        <d v="2024-09-02T00:00:00"/>
        <d v="2024-11-13T00:00:00"/>
        <d v="2024-10-11T00:00:00"/>
        <d v="2023-09-30T00:00:00"/>
        <d v="2025-01-20T00:00:00"/>
        <d v="2024-10-16T00:00:00"/>
        <d v="2023-02-26T00:00:00"/>
        <d v="2023-03-04T00:00:00"/>
        <d v="2023-11-21T00:00:00"/>
        <d v="2023-10-01T00:00:00"/>
        <d v="2024-02-08T00:00:00"/>
        <d v="2023-07-22T00:00:00"/>
        <d v="2024-10-19T00:00:00"/>
        <d v="2023-12-31T00:00:00"/>
        <d v="2024-07-09T00:00:00"/>
        <d v="2023-06-12T00:00:00"/>
        <d v="2024-11-14T00:00:00"/>
        <d v="2023-04-29T00:00:00"/>
        <d v="2024-08-25T00:00:00"/>
        <d v="2024-08-31T00:00:00"/>
        <d v="2023-02-24T00:00:00"/>
        <d v="2023-10-08T00:00:00"/>
        <d v="2024-08-09T00:00:00"/>
        <d v="2024-09-15T00:00:00"/>
        <d v="2023-07-13T00:00:00"/>
        <d v="2024-10-26T00:00:00"/>
        <d v="2024-09-26T00:00:00"/>
        <d v="2023-05-05T00:00:00"/>
        <d v="2024-01-27T00:00:00"/>
        <d v="2024-08-04T00:00:00"/>
        <d v="2024-10-15T00:00:00"/>
        <d v="2024-07-05T00:00:00"/>
        <d v="2023-03-25T00:00:00"/>
        <d v="2024-06-14T00:00:00"/>
        <d v="2024-02-21T00:00:00"/>
        <d v="2023-06-18T00:00:00"/>
        <d v="2024-12-25T00:00:00"/>
        <d v="2024-06-12T00:00:00"/>
        <d v="2023-06-22T00:00:00"/>
        <d v="2023-05-14T00:00:00"/>
        <d v="2023-05-23T00:00:00"/>
        <d v="2023-04-20T00:00:00"/>
        <d v="2023-10-09T00:00:00"/>
        <d v="2023-11-11T00:00:00"/>
        <d v="2023-11-23T00:00:00"/>
        <d v="2024-08-19T00:00:00"/>
        <d v="2024-07-08T00:00:00"/>
        <d v="2023-05-07T00:00:00"/>
        <d v="2024-01-29T00:00:00"/>
        <d v="2023-05-28T00:00:00"/>
        <d v="2023-12-25T00:00:00"/>
        <d v="2023-03-16T00:00:00"/>
        <d v="2024-02-17T00:00:00"/>
        <d v="2024-02-27T00:00:00"/>
        <d v="2024-09-14T00:00:00"/>
        <d v="2023-07-05T00:00:00"/>
        <d v="2023-12-11T00:00:00"/>
        <d v="2024-10-13T00:00:00"/>
        <d v="2024-09-06T00:00:00"/>
        <d v="2024-04-26T00:00:00"/>
        <d v="2023-06-28T00:00:00"/>
        <d v="2023-10-18T00:00:00"/>
        <d v="2023-08-24T00:00:00"/>
        <d v="2023-12-13T00:00:00"/>
        <d v="2023-07-10T00:00:00"/>
        <d v="2024-04-10T00:00:00"/>
        <d v="2024-02-26T00:00:00"/>
        <d v="2023-11-27T00:00:00"/>
        <d v="2024-04-08T00:00:00"/>
        <d v="2023-07-02T00:00:00"/>
        <d v="2024-11-20T00:00:00"/>
        <d v="2024-05-05T00:00:00"/>
        <d v="2024-06-27T00:00:00"/>
        <d v="2023-02-11T00:00:00"/>
        <d v="2024-06-10T00:00:00"/>
        <d v="2024-11-12T00:00:00"/>
        <d v="2024-04-04T00:00:00"/>
        <d v="2024-08-27T00:00:00"/>
        <d v="2024-04-01T00:00:00"/>
        <d v="2023-11-03T00:00:00"/>
        <d v="2025-01-11T00:00:00"/>
        <d v="2025-01-02T00:00:00"/>
        <d v="2024-08-08T00:00:00"/>
        <d v="2024-04-11T00:00:00"/>
        <d v="2023-09-19T00:00:00"/>
        <d v="2023-04-10T00:00:00"/>
        <d v="2024-06-11T00:00:00"/>
        <d v="2024-09-12T00:00:00"/>
        <d v="2023-03-11T00:00:00"/>
        <d v="2025-01-15T00:00:00"/>
        <d v="2024-03-15T00:00:00"/>
        <d v="2024-02-29T00:00:00"/>
        <d v="2023-06-06T00:00:00"/>
        <d v="2024-05-16T00:00:00"/>
        <d v="2023-03-27T00:00:00"/>
        <d v="2024-02-10T00:00:00"/>
        <d v="2024-05-10T00:00:00"/>
        <d v="2023-04-01T00:00:00"/>
        <d v="2023-10-02T00:00:00"/>
        <d v="2024-08-18T00:00:00"/>
        <d v="2023-06-13T00:00:00"/>
        <d v="2023-05-03T00:00:00"/>
        <d v="2025-01-19T00:00:00"/>
        <d v="2023-06-15T00:00:00"/>
        <d v="2023-04-08T00:00:00"/>
        <d v="2023-05-12T00:00:00"/>
        <d v="2024-05-02T00:00:00"/>
        <d v="2024-08-23T00:00:00"/>
        <d v="2023-08-19T00:00:00"/>
        <d v="2023-06-27T00:00:00"/>
        <d v="2024-09-28T00:00:00"/>
        <d v="2023-12-19T00:00:00"/>
        <d v="2023-10-07T00:00:00"/>
        <d v="2024-02-02T00:00:00"/>
        <d v="2023-12-12T00:00:00"/>
        <d v="2025-01-14T00:00:00"/>
        <d v="2023-05-18T00:00:00"/>
        <d v="2023-02-16T00:00:00"/>
        <d v="2024-08-11T00:00:00"/>
        <d v="2023-02-19T00:00:00"/>
        <d v="2025-01-27T00:00:00"/>
        <d v="2024-04-18T00:00:00"/>
        <d v="2023-08-05T00:00:00"/>
        <d v="2023-10-12T00:00:00"/>
        <d v="2023-08-09T00:00:00"/>
        <d v="2024-12-11T00:00:00"/>
        <d v="2024-07-06T00:00:00"/>
        <d v="2024-07-28T00:00:00"/>
        <d v="2023-06-30T00:00:00"/>
        <d v="2024-05-08T00:00:00"/>
        <d v="2023-09-26T00:00:00"/>
        <d v="2024-10-08T00:00:00"/>
        <d v="2024-04-02T00:00:00"/>
        <d v="2024-04-06T00:00:00"/>
        <d v="2024-11-27T00:00:00"/>
        <d v="2023-12-29T00:00:00"/>
        <d v="2023-07-15T00:00:00"/>
        <d v="2024-12-01T00:00:00"/>
        <d v="2023-08-10T00:00:00"/>
        <d v="2025-01-25T00:00:00"/>
        <d v="2024-05-11T00:00:00"/>
        <d v="2024-01-12T00:00:00"/>
        <d v="2025-01-09T00:00:00"/>
        <d v="2023-06-08T00:00:00"/>
        <d v="2023-04-12T00:00:00"/>
        <d v="2024-04-05T00:00:00"/>
        <d v="2024-07-23T00:00:00"/>
        <d v="2023-09-18T00:00:00"/>
        <d v="2023-09-21T00:00:00"/>
        <d v="2023-02-25T00:00:00"/>
        <d v="2024-07-01T00:00:00"/>
        <d v="2024-11-04T00:00:00"/>
        <d v="2024-09-18T00:00:00"/>
        <d v="2023-05-13T00:00:00"/>
        <d v="2023-03-22T00:00:00"/>
        <d v="2025-01-21T00:00:00"/>
        <d v="2023-02-21T00:00:00"/>
        <d v="2024-05-09T00:00:00"/>
        <d v="2023-10-26T00:00:00"/>
        <d v="2024-06-30T00:00:00"/>
        <d v="2023-02-18T00:00:00"/>
        <d v="2024-07-12T00:00:00"/>
        <d v="2023-03-21T00:00:00"/>
        <d v="2024-11-26T00:00:00"/>
        <d v="2024-06-03T00:00:00"/>
        <d v="2023-11-17T00:00:00"/>
        <d v="2023-11-08T00:00:00"/>
        <d v="2023-12-10T00:00:00"/>
        <d v="2023-11-13T00:00:00"/>
        <d v="2023-12-04T00:00:00"/>
        <d v="2024-04-22T00:00:00"/>
        <d v="2024-06-26T00:00:00"/>
        <d v="2023-07-09T00:00:00"/>
        <d v="2024-01-11T00:00:00"/>
        <d v="2024-03-10T00:00:00"/>
        <d v="2023-06-14T00:00:00"/>
        <d v="2023-09-03T00:00:00"/>
        <d v="2024-12-31T00:00:00"/>
        <d v="2024-02-18T00:00:00"/>
        <d v="2024-02-22T00:00:00"/>
        <d v="2024-01-04T00:00:00"/>
        <d v="2024-07-04T00:00:00"/>
        <d v="2024-12-20T00:00:00"/>
        <d v="2023-04-17T00:00:00"/>
        <d v="2024-02-05T00:00:00"/>
        <d v="2024-08-13T00:00:00"/>
        <d v="2024-06-28T00:00:00"/>
        <d v="2024-02-28T00:00:00"/>
        <d v="2024-06-06T00:00:00"/>
        <d v="2024-03-08T00:00:00"/>
        <d v="2024-02-11T00:00:00"/>
        <d v="2025-01-24T00:00:00"/>
        <d v="2024-04-17T00:00:00"/>
        <d v="2024-04-14T00:00:00"/>
        <d v="2023-10-17T00:00:00"/>
        <d v="2024-03-17T00:00:00"/>
        <d v="2025-01-04T00:00:00"/>
        <d v="2024-12-27T00:00:00"/>
        <d v="2023-12-09T00:00:00"/>
        <d v="2025-02-07T00:00:00"/>
        <d v="2024-10-22T00:00:00"/>
        <d v="2024-04-16T00:00:00"/>
        <d v="2023-09-09T00:00:00"/>
        <d v="2024-09-01T00:00:00"/>
        <d v="2024-01-19T00:00:00"/>
        <d v="2023-08-29T00:00:00"/>
        <d v="2024-12-02T00:00:00"/>
        <d v="2023-09-06T00:00:00"/>
        <d v="2024-03-28T00:00:00"/>
        <d v="2024-12-07T00:00:00"/>
        <d v="2024-09-04T00:00:00"/>
        <d v="2024-05-17T00:00:00"/>
        <d v="2024-12-12T00:00:00"/>
        <d v="2024-03-29T00:00:00"/>
        <d v="2024-10-06T00:00:00"/>
        <d v="2023-02-23T00:00:00"/>
        <d v="2023-03-30T00:00:00"/>
        <d v="2024-10-31T00:00:00"/>
        <d v="2023-06-10T00:00:00"/>
        <d v="2023-06-26T00:00:00"/>
        <d v="2024-04-28T00:00:00"/>
        <d v="2024-03-11T00:00:00"/>
        <d v="2024-08-24T00:00:00"/>
        <d v="2024-03-03T00:00:00"/>
        <d v="2024-03-02T00:00:00"/>
        <d v="2023-11-29T00:00:00"/>
        <d v="2024-03-22T00:00:00"/>
        <d v="2023-05-26T00:00:00"/>
        <d v="2023-12-30T00:00:00"/>
        <d v="2023-07-21T00:00:00"/>
        <d v="2024-03-05T00:00:00"/>
        <d v="2023-10-05T00:00:00"/>
        <d v="2024-10-25T00:00:00"/>
        <d v="2023-09-13T00:00:00"/>
        <d v="2023-04-16T00:00:00"/>
        <d v="2024-07-17T00:00:00"/>
        <d v="2024-03-30T00:00:00"/>
        <d v="2024-06-29T00:00:00"/>
      </sharedItems>
      <fieldGroup par="31"/>
    </cacheField>
    <cacheField name="Order_Time" numFmtId="0">
      <sharedItems/>
    </cacheField>
    <cacheField name="Product_ID" numFmtId="0">
      <sharedItems count="50">
        <s v="PID022"/>
        <s v="PID015"/>
        <s v="PID023"/>
        <s v="PID031"/>
        <s v="PID043"/>
        <s v="PID046"/>
        <s v="PID034"/>
        <s v="PID033"/>
        <s v="PID007"/>
        <s v="PID042"/>
        <s v="PID047"/>
        <s v="PID039"/>
        <s v="PID014"/>
        <s v="PID024"/>
        <s v="PID003"/>
        <s v="PID008"/>
        <s v="PID012"/>
        <s v="PID028"/>
        <s v="PID030"/>
        <s v="PID026"/>
        <s v="PID018"/>
        <s v="PID036"/>
        <s v="PID050"/>
        <s v="PID021"/>
        <s v="PID027"/>
        <s v="PID037"/>
        <s v="PID041"/>
        <s v="PID004"/>
        <s v="PID020"/>
        <s v="PID010"/>
        <s v="PID001"/>
        <s v="PID019"/>
        <s v="PID009"/>
        <s v="PID038"/>
        <s v="PID048"/>
        <s v="PID049"/>
        <s v="PID017"/>
        <s v="PID016"/>
        <s v="PID006"/>
        <s v="PID025"/>
        <s v="PID005"/>
        <s v="PID035"/>
        <s v="PID013"/>
        <s v="PID032"/>
        <s v="PID040"/>
        <s v="PID029"/>
        <s v="PID044"/>
        <s v="PID011"/>
        <s v="PID002"/>
        <s v="PID045"/>
      </sharedItems>
    </cacheField>
    <cacheField name="Price" numFmtId="0">
      <sharedItems containsSemiMixedTypes="0" containsString="0" containsNumber="1" minValue="20" maxValue="496.59"/>
    </cacheField>
    <cacheField name="Quantity" numFmtId="0">
      <sharedItems containsSemiMixedTypes="0" containsString="0" containsNumber="1" containsInteger="1" minValue="1" maxValue="5"/>
    </cacheField>
    <cacheField name="Coupon_Code" numFmtId="0">
      <sharedItems count="5">
        <s v="FLAT8"/>
        <s v="FLAT15"/>
        <s v="DEL0"/>
        <s v="FLAT20"/>
        <s v="FLAT10"/>
      </sharedItems>
    </cacheField>
    <cacheField name="Estimated_Days_to_Deliver" numFmtId="0">
      <sharedItems containsSemiMixedTypes="0" containsString="0" containsNumber="1" containsInteger="1" minValue="1" maxValue="7"/>
    </cacheField>
    <cacheField name="Delivery_Charge" numFmtId="0">
      <sharedItems containsSemiMixedTypes="0" containsString="0" containsNumber="1" containsInteger="1" minValue="35" maxValue="70"/>
    </cacheField>
    <cacheField name="Delivery_Date" numFmtId="0">
      <sharedItems containsSemiMixedTypes="0" containsString="0" containsNumber="1" containsInteger="1" minValue="44970" maxValue="45701"/>
    </cacheField>
    <cacheField name="Delivery_Time" numFmtId="0">
      <sharedItems/>
    </cacheField>
    <cacheField name="Day_Delivery" numFmtId="0">
      <sharedItems containsSemiMixedTypes="0" containsString="0" containsNumber="1" containsInteger="1" minValue="1" maxValue="7"/>
    </cacheField>
    <cacheField name="Amount" numFmtId="0">
      <sharedItems containsSemiMixedTypes="0" containsString="0" containsNumber="1" minValue="20" maxValue="2482.9499999999998"/>
    </cacheField>
    <cacheField name="Discount_Percentage" numFmtId="0">
      <sharedItems containsSemiMixedTypes="0" containsString="0" containsNumber="1" minValue="0" maxValue="0.2"/>
    </cacheField>
    <cacheField name="Discount_Amount" numFmtId="0">
      <sharedItems containsSemiMixedTypes="0" containsString="0" containsNumber="1" minValue="18" maxValue="2284.3139999999999"/>
    </cacheField>
    <cacheField name="Amount_with_Delivery_Charge " numFmtId="0">
      <sharedItems containsSemiMixedTypes="0" containsString="0" containsNumber="1" minValue="20.7" maxValue="2345.3139999999999"/>
    </cacheField>
    <cacheField name="Full_Name" numFmtId="0">
      <sharedItems count="100">
        <s v="Anne  Oconnell"/>
        <s v="Anthony  Thomas"/>
        <s v="Karl  Gallagher"/>
        <s v="Angela  Horne"/>
        <s v="Christine  West"/>
        <s v="David  Delacruz"/>
        <s v="Marcus  Valenzuela"/>
        <s v="Debra  Rodriguez"/>
        <s v="Bobby  Forbes"/>
        <s v="Joseph  Stewart"/>
        <s v="Kara  Brennan"/>
        <s v="Amy  Reid"/>
        <s v="Joshua  Campbell"/>
        <s v="Erin  Miller"/>
        <s v="Gina  Moreno"/>
        <s v="Mallory  Mitchell"/>
        <s v="Traci  Jones"/>
        <s v="Deborah  Bates"/>
        <s v="Christian  Clayton"/>
        <s v="Mark  Henderson"/>
        <s v="John  Herrera"/>
        <s v="Angela  Evans"/>
        <s v="Ashley  Rose"/>
        <s v="Taylor  Davis"/>
        <s v="Lauren  Long"/>
        <s v="Teresa  Harvey"/>
        <s v="Heather  Schneider"/>
        <s v="Valerie  Carr"/>
        <s v="Jenny  Estrada"/>
        <s v="Courtney  Parker"/>
        <s v="Julie  Meyer"/>
        <s v="Donna  Oneill"/>
        <s v="Robert  Castillo"/>
        <s v="Timothy  Hicks"/>
        <s v="Thomas  Andersen"/>
        <s v="Aaron  Thompson"/>
        <s v="Jason  Lopez"/>
        <s v="Alexandra  Smith"/>
        <s v="John  Ramirez"/>
        <s v="Amanda  Howard"/>
        <s v="Mary  Knight"/>
        <s v="Marcus  Rogers"/>
        <s v="Brian  Kennedy"/>
        <s v="Rebecca  Figueroa"/>
        <s v="Lori  Cook"/>
        <s v="Debra  Hayes"/>
        <s v="Brittany  Stewart"/>
        <s v="Mitchell  Parker"/>
        <s v="Sharon  Thompson"/>
        <s v="Sarah  Butler"/>
        <s v="Katherine  Weber"/>
        <s v="Jason  Nguyen"/>
        <s v="Brandon  Cruz"/>
        <s v="Jodi  Whitney"/>
        <s v="Ashley  Romero"/>
        <s v="William  Mann"/>
        <s v="Kelli  Smith"/>
        <s v="Joseph  Gaines"/>
        <s v="Amy  Ellis"/>
        <s v="Beth  Mason"/>
        <s v="Christy  Chang"/>
        <s v="Troy  Gomez"/>
        <s v="Kim  Blevins"/>
        <s v="Gregory  Lee"/>
        <s v="Bruce  Allen"/>
        <s v="Lisa  Miller"/>
        <s v="Melissa  Levy"/>
        <s v="Barbara  Fuller"/>
        <s v="Kristina  Haynes"/>
        <s v="Lindsey  Byrd"/>
        <s v="Edward  Black"/>
        <s v="James  Brown"/>
        <s v="Leslie  Montgomery"/>
        <s v="Susan  Thompson"/>
        <s v="Amy  Griffin"/>
        <s v="Rachael  Robinson"/>
        <s v="Natasha  Michael"/>
        <s v="Christine  Aguilar"/>
        <s v="Mark  Summers"/>
        <s v="Gary  Huff"/>
        <s v="Mike  Carter"/>
        <s v="Thomas  Owens"/>
        <s v="Brendan  Kelly"/>
        <s v="Jessica  Ruiz"/>
        <s v="Hannah  Gutierrez"/>
        <s v="Angela  Casey"/>
        <s v="Megan  Hunt"/>
        <s v="Jared  Horn"/>
        <s v="Veronica  Lopez"/>
        <s v="Sarah  Benson"/>
        <s v="Lauren  Lane"/>
        <s v="William  Richmond"/>
        <s v="Lauren  Crane"/>
        <s v="Katie  Hicks"/>
        <s v="Regina  Hawkins"/>
        <s v="Rachel  Lopez"/>
        <s v="Scott  Jones"/>
        <s v="Gary  Jacobs"/>
        <s v="Janice  Gordon"/>
        <s v="Diana  French"/>
      </sharedItems>
    </cacheField>
    <cacheField name="Delivery_Status" numFmtId="0">
      <sharedItems/>
    </cacheField>
    <cacheField name="Order month" numFmtId="0">
      <sharedItems containsSemiMixedTypes="0" containsString="0" containsNumber="1" containsInteger="1" minValue="1" maxValue="12"/>
    </cacheField>
    <cacheField name="Column1" numFmtId="0">
      <sharedItems containsSemiMixedTypes="0" containsString="0" containsNumber="1" containsInteger="1" minValue="50" maxValue="50"/>
    </cacheField>
    <cacheField name="Months (Order_Date)" numFmtId="0" databaseField="0">
      <fieldGroup base="10">
        <rangePr groupBy="months" startDate="2023-02-09T00:00:00" endDate="2025-02-08T00:00:00"/>
        <groupItems count="14">
          <s v="&lt;09-02-2023"/>
          <s v="Jan"/>
          <s v="Feb"/>
          <s v="Mar"/>
          <s v="Apr"/>
          <s v="May"/>
          <s v="Jun"/>
          <s v="Jul"/>
          <s v="Aug"/>
          <s v="Sep"/>
          <s v="Oct"/>
          <s v="Nov"/>
          <s v="Dec"/>
          <s v="&gt;08-02-2025"/>
        </groupItems>
      </fieldGroup>
    </cacheField>
    <cacheField name="Quarters (Order_Date)" numFmtId="0" databaseField="0">
      <fieldGroup base="10">
        <rangePr groupBy="quarters" startDate="2023-02-09T00:00:00" endDate="2025-02-08T00:00:00"/>
        <groupItems count="6">
          <s v="&lt;09-02-2023"/>
          <s v="Qtr1"/>
          <s v="Qtr2"/>
          <s v="Qtr3"/>
          <s v="Qtr4"/>
          <s v="&gt;08-02-2025"/>
        </groupItems>
      </fieldGroup>
    </cacheField>
    <cacheField name="Years (Order_Date)" numFmtId="0" databaseField="0">
      <fieldGroup base="10">
        <rangePr groupBy="years" startDate="2023-02-09T00:00:00" endDate="2025-02-08T00:00:00"/>
        <groupItems count="5">
          <s v="&lt;09-02-2023"/>
          <s v="2023"/>
          <s v="2024"/>
          <s v="2025"/>
          <s v="&gt;08-02-2025"/>
        </groupItems>
      </fieldGroup>
    </cacheField>
  </cacheFields>
  <extLst>
    <ext xmlns:x14="http://schemas.microsoft.com/office/spreadsheetml/2009/9/main" uri="{725AE2AE-9491-48be-B2B4-4EB974FC3084}">
      <x14:pivotCacheDefinition pivotCacheId="6239494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s v="Anne"/>
    <s v="Oconnell"/>
    <x v="0"/>
    <n v="37"/>
    <x v="0"/>
    <x v="0"/>
    <s v="anne.oconnell@outlook.com"/>
    <s v="2850 Matthew Ford, North Yolandachester, FL 67488"/>
    <x v="0"/>
    <x v="0"/>
    <s v="18:16:33"/>
    <x v="0"/>
    <n v="308.88"/>
    <n v="5"/>
    <x v="0"/>
    <n v="4"/>
    <n v="60"/>
    <n v="45361"/>
    <s v="08:51:31"/>
    <n v="3"/>
    <n v="1544.4"/>
    <n v="0.08"/>
    <n v="1420.8480000000002"/>
    <n v="1480.8480000000002"/>
    <x v="0"/>
    <s v="BeforeTime"/>
    <n v="3"/>
    <n v="50"/>
  </r>
  <r>
    <x v="1"/>
    <s v="Anthony"/>
    <s v="Thomas"/>
    <x v="1"/>
    <n v="53"/>
    <x v="1"/>
    <x v="1"/>
    <s v="anthony.thomas@rediffmail.com"/>
    <s v="931 Christopher Ways Suite 833, North Michelle, IN 53484"/>
    <x v="1"/>
    <x v="1"/>
    <s v="01:46:33"/>
    <x v="1"/>
    <n v="166.28"/>
    <n v="4"/>
    <x v="0"/>
    <n v="7"/>
    <n v="66"/>
    <n v="45381"/>
    <s v="18:46:26"/>
    <n v="3"/>
    <n v="665.12"/>
    <n v="0.08"/>
    <n v="611.91039999999998"/>
    <n v="677.91039999999998"/>
    <x v="1"/>
    <s v="BeforeTime"/>
    <n v="3"/>
    <n v="50"/>
  </r>
  <r>
    <x v="2"/>
    <s v="Karl"/>
    <s v="Gallagher"/>
    <x v="2"/>
    <n v="60"/>
    <x v="2"/>
    <x v="0"/>
    <s v="karl.gallagher@rediffmail.com"/>
    <s v="5016 Snow Mountains Apt. 063, New Seanport, WY 41492"/>
    <x v="2"/>
    <x v="2"/>
    <s v="07:31:36"/>
    <x v="2"/>
    <n v="202.54"/>
    <n v="1"/>
    <x v="1"/>
    <n v="3"/>
    <n v="47"/>
    <n v="45344"/>
    <s v="14:29:50"/>
    <n v="2"/>
    <n v="202.54"/>
    <n v="0.15"/>
    <n v="172.15899999999999"/>
    <n v="219.15899999999999"/>
    <x v="2"/>
    <s v="BeforeTime"/>
    <n v="2"/>
    <n v="50"/>
  </r>
  <r>
    <x v="2"/>
    <s v="Karl"/>
    <s v="Gallagher"/>
    <x v="2"/>
    <n v="60"/>
    <x v="2"/>
    <x v="0"/>
    <s v="karl.gallagher@rediffmail.com"/>
    <s v="5016 Snow Mountains Apt. 063, New Seanport, WY 41492"/>
    <x v="3"/>
    <x v="3"/>
    <s v="18:29:21"/>
    <x v="3"/>
    <n v="405"/>
    <n v="5"/>
    <x v="2"/>
    <n v="6"/>
    <n v="47"/>
    <n v="45430"/>
    <s v="07:00:32"/>
    <n v="4"/>
    <n v="2025"/>
    <n v="0"/>
    <n v="2025"/>
    <n v="2025"/>
    <x v="2"/>
    <s v="BeforeTime"/>
    <n v="5"/>
    <n v="50"/>
  </r>
  <r>
    <x v="3"/>
    <s v="Angela"/>
    <s v="Horne"/>
    <x v="3"/>
    <n v="49"/>
    <x v="2"/>
    <x v="0"/>
    <s v="angela.horne@outlook.com"/>
    <s v="USNV Mueller, FPO AP 54648"/>
    <x v="4"/>
    <x v="4"/>
    <s v="03:23:21"/>
    <x v="1"/>
    <n v="166.28"/>
    <n v="1"/>
    <x v="0"/>
    <n v="2"/>
    <n v="54"/>
    <n v="45395"/>
    <s v="22:10:58"/>
    <n v="4"/>
    <n v="166.28"/>
    <n v="0.08"/>
    <n v="152.9776"/>
    <n v="206.9776"/>
    <x v="3"/>
    <s v="Late"/>
    <n v="4"/>
    <n v="50"/>
  </r>
  <r>
    <x v="4"/>
    <s v="Christine"/>
    <s v="West"/>
    <x v="4"/>
    <n v="53"/>
    <x v="2"/>
    <x v="2"/>
    <s v="christine.west@gmail.com"/>
    <s v="Unit 1433 Box 0246, DPO AP 94952"/>
    <x v="5"/>
    <x v="5"/>
    <s v="16:55:06"/>
    <x v="4"/>
    <n v="330.11"/>
    <n v="4"/>
    <x v="1"/>
    <n v="6"/>
    <n v="39"/>
    <n v="45547"/>
    <s v="11:25:50"/>
    <n v="4"/>
    <n v="1320.44"/>
    <n v="0.15"/>
    <n v="1122.374"/>
    <n v="1161.374"/>
    <x v="4"/>
    <s v="BeforeTime"/>
    <n v="9"/>
    <n v="50"/>
  </r>
  <r>
    <x v="2"/>
    <s v="Karl"/>
    <s v="Gallagher"/>
    <x v="2"/>
    <n v="60"/>
    <x v="2"/>
    <x v="0"/>
    <s v="karl.gallagher@rediffmail.com"/>
    <s v="5016 Snow Mountains Apt. 063, New Seanport, WY 41492"/>
    <x v="6"/>
    <x v="6"/>
    <s v="09:47:21"/>
    <x v="0"/>
    <n v="308.88"/>
    <n v="5"/>
    <x v="3"/>
    <n v="5"/>
    <n v="47"/>
    <n v="45665"/>
    <s v="20:10:50"/>
    <n v="3"/>
    <n v="1544.4"/>
    <n v="0.2"/>
    <n v="1235.52"/>
    <n v="1282.52"/>
    <x v="2"/>
    <s v="BeforeTime"/>
    <n v="1"/>
    <n v="50"/>
  </r>
  <r>
    <x v="5"/>
    <s v="David"/>
    <s v="Delacruz"/>
    <x v="5"/>
    <n v="26"/>
    <x v="1"/>
    <x v="3"/>
    <s v="david.delacruz@rediffmail.com"/>
    <s v="USNS Ray, FPO AE 20238"/>
    <x v="7"/>
    <x v="7"/>
    <s v="19:27:45"/>
    <x v="5"/>
    <n v="363.64"/>
    <n v="3"/>
    <x v="4"/>
    <n v="2"/>
    <n v="70"/>
    <n v="45464"/>
    <s v="12:36:32"/>
    <n v="5"/>
    <n v="1090.92"/>
    <n v="0.1"/>
    <n v="981.82800000000009"/>
    <n v="1051.828"/>
    <x v="5"/>
    <s v="Late"/>
    <n v="6"/>
    <n v="50"/>
  </r>
  <r>
    <x v="6"/>
    <s v="Marcus"/>
    <s v="Valenzuela"/>
    <x v="6"/>
    <n v="39"/>
    <x v="0"/>
    <x v="0"/>
    <s v="marcus.valenzuela@yahoo.com"/>
    <s v="694 Graham Prairie Apt. 887, Jimenezfurt, MI 33044"/>
    <x v="8"/>
    <x v="8"/>
    <s v="12:07:00"/>
    <x v="6"/>
    <n v="275.44"/>
    <n v="1"/>
    <x v="0"/>
    <n v="7"/>
    <n v="63"/>
    <n v="45042"/>
    <s v="23:05:41"/>
    <n v="2"/>
    <n v="275.44"/>
    <n v="0.08"/>
    <n v="253.40479999999999"/>
    <n v="316.40480000000002"/>
    <x v="6"/>
    <s v="BeforeTime"/>
    <n v="4"/>
    <n v="50"/>
  </r>
  <r>
    <x v="7"/>
    <s v="Debra"/>
    <s v="Rodriguez"/>
    <x v="7"/>
    <n v="48"/>
    <x v="2"/>
    <x v="1"/>
    <s v="debra.rodriguez@rediffmail.com"/>
    <s v="Unit 5964 Box 0721, DPO AP 01840"/>
    <x v="9"/>
    <x v="9"/>
    <s v="13:46:47"/>
    <x v="7"/>
    <n v="48.45"/>
    <n v="1"/>
    <x v="1"/>
    <n v="7"/>
    <n v="59"/>
    <n v="45287"/>
    <s v="19:57:06"/>
    <n v="5"/>
    <n v="48.45"/>
    <n v="0.15"/>
    <n v="41.182500000000005"/>
    <n v="100.1825"/>
    <x v="7"/>
    <s v="BeforeTime"/>
    <n v="12"/>
    <n v="50"/>
  </r>
  <r>
    <x v="2"/>
    <s v="Karl"/>
    <s v="Gallagher"/>
    <x v="2"/>
    <n v="60"/>
    <x v="2"/>
    <x v="0"/>
    <s v="karl.gallagher@rediffmail.com"/>
    <s v="5016 Snow Mountains Apt. 063, New Seanport, WY 41492"/>
    <x v="10"/>
    <x v="10"/>
    <s v="17:21:43"/>
    <x v="5"/>
    <n v="363.64"/>
    <n v="4"/>
    <x v="2"/>
    <n v="2"/>
    <n v="35"/>
    <n v="45590"/>
    <s v="08:00:35"/>
    <n v="2"/>
    <n v="1454.56"/>
    <n v="0"/>
    <n v="1454.56"/>
    <n v="1454.56"/>
    <x v="2"/>
    <s v="InTime"/>
    <n v="10"/>
    <n v="50"/>
  </r>
  <r>
    <x v="8"/>
    <s v="Bobby"/>
    <s v="Forbes"/>
    <x v="8"/>
    <n v="20"/>
    <x v="0"/>
    <x v="3"/>
    <s v="bobby.forbes@gmail.com"/>
    <s v="3079 John Parkway Suite 961, Port Kristaview, MT 91019"/>
    <x v="11"/>
    <x v="11"/>
    <s v="15:09:49"/>
    <x v="8"/>
    <n v="257.06"/>
    <n v="3"/>
    <x v="2"/>
    <n v="7"/>
    <n v="62"/>
    <n v="45499"/>
    <s v="22:54:40"/>
    <n v="1"/>
    <n v="771.18000000000006"/>
    <n v="0"/>
    <n v="771.18000000000006"/>
    <n v="771.18000000000006"/>
    <x v="8"/>
    <s v="BeforeTime"/>
    <n v="7"/>
    <n v="50"/>
  </r>
  <r>
    <x v="9"/>
    <s v="Joseph"/>
    <s v="Stewart"/>
    <x v="9"/>
    <n v="30"/>
    <x v="1"/>
    <x v="1"/>
    <s v="joseph.stewart@yahoo.com"/>
    <s v="4082 Wang Terrace Suite 040, Victorialand, ME 41532"/>
    <x v="12"/>
    <x v="12"/>
    <s v="22:42:51"/>
    <x v="9"/>
    <n v="175.93"/>
    <n v="4"/>
    <x v="0"/>
    <n v="3"/>
    <n v="65"/>
    <n v="44999"/>
    <s v="13:19:45"/>
    <n v="2"/>
    <n v="703.72"/>
    <n v="0.08"/>
    <n v="647.42240000000004"/>
    <n v="712.42240000000004"/>
    <x v="9"/>
    <s v="BeforeTime"/>
    <n v="3"/>
    <n v="50"/>
  </r>
  <r>
    <x v="10"/>
    <s v="Kara"/>
    <s v="Brennan"/>
    <x v="10"/>
    <n v="25"/>
    <x v="2"/>
    <x v="4"/>
    <s v="kara.brennan@outlook.com"/>
    <s v="2174 Thomas Avenue, Maciasborough, NJ 41465"/>
    <x v="13"/>
    <x v="13"/>
    <s v="14:52:54"/>
    <x v="10"/>
    <n v="190.1"/>
    <n v="1"/>
    <x v="2"/>
    <n v="1"/>
    <n v="70"/>
    <n v="45270"/>
    <s v="15:16:54"/>
    <n v="3"/>
    <n v="190.1"/>
    <n v="0"/>
    <n v="190.1"/>
    <n v="190.1"/>
    <x v="10"/>
    <s v="Late"/>
    <n v="12"/>
    <n v="50"/>
  </r>
  <r>
    <x v="11"/>
    <s v="Amy"/>
    <s v="Reid"/>
    <x v="11"/>
    <n v="44"/>
    <x v="1"/>
    <x v="3"/>
    <s v="amy.reid@rediffmail.com"/>
    <s v="6262 Simpson Village, North Danielle, RI 76074"/>
    <x v="14"/>
    <x v="14"/>
    <s v="01:19:56"/>
    <x v="11"/>
    <n v="220.27"/>
    <n v="2"/>
    <x v="2"/>
    <n v="3"/>
    <n v="39"/>
    <n v="45382"/>
    <s v="21:47:03"/>
    <n v="5"/>
    <n v="440.54"/>
    <n v="0"/>
    <n v="440.54"/>
    <n v="440.54"/>
    <x v="11"/>
    <s v="Late"/>
    <n v="3"/>
    <n v="50"/>
  </r>
  <r>
    <x v="12"/>
    <s v="Joshua"/>
    <s v="Campbell"/>
    <x v="12"/>
    <n v="24"/>
    <x v="0"/>
    <x v="5"/>
    <s v="joshua.campbell@gmail.com"/>
    <s v="70426 Lindsey Overpass Apt. 030, Jessicafurt, AR 46269"/>
    <x v="15"/>
    <x v="15"/>
    <s v="04:13:27"/>
    <x v="4"/>
    <n v="330.11"/>
    <n v="4"/>
    <x v="2"/>
    <n v="1"/>
    <n v="58"/>
    <n v="45080"/>
    <s v="11:25:46"/>
    <n v="1"/>
    <n v="1320.44"/>
    <n v="0"/>
    <n v="1320.44"/>
    <n v="1320.44"/>
    <x v="12"/>
    <s v="InTime"/>
    <n v="6"/>
    <n v="50"/>
  </r>
  <r>
    <x v="13"/>
    <s v="Erin"/>
    <s v="Miller"/>
    <x v="13"/>
    <n v="46"/>
    <x v="0"/>
    <x v="6"/>
    <s v="erin.miller@gmail.com"/>
    <s v="65972 Peterson Route, Port Andrewfurt, SD 32892"/>
    <x v="16"/>
    <x v="16"/>
    <s v="23:53:21"/>
    <x v="12"/>
    <n v="272.51"/>
    <n v="4"/>
    <x v="4"/>
    <n v="5"/>
    <n v="40"/>
    <n v="44970"/>
    <s v="12:55:59"/>
    <n v="4"/>
    <n v="1090.04"/>
    <n v="0.1"/>
    <n v="981.03599999999994"/>
    <n v="1021.0359999999999"/>
    <x v="13"/>
    <s v="BeforeTime"/>
    <n v="2"/>
    <n v="50"/>
  </r>
  <r>
    <x v="14"/>
    <s v="Gina"/>
    <s v="Moreno"/>
    <x v="14"/>
    <n v="36"/>
    <x v="2"/>
    <x v="4"/>
    <s v="gina.moreno@rediffmail.com"/>
    <s v="USS Murray, FPO AP 66559"/>
    <x v="17"/>
    <x v="17"/>
    <s v="19:16:28"/>
    <x v="13"/>
    <n v="104.18"/>
    <n v="2"/>
    <x v="2"/>
    <n v="4"/>
    <n v="44"/>
    <n v="45545"/>
    <s v="03:46:23"/>
    <n v="3"/>
    <n v="208.36"/>
    <n v="0"/>
    <n v="208.36"/>
    <n v="208.36"/>
    <x v="14"/>
    <s v="BeforeTime"/>
    <n v="9"/>
    <n v="50"/>
  </r>
  <r>
    <x v="15"/>
    <s v="Mallory"/>
    <s v="Mitchell"/>
    <x v="15"/>
    <n v="42"/>
    <x v="1"/>
    <x v="6"/>
    <s v="mallory.mitchell@yahoo.com"/>
    <s v="710 Anthony Wall Suite 137, East Davidstad, NV 61494"/>
    <x v="18"/>
    <x v="18"/>
    <s v="11:48:17"/>
    <x v="7"/>
    <n v="48.45"/>
    <n v="4"/>
    <x v="4"/>
    <n v="1"/>
    <n v="70"/>
    <n v="45670"/>
    <s v="10:08:54"/>
    <n v="5"/>
    <n v="193.8"/>
    <n v="0.1"/>
    <n v="174.42000000000002"/>
    <n v="244.42000000000002"/>
    <x v="15"/>
    <s v="Late"/>
    <n v="1"/>
    <n v="50"/>
  </r>
  <r>
    <x v="16"/>
    <s v="Traci"/>
    <s v="Jones"/>
    <x v="16"/>
    <n v="34"/>
    <x v="0"/>
    <x v="3"/>
    <s v="traci.jones@yahoo.com"/>
    <s v="4016 Ryan Passage, Collinsside, PA 88777"/>
    <x v="19"/>
    <x v="19"/>
    <s v="06:34:00"/>
    <x v="14"/>
    <n v="20.7"/>
    <n v="5"/>
    <x v="2"/>
    <n v="7"/>
    <n v="38"/>
    <n v="45561"/>
    <s v="14:05:20"/>
    <n v="5"/>
    <n v="103.5"/>
    <n v="0"/>
    <n v="103.5"/>
    <n v="103.5"/>
    <x v="16"/>
    <s v="BeforeTime"/>
    <n v="9"/>
    <n v="50"/>
  </r>
  <r>
    <x v="17"/>
    <s v="Deborah"/>
    <s v="Bates"/>
    <x v="17"/>
    <n v="23"/>
    <x v="0"/>
    <x v="3"/>
    <s v="deborah.bates@yahoo.com"/>
    <s v="278 Kathy Estate, Saraville, OH 77292"/>
    <x v="20"/>
    <x v="20"/>
    <s v="04:06:55"/>
    <x v="0"/>
    <n v="308.88"/>
    <n v="3"/>
    <x v="4"/>
    <n v="7"/>
    <n v="43"/>
    <n v="45521"/>
    <s v="13:39:21"/>
    <n v="1"/>
    <n v="926.64"/>
    <n v="0.1"/>
    <n v="833.976"/>
    <n v="876.976"/>
    <x v="17"/>
    <s v="BeforeTime"/>
    <n v="8"/>
    <n v="50"/>
  </r>
  <r>
    <x v="18"/>
    <s v="Christian"/>
    <s v="Clayton"/>
    <x v="18"/>
    <n v="39"/>
    <x v="1"/>
    <x v="5"/>
    <s v="christian.clayton@yahoo.com"/>
    <s v="065 Madison Way, Smithstad, CT 68011"/>
    <x v="21"/>
    <x v="21"/>
    <s v="10:38:12"/>
    <x v="13"/>
    <n v="104.18"/>
    <n v="5"/>
    <x v="0"/>
    <n v="5"/>
    <n v="58"/>
    <n v="45356"/>
    <s v="13:23:35"/>
    <n v="4"/>
    <n v="520.90000000000009"/>
    <n v="0.08"/>
    <n v="479.22800000000007"/>
    <n v="537.22800000000007"/>
    <x v="18"/>
    <s v="BeforeTime"/>
    <n v="3"/>
    <n v="50"/>
  </r>
  <r>
    <x v="19"/>
    <s v="Mark"/>
    <s v="Henderson"/>
    <x v="19"/>
    <n v="33"/>
    <x v="2"/>
    <x v="7"/>
    <s v="mark.henderson@yahoo.com"/>
    <s v="90155 Hines Spring, North Theresafurt, ME 31920"/>
    <x v="22"/>
    <x v="22"/>
    <s v="20:47:13"/>
    <x v="15"/>
    <n v="461.07"/>
    <n v="1"/>
    <x v="0"/>
    <n v="1"/>
    <n v="56"/>
    <n v="45126"/>
    <s v="16:23:04"/>
    <n v="1"/>
    <n v="461.07"/>
    <n v="0.08"/>
    <n v="424.18439999999998"/>
    <n v="480.18439999999998"/>
    <x v="19"/>
    <s v="InTime"/>
    <n v="7"/>
    <n v="50"/>
  </r>
  <r>
    <x v="20"/>
    <s v="John"/>
    <s v="Herrera"/>
    <x v="20"/>
    <n v="64"/>
    <x v="1"/>
    <x v="1"/>
    <s v="john.herrera@outlook.com"/>
    <s v="61263 Jacob Isle, Amandatown, TN 34321"/>
    <x v="23"/>
    <x v="23"/>
    <s v="08:09:52"/>
    <x v="16"/>
    <n v="132.97"/>
    <n v="1"/>
    <x v="1"/>
    <n v="4"/>
    <n v="55"/>
    <n v="45198"/>
    <s v="00:57:21"/>
    <n v="4"/>
    <n v="132.97"/>
    <n v="0.15"/>
    <n v="113.0245"/>
    <n v="168.02449999999999"/>
    <x v="20"/>
    <s v="InTime"/>
    <n v="9"/>
    <n v="50"/>
  </r>
  <r>
    <x v="21"/>
    <s v="Angela"/>
    <s v="Evans"/>
    <x v="21"/>
    <n v="52"/>
    <x v="2"/>
    <x v="1"/>
    <s v="angela.evans@outlook.com"/>
    <s v="16031 David Mountain Suite 431, Susanborough, PA 01910"/>
    <x v="24"/>
    <x v="24"/>
    <s v="19:13:06"/>
    <x v="17"/>
    <n v="126.19"/>
    <n v="2"/>
    <x v="2"/>
    <n v="3"/>
    <n v="63"/>
    <n v="45150"/>
    <s v="04:38:19"/>
    <n v="4"/>
    <n v="252.38"/>
    <n v="0"/>
    <n v="252.38"/>
    <n v="252.38"/>
    <x v="21"/>
    <s v="Late"/>
    <n v="8"/>
    <n v="50"/>
  </r>
  <r>
    <x v="21"/>
    <s v="Angela"/>
    <s v="Evans"/>
    <x v="21"/>
    <n v="52"/>
    <x v="2"/>
    <x v="1"/>
    <s v="angela.evans@outlook.com"/>
    <s v="16031 David Mountain Suite 431, Susanborough, PA 01910"/>
    <x v="25"/>
    <x v="25"/>
    <s v="06:04:50"/>
    <x v="18"/>
    <n v="282.63"/>
    <n v="3"/>
    <x v="2"/>
    <n v="2"/>
    <n v="40"/>
    <n v="45142"/>
    <s v="20:36:00"/>
    <n v="4"/>
    <n v="847.89"/>
    <n v="0"/>
    <n v="847.89"/>
    <n v="847.89"/>
    <x v="21"/>
    <s v="Late"/>
    <n v="7"/>
    <n v="50"/>
  </r>
  <r>
    <x v="8"/>
    <s v="Bobby"/>
    <s v="Forbes"/>
    <x v="8"/>
    <n v="20"/>
    <x v="0"/>
    <x v="3"/>
    <s v="bobby.forbes@gmail.com"/>
    <s v="3079 John Parkway Suite 961, Port Kristaview, MT 91019"/>
    <x v="26"/>
    <x v="26"/>
    <s v="17:44:17"/>
    <x v="19"/>
    <n v="128.13999999999999"/>
    <n v="3"/>
    <x v="0"/>
    <n v="4"/>
    <n v="70"/>
    <n v="45069"/>
    <s v="09:53:18"/>
    <n v="3"/>
    <n v="384.41999999999996"/>
    <n v="0.08"/>
    <n v="353.66639999999995"/>
    <n v="423.66639999999995"/>
    <x v="8"/>
    <s v="BeforeTime"/>
    <n v="5"/>
    <n v="50"/>
  </r>
  <r>
    <x v="8"/>
    <s v="Bobby"/>
    <s v="Forbes"/>
    <x v="8"/>
    <n v="20"/>
    <x v="0"/>
    <x v="3"/>
    <s v="bobby.forbes@gmail.com"/>
    <s v="3079 John Parkway Suite 961, Port Kristaview, MT 91019"/>
    <x v="27"/>
    <x v="27"/>
    <s v="18:58:15"/>
    <x v="5"/>
    <n v="363.64"/>
    <n v="3"/>
    <x v="3"/>
    <n v="5"/>
    <n v="39"/>
    <n v="45189"/>
    <s v="02:21:23"/>
    <n v="4"/>
    <n v="1090.92"/>
    <n v="0.2"/>
    <n v="872.7360000000001"/>
    <n v="911.7360000000001"/>
    <x v="8"/>
    <s v="BeforeTime"/>
    <n v="9"/>
    <n v="50"/>
  </r>
  <r>
    <x v="22"/>
    <s v="Ashley"/>
    <s v="Rose"/>
    <x v="22"/>
    <n v="60"/>
    <x v="2"/>
    <x v="0"/>
    <s v="ashley.rose@gmail.com"/>
    <s v="424 Nichols Curve Suite 177, Lake Brianview, TX 17289"/>
    <x v="28"/>
    <x v="28"/>
    <s v="12:22:52"/>
    <x v="5"/>
    <n v="363.64"/>
    <n v="2"/>
    <x v="1"/>
    <n v="1"/>
    <n v="43"/>
    <n v="44988"/>
    <s v="08:01:21"/>
    <n v="1"/>
    <n v="727.28"/>
    <n v="0.15"/>
    <n v="618.18799999999999"/>
    <n v="661.18799999999999"/>
    <x v="22"/>
    <s v="InTime"/>
    <n v="3"/>
    <n v="50"/>
  </r>
  <r>
    <x v="23"/>
    <s v="Taylor"/>
    <s v="Davis"/>
    <x v="23"/>
    <n v="54"/>
    <x v="1"/>
    <x v="0"/>
    <s v="taylor.davis@yahoo.com"/>
    <s v="USCGC Simmons, FPO AA 60167"/>
    <x v="29"/>
    <x v="29"/>
    <s v="00:40:20"/>
    <x v="20"/>
    <n v="62.42"/>
    <n v="1"/>
    <x v="2"/>
    <n v="3"/>
    <n v="58"/>
    <n v="45229"/>
    <s v="20:26:25"/>
    <n v="5"/>
    <n v="62.42"/>
    <n v="0"/>
    <n v="62.42"/>
    <n v="62.42"/>
    <x v="23"/>
    <s v="Late"/>
    <n v="10"/>
    <n v="50"/>
  </r>
  <r>
    <x v="24"/>
    <s v="Lauren"/>
    <s v="Long"/>
    <x v="24"/>
    <n v="44"/>
    <x v="0"/>
    <x v="7"/>
    <s v="lauren.long@gmail.com"/>
    <s v="258 Michael Brooks Suite 363, Arnoldview, PA 49438"/>
    <x v="30"/>
    <x v="30"/>
    <s v="21:19:14"/>
    <x v="16"/>
    <n v="132.97"/>
    <n v="1"/>
    <x v="2"/>
    <n v="6"/>
    <n v="57"/>
    <n v="45396"/>
    <s v="17:27:57"/>
    <n v="7"/>
    <n v="132.97"/>
    <n v="0"/>
    <n v="132.97"/>
    <n v="132.97"/>
    <x v="24"/>
    <s v="Late"/>
    <n v="4"/>
    <n v="50"/>
  </r>
  <r>
    <x v="25"/>
    <s v="Teresa"/>
    <s v="Harvey"/>
    <x v="25"/>
    <n v="64"/>
    <x v="2"/>
    <x v="0"/>
    <s v="teresa.harvey@gmail.com"/>
    <s v="02669 Kirk Squares, Davisville, VA 51272"/>
    <x v="31"/>
    <x v="31"/>
    <s v="10:35:41"/>
    <x v="21"/>
    <n v="157.63999999999999"/>
    <n v="4"/>
    <x v="3"/>
    <n v="7"/>
    <n v="59"/>
    <n v="45046"/>
    <s v="09:28:47"/>
    <n v="7"/>
    <n v="630.55999999999995"/>
    <n v="0.2"/>
    <n v="504.44799999999998"/>
    <n v="563.44799999999998"/>
    <x v="25"/>
    <s v="InTime"/>
    <n v="4"/>
    <n v="50"/>
  </r>
  <r>
    <x v="24"/>
    <s v="Lauren"/>
    <s v="Long"/>
    <x v="24"/>
    <n v="44"/>
    <x v="0"/>
    <x v="7"/>
    <s v="lauren.long@gmail.com"/>
    <s v="258 Michael Brooks Suite 363, Arnoldview, PA 49438"/>
    <x v="32"/>
    <x v="32"/>
    <s v="13:50:14"/>
    <x v="22"/>
    <n v="158.53"/>
    <n v="5"/>
    <x v="3"/>
    <n v="3"/>
    <n v="42"/>
    <n v="45553"/>
    <s v="08:49:03"/>
    <n v="5"/>
    <n v="792.65"/>
    <n v="0.2"/>
    <n v="634.12"/>
    <n v="676.12"/>
    <x v="24"/>
    <s v="Late"/>
    <n v="9"/>
    <n v="50"/>
  </r>
  <r>
    <x v="26"/>
    <s v="Heather"/>
    <s v="Schneider"/>
    <x v="26"/>
    <n v="48"/>
    <x v="1"/>
    <x v="3"/>
    <s v="heather.schneider@outlook.com"/>
    <s v="57940 Susan Creek Apt. 541, Port Aliciamouth, OR 90221"/>
    <x v="33"/>
    <x v="33"/>
    <s v="01:48:02"/>
    <x v="20"/>
    <n v="62.42"/>
    <n v="3"/>
    <x v="0"/>
    <n v="4"/>
    <n v="36"/>
    <n v="45414"/>
    <s v="09:55:32"/>
    <n v="7"/>
    <n v="187.26"/>
    <n v="0.08"/>
    <n v="172.2792"/>
    <n v="208.2792"/>
    <x v="26"/>
    <s v="Late"/>
    <n v="4"/>
    <n v="50"/>
  </r>
  <r>
    <x v="27"/>
    <s v="Valerie"/>
    <s v="Carr"/>
    <x v="27"/>
    <n v="26"/>
    <x v="2"/>
    <x v="6"/>
    <s v="valerie.carr@rediffmail.com"/>
    <s v="981 Emily Stream, South Brianna, CO 98063"/>
    <x v="34"/>
    <x v="34"/>
    <s v="14:37:48"/>
    <x v="23"/>
    <n v="129.75"/>
    <n v="1"/>
    <x v="4"/>
    <n v="5"/>
    <n v="70"/>
    <n v="45172"/>
    <s v="09:09:46"/>
    <n v="4"/>
    <n v="129.75"/>
    <n v="0.1"/>
    <n v="116.77500000000001"/>
    <n v="186.77500000000001"/>
    <x v="27"/>
    <s v="BeforeTime"/>
    <n v="8"/>
    <n v="50"/>
  </r>
  <r>
    <x v="21"/>
    <s v="Angela"/>
    <s v="Evans"/>
    <x v="21"/>
    <n v="52"/>
    <x v="2"/>
    <x v="1"/>
    <s v="angela.evans@outlook.com"/>
    <s v="16031 David Mountain Suite 431, Susanborough, PA 01910"/>
    <x v="35"/>
    <x v="35"/>
    <s v="05:01:37"/>
    <x v="21"/>
    <n v="157.63999999999999"/>
    <n v="5"/>
    <x v="0"/>
    <n v="4"/>
    <n v="53"/>
    <n v="45246"/>
    <s v="14:14:46"/>
    <n v="2"/>
    <n v="788.19999999999993"/>
    <n v="0.08"/>
    <n v="725.14399999999989"/>
    <n v="778.14399999999989"/>
    <x v="21"/>
    <s v="BeforeTime"/>
    <n v="11"/>
    <n v="50"/>
  </r>
  <r>
    <x v="3"/>
    <s v="Angela"/>
    <s v="Horne"/>
    <x v="3"/>
    <n v="49"/>
    <x v="2"/>
    <x v="0"/>
    <s v="angela.horne@outlook.com"/>
    <s v="USNV Mueller, FPO AP 54648"/>
    <x v="36"/>
    <x v="36"/>
    <s v="12:35:46"/>
    <x v="14"/>
    <n v="20.7"/>
    <n v="5"/>
    <x v="2"/>
    <n v="2"/>
    <n v="64"/>
    <n v="45248"/>
    <s v="00:00:51"/>
    <n v="6"/>
    <n v="103.5"/>
    <n v="0"/>
    <n v="103.5"/>
    <n v="103.5"/>
    <x v="3"/>
    <s v="Late"/>
    <n v="11"/>
    <n v="50"/>
  </r>
  <r>
    <x v="28"/>
    <s v="Jenny"/>
    <s v="Estrada"/>
    <x v="28"/>
    <n v="45"/>
    <x v="0"/>
    <x v="1"/>
    <s v="jenny.estrada@yahoo.com"/>
    <s v="792 Carlos Islands, West David, CT 16522"/>
    <x v="37"/>
    <x v="37"/>
    <s v="23:34:14"/>
    <x v="24"/>
    <n v="481.48"/>
    <n v="2"/>
    <x v="1"/>
    <n v="3"/>
    <n v="50"/>
    <n v="45196"/>
    <s v="16:46:20"/>
    <n v="3"/>
    <n v="962.96"/>
    <n v="0.15"/>
    <n v="818.51600000000008"/>
    <n v="868.51600000000008"/>
    <x v="28"/>
    <s v="InTime"/>
    <n v="9"/>
    <n v="50"/>
  </r>
  <r>
    <x v="29"/>
    <s v="Courtney"/>
    <s v="Parker"/>
    <x v="29"/>
    <n v="29"/>
    <x v="2"/>
    <x v="3"/>
    <s v="courtney.parker@yahoo.com"/>
    <s v="087 Jacqueline Rue Apt. 694, East Tasha, SC 04859"/>
    <x v="38"/>
    <x v="38"/>
    <s v="04:09:40"/>
    <x v="3"/>
    <n v="405"/>
    <n v="1"/>
    <x v="2"/>
    <n v="7"/>
    <n v="36"/>
    <n v="45661"/>
    <s v="01:56:00"/>
    <n v="5"/>
    <n v="405"/>
    <n v="0"/>
    <n v="405"/>
    <n v="405"/>
    <x v="29"/>
    <s v="BeforeTime"/>
    <n v="12"/>
    <n v="50"/>
  </r>
  <r>
    <x v="30"/>
    <s v="Julie"/>
    <s v="Meyer"/>
    <x v="30"/>
    <n v="23"/>
    <x v="0"/>
    <x v="0"/>
    <s v="julie.meyer@yahoo.com"/>
    <s v="17381 Smith Ramp Suite 398, Courtneyville, AL 17756"/>
    <x v="39"/>
    <x v="39"/>
    <s v="04:03:43"/>
    <x v="25"/>
    <n v="77.84"/>
    <n v="5"/>
    <x v="2"/>
    <n v="4"/>
    <n v="47"/>
    <n v="45575"/>
    <s v="18:12:43"/>
    <n v="1"/>
    <n v="389.20000000000005"/>
    <n v="0"/>
    <n v="389.20000000000005"/>
    <n v="389.20000000000005"/>
    <x v="30"/>
    <s v="BeforeTime"/>
    <n v="10"/>
    <n v="50"/>
  </r>
  <r>
    <x v="3"/>
    <s v="Angela"/>
    <s v="Horne"/>
    <x v="3"/>
    <n v="49"/>
    <x v="2"/>
    <x v="0"/>
    <s v="angela.horne@outlook.com"/>
    <s v="USNV Mueller, FPO AP 54648"/>
    <x v="40"/>
    <x v="40"/>
    <s v="00:47:19"/>
    <x v="26"/>
    <n v="372.62"/>
    <n v="3"/>
    <x v="0"/>
    <n v="3"/>
    <n v="59"/>
    <n v="45564"/>
    <s v="11:25:58"/>
    <n v="7"/>
    <n v="1117.8600000000001"/>
    <n v="0.08"/>
    <n v="1028.4312000000002"/>
    <n v="1087.4312000000002"/>
    <x v="3"/>
    <s v="Late"/>
    <n v="9"/>
    <n v="50"/>
  </r>
  <r>
    <x v="11"/>
    <s v="Amy"/>
    <s v="Reid"/>
    <x v="11"/>
    <n v="44"/>
    <x v="1"/>
    <x v="3"/>
    <s v="amy.reid@rediffmail.com"/>
    <s v="6262 Simpson Village, North Danielle, RI 76074"/>
    <x v="41"/>
    <x v="41"/>
    <s v="12:37:23"/>
    <x v="26"/>
    <n v="372.62"/>
    <n v="3"/>
    <x v="0"/>
    <n v="1"/>
    <n v="52"/>
    <n v="45575"/>
    <s v="09:02:09"/>
    <n v="7"/>
    <n v="1117.8600000000001"/>
    <n v="0.08"/>
    <n v="1028.4312000000002"/>
    <n v="1080.4312000000002"/>
    <x v="11"/>
    <s v="Late"/>
    <n v="10"/>
    <n v="50"/>
  </r>
  <r>
    <x v="31"/>
    <s v="Donna"/>
    <s v="Oneill"/>
    <x v="31"/>
    <n v="70"/>
    <x v="0"/>
    <x v="6"/>
    <s v="donna.oneill@yahoo.com"/>
    <s v="464 Carolyn Crest Suite 738, Lake Isaiah, CA 66153"/>
    <x v="42"/>
    <x v="42"/>
    <s v="17:27:33"/>
    <x v="27"/>
    <n v="496.59"/>
    <n v="3"/>
    <x v="1"/>
    <n v="4"/>
    <n v="49"/>
    <n v="45152"/>
    <s v="15:28:39"/>
    <n v="1"/>
    <n v="1489.77"/>
    <n v="0.15"/>
    <n v="1266.3045"/>
    <n v="1315.3045"/>
    <x v="31"/>
    <s v="BeforeTime"/>
    <n v="8"/>
    <n v="50"/>
  </r>
  <r>
    <x v="32"/>
    <s v="Robert"/>
    <s v="Castillo"/>
    <x v="32"/>
    <n v="32"/>
    <x v="1"/>
    <x v="6"/>
    <s v="robert.castillo@gmail.com"/>
    <s v="7143 Brandon Skyway Suite 899, Tylerton, IA 21756"/>
    <x v="43"/>
    <x v="43"/>
    <s v="01:59:03"/>
    <x v="23"/>
    <n v="129.75"/>
    <n v="1"/>
    <x v="4"/>
    <n v="6"/>
    <n v="43"/>
    <n v="45026"/>
    <s v="12:37:05"/>
    <n v="6"/>
    <n v="129.75"/>
    <n v="0.1"/>
    <n v="116.77500000000001"/>
    <n v="159.77500000000001"/>
    <x v="32"/>
    <s v="InTime"/>
    <n v="4"/>
    <n v="50"/>
  </r>
  <r>
    <x v="33"/>
    <s v="Timothy"/>
    <s v="Hicks"/>
    <x v="33"/>
    <n v="31"/>
    <x v="2"/>
    <x v="4"/>
    <s v="timothy.hicks@gmail.com"/>
    <s v="140 Tracy Fields, Lake Cynthiaton, TX 57190"/>
    <x v="44"/>
    <x v="44"/>
    <s v="21:46:52"/>
    <x v="10"/>
    <n v="190.1"/>
    <n v="5"/>
    <x v="0"/>
    <n v="5"/>
    <n v="35"/>
    <n v="45341"/>
    <s v="16:09:29"/>
    <n v="5"/>
    <n v="950.5"/>
    <n v="0.08"/>
    <n v="874.46"/>
    <n v="909.46"/>
    <x v="33"/>
    <s v="InTime"/>
    <n v="2"/>
    <n v="50"/>
  </r>
  <r>
    <x v="34"/>
    <s v="Thomas"/>
    <s v="Andersen"/>
    <x v="34"/>
    <n v="50"/>
    <x v="2"/>
    <x v="4"/>
    <s v="thomas.andersen@yahoo.com"/>
    <s v="480 Summers Lock Suite 819, Sarahborough, IA 59863"/>
    <x v="45"/>
    <x v="28"/>
    <s v="18:49:59"/>
    <x v="10"/>
    <n v="190.1"/>
    <n v="1"/>
    <x v="3"/>
    <n v="4"/>
    <n v="63"/>
    <n v="44992"/>
    <s v="00:31:21"/>
    <n v="5"/>
    <n v="190.1"/>
    <n v="0.2"/>
    <n v="152.07999999999998"/>
    <n v="215.07999999999998"/>
    <x v="34"/>
    <s v="Late"/>
    <n v="3"/>
    <n v="50"/>
  </r>
  <r>
    <x v="27"/>
    <s v="Valerie"/>
    <s v="Carr"/>
    <x v="27"/>
    <n v="26"/>
    <x v="2"/>
    <x v="6"/>
    <s v="valerie.carr@rediffmail.com"/>
    <s v="981 Emily Stream, South Brianna, CO 98063"/>
    <x v="46"/>
    <x v="45"/>
    <s v="22:08:17"/>
    <x v="28"/>
    <n v="431.44"/>
    <n v="5"/>
    <x v="0"/>
    <n v="2"/>
    <n v="57"/>
    <n v="45318"/>
    <s v="06:23:07"/>
    <n v="5"/>
    <n v="2157.1999999999998"/>
    <n v="0.08"/>
    <n v="1984.6239999999998"/>
    <n v="2041.6239999999998"/>
    <x v="27"/>
    <s v="Late"/>
    <n v="1"/>
    <n v="50"/>
  </r>
  <r>
    <x v="35"/>
    <s v="Aaron"/>
    <s v="Thompson"/>
    <x v="35"/>
    <n v="47"/>
    <x v="1"/>
    <x v="3"/>
    <s v="aaron.thompson@gmail.com"/>
    <s v="PSC 0550, Box 2737, APO AE 75772"/>
    <x v="47"/>
    <x v="46"/>
    <s v="19:20:51"/>
    <x v="21"/>
    <n v="157.63999999999999"/>
    <n v="4"/>
    <x v="0"/>
    <n v="4"/>
    <n v="44"/>
    <n v="45061"/>
    <s v="07:23:46"/>
    <n v="7"/>
    <n v="630.55999999999995"/>
    <n v="0.08"/>
    <n v="580.11519999999996"/>
    <n v="624.11519999999996"/>
    <x v="35"/>
    <s v="Late"/>
    <n v="5"/>
    <n v="50"/>
  </r>
  <r>
    <x v="36"/>
    <s v="Jason"/>
    <s v="Lopez"/>
    <x v="36"/>
    <n v="40"/>
    <x v="2"/>
    <x v="6"/>
    <s v="jason.lopez@outlook.com"/>
    <s v="934 Levine View, Brentport, NE 38210"/>
    <x v="48"/>
    <x v="47"/>
    <s v="00:57:17"/>
    <x v="1"/>
    <n v="166.28"/>
    <n v="4"/>
    <x v="2"/>
    <n v="3"/>
    <n v="41"/>
    <n v="45626"/>
    <s v="09:51:58"/>
    <n v="6"/>
    <n v="665.12"/>
    <n v="0"/>
    <n v="665.12"/>
    <n v="665.12"/>
    <x v="36"/>
    <s v="Late"/>
    <n v="11"/>
    <n v="50"/>
  </r>
  <r>
    <x v="37"/>
    <s v="Alexandra"/>
    <s v="Smith"/>
    <x v="37"/>
    <n v="70"/>
    <x v="0"/>
    <x v="0"/>
    <s v="alexandra.smith@rediffmail.com"/>
    <s v="48611 Clark Village, West Anne, GA 92865"/>
    <x v="49"/>
    <x v="48"/>
    <s v="04:25:34"/>
    <x v="14"/>
    <n v="20.7"/>
    <n v="2"/>
    <x v="4"/>
    <n v="2"/>
    <n v="50"/>
    <n v="45547"/>
    <s v="00:47:31"/>
    <n v="2"/>
    <n v="41.4"/>
    <n v="0.1"/>
    <n v="37.26"/>
    <n v="87.259999999999991"/>
    <x v="37"/>
    <s v="InTime"/>
    <n v="9"/>
    <n v="50"/>
  </r>
  <r>
    <x v="31"/>
    <s v="Donna"/>
    <s v="Oneill"/>
    <x v="31"/>
    <n v="70"/>
    <x v="0"/>
    <x v="6"/>
    <s v="donna.oneill@yahoo.com"/>
    <s v="464 Carolyn Crest Suite 738, Lake Isaiah, CA 66153"/>
    <x v="50"/>
    <x v="29"/>
    <s v="07:52:23"/>
    <x v="23"/>
    <n v="129.75"/>
    <n v="2"/>
    <x v="3"/>
    <n v="5"/>
    <n v="42"/>
    <n v="45227"/>
    <s v="17:14:10"/>
    <n v="3"/>
    <n v="259.5"/>
    <n v="0.2"/>
    <n v="207.6"/>
    <n v="249.6"/>
    <x v="31"/>
    <s v="BeforeTime"/>
    <n v="10"/>
    <n v="50"/>
  </r>
  <r>
    <x v="38"/>
    <s v="John"/>
    <s v="Ramirez"/>
    <x v="38"/>
    <n v="28"/>
    <x v="2"/>
    <x v="4"/>
    <s v="john.ramirez@outlook.com"/>
    <s v="02797 Martin Landing, South Michelle, VT 98781"/>
    <x v="51"/>
    <x v="49"/>
    <s v="15:34:34"/>
    <x v="29"/>
    <n v="44.5"/>
    <n v="4"/>
    <x v="0"/>
    <n v="2"/>
    <n v="40"/>
    <n v="45368"/>
    <s v="01:12:58"/>
    <n v="3"/>
    <n v="178"/>
    <n v="0.08"/>
    <n v="163.76"/>
    <n v="203.76"/>
    <x v="38"/>
    <s v="Late"/>
    <n v="3"/>
    <n v="50"/>
  </r>
  <r>
    <x v="39"/>
    <s v="Amanda"/>
    <s v="Howard"/>
    <x v="39"/>
    <n v="52"/>
    <x v="2"/>
    <x v="7"/>
    <s v="amanda.howard@outlook.com"/>
    <s v="56908 Sydney Park Suite 632, West Anthonyport, NC 15954"/>
    <x v="52"/>
    <x v="50"/>
    <s v="01:45:28"/>
    <x v="19"/>
    <n v="128.13999999999999"/>
    <n v="5"/>
    <x v="1"/>
    <n v="2"/>
    <n v="57"/>
    <n v="45147"/>
    <s v="07:09:53"/>
    <n v="2"/>
    <n v="640.69999999999993"/>
    <n v="0.15"/>
    <n v="544.59499999999991"/>
    <n v="601.59499999999991"/>
    <x v="39"/>
    <s v="InTime"/>
    <n v="8"/>
    <n v="50"/>
  </r>
  <r>
    <x v="27"/>
    <s v="Valerie"/>
    <s v="Carr"/>
    <x v="27"/>
    <n v="26"/>
    <x v="2"/>
    <x v="6"/>
    <s v="valerie.carr@rediffmail.com"/>
    <s v="981 Emily Stream, South Brianna, CO 98063"/>
    <x v="53"/>
    <x v="51"/>
    <s v="12:30:02"/>
    <x v="30"/>
    <n v="369.03"/>
    <n v="2"/>
    <x v="4"/>
    <n v="4"/>
    <n v="46"/>
    <n v="45318"/>
    <s v="07:53:31"/>
    <n v="6"/>
    <n v="738.06"/>
    <n v="0.1"/>
    <n v="664.25399999999991"/>
    <n v="710.25399999999991"/>
    <x v="27"/>
    <s v="Late"/>
    <n v="1"/>
    <n v="50"/>
  </r>
  <r>
    <x v="38"/>
    <s v="John"/>
    <s v="Ramirez"/>
    <x v="38"/>
    <n v="28"/>
    <x v="2"/>
    <x v="4"/>
    <s v="john.ramirez@outlook.com"/>
    <s v="02797 Martin Landing, South Michelle, VT 98781"/>
    <x v="54"/>
    <x v="52"/>
    <s v="04:32:42"/>
    <x v="5"/>
    <n v="363.64"/>
    <n v="1"/>
    <x v="4"/>
    <n v="3"/>
    <n v="70"/>
    <n v="45606"/>
    <s v="08:48:02"/>
    <n v="7"/>
    <n v="363.64"/>
    <n v="0.1"/>
    <n v="327.27600000000001"/>
    <n v="397.27600000000001"/>
    <x v="38"/>
    <s v="Late"/>
    <n v="11"/>
    <n v="50"/>
  </r>
  <r>
    <x v="40"/>
    <s v="Mary"/>
    <s v="Knight"/>
    <x v="40"/>
    <n v="28"/>
    <x v="2"/>
    <x v="2"/>
    <s v="mary.knight@yahoo.com"/>
    <s v="907 Kimberly Hill, Murrayfort, NH 88384"/>
    <x v="55"/>
    <x v="53"/>
    <s v="14:13:38"/>
    <x v="3"/>
    <n v="405"/>
    <n v="1"/>
    <x v="2"/>
    <n v="5"/>
    <n v="44"/>
    <n v="45233"/>
    <s v="16:08:19"/>
    <n v="4"/>
    <n v="405"/>
    <n v="0"/>
    <n v="405"/>
    <n v="405"/>
    <x v="40"/>
    <s v="BeforeTime"/>
    <n v="10"/>
    <n v="50"/>
  </r>
  <r>
    <x v="41"/>
    <s v="Marcus"/>
    <s v="Rogers"/>
    <x v="41"/>
    <n v="36"/>
    <x v="1"/>
    <x v="0"/>
    <s v="marcus.rogers@outlook.com"/>
    <s v="06912 Brown Pine Apt. 763, Teresamouth, HI 24377"/>
    <x v="56"/>
    <x v="54"/>
    <s v="02:09:48"/>
    <x v="20"/>
    <n v="62.42"/>
    <n v="2"/>
    <x v="1"/>
    <n v="1"/>
    <n v="53"/>
    <n v="45154"/>
    <s v="03:08:52"/>
    <n v="5"/>
    <n v="124.84"/>
    <n v="0.15"/>
    <n v="106.114"/>
    <n v="159.114"/>
    <x v="41"/>
    <s v="Late"/>
    <n v="8"/>
    <n v="50"/>
  </r>
  <r>
    <x v="42"/>
    <s v="Brian"/>
    <s v="Kennedy"/>
    <x v="42"/>
    <n v="69"/>
    <x v="0"/>
    <x v="0"/>
    <s v="brian.kennedy@outlook.com"/>
    <s v="25126 Nancy Fort Suite 568, Alexandrachester, AZ 44823"/>
    <x v="57"/>
    <x v="55"/>
    <s v="16:10:50"/>
    <x v="14"/>
    <n v="20.7"/>
    <n v="5"/>
    <x v="1"/>
    <n v="7"/>
    <n v="57"/>
    <n v="45218"/>
    <s v="15:21:29"/>
    <n v="5"/>
    <n v="103.5"/>
    <n v="0.15"/>
    <n v="87.974999999999994"/>
    <n v="144.97499999999999"/>
    <x v="42"/>
    <s v="BeforeTime"/>
    <n v="10"/>
    <n v="50"/>
  </r>
  <r>
    <x v="43"/>
    <s v="Rebecca"/>
    <s v="Figueroa"/>
    <x v="43"/>
    <n v="63"/>
    <x v="0"/>
    <x v="4"/>
    <s v="rebecca.figueroa@outlook.com"/>
    <s v="3959 Bell Dale, North Jacob, LA 07934"/>
    <x v="58"/>
    <x v="56"/>
    <s v="09:43:27"/>
    <x v="5"/>
    <n v="363.64"/>
    <n v="3"/>
    <x v="4"/>
    <n v="6"/>
    <n v="69"/>
    <n v="45662"/>
    <s v="00:00:42"/>
    <n v="7"/>
    <n v="1090.92"/>
    <n v="0.1"/>
    <n v="981.82800000000009"/>
    <n v="1050.828"/>
    <x v="43"/>
    <s v="Late"/>
    <n v="12"/>
    <n v="50"/>
  </r>
  <r>
    <x v="44"/>
    <s v="Lori"/>
    <s v="Cook"/>
    <x v="44"/>
    <n v="18"/>
    <x v="1"/>
    <x v="1"/>
    <s v="lori.cook@rediffmail.com"/>
    <s v="86837 Bell Meadows, North Jasonshire, UT 51354"/>
    <x v="59"/>
    <x v="57"/>
    <s v="02:34:25"/>
    <x v="31"/>
    <n v="286.07"/>
    <n v="3"/>
    <x v="3"/>
    <n v="2"/>
    <n v="54"/>
    <n v="44977"/>
    <s v="13:09:47"/>
    <n v="5"/>
    <n v="858.21"/>
    <n v="0.2"/>
    <n v="686.56799999999998"/>
    <n v="740.56799999999998"/>
    <x v="44"/>
    <s v="Late"/>
    <n v="2"/>
    <n v="50"/>
  </r>
  <r>
    <x v="45"/>
    <s v="Debra"/>
    <s v="Hayes"/>
    <x v="45"/>
    <n v="33"/>
    <x v="0"/>
    <x v="6"/>
    <s v="debra.hayes@yahoo.com"/>
    <s v="4601 Miller Lock, Williamsbury, IA 10943"/>
    <x v="60"/>
    <x v="58"/>
    <s v="02:46:19"/>
    <x v="32"/>
    <n v="87.09"/>
    <n v="4"/>
    <x v="2"/>
    <n v="6"/>
    <n v="63"/>
    <n v="45439"/>
    <s v="20:00:32"/>
    <n v="4"/>
    <n v="348.36"/>
    <n v="0"/>
    <n v="348.36"/>
    <n v="348.36"/>
    <x v="45"/>
    <s v="BeforeTime"/>
    <n v="5"/>
    <n v="50"/>
  </r>
  <r>
    <x v="46"/>
    <s v="Brittany"/>
    <s v="Stewart"/>
    <x v="46"/>
    <n v="68"/>
    <x v="2"/>
    <x v="7"/>
    <s v="brittany.stewart@gmail.com"/>
    <s v="6250 David Loaf Suite 561, North Pamelaberg, WV 63652"/>
    <x v="61"/>
    <x v="59"/>
    <s v="18:25:37"/>
    <x v="6"/>
    <n v="275.44"/>
    <n v="4"/>
    <x v="0"/>
    <n v="4"/>
    <n v="40"/>
    <n v="45007"/>
    <s v="15:52:25"/>
    <n v="5"/>
    <n v="1101.76"/>
    <n v="0.08"/>
    <n v="1013.6192"/>
    <n v="1053.6192000000001"/>
    <x v="46"/>
    <s v="Late"/>
    <n v="3"/>
    <n v="50"/>
  </r>
  <r>
    <x v="47"/>
    <s v="Mitchell"/>
    <s v="Parker"/>
    <x v="47"/>
    <n v="39"/>
    <x v="2"/>
    <x v="1"/>
    <s v="mitchell.parker@yahoo.com"/>
    <s v="PSC 3316, Box 9303, APO AE 29513"/>
    <x v="62"/>
    <x v="60"/>
    <s v="19:18:19"/>
    <x v="33"/>
    <n v="421.7"/>
    <n v="1"/>
    <x v="4"/>
    <n v="3"/>
    <n v="59"/>
    <n v="45684"/>
    <s v="02:44:55"/>
    <n v="4"/>
    <n v="421.7"/>
    <n v="0.1"/>
    <n v="379.53"/>
    <n v="438.53"/>
    <x v="47"/>
    <s v="Late"/>
    <n v="1"/>
    <n v="50"/>
  </r>
  <r>
    <x v="20"/>
    <s v="John"/>
    <s v="Herrera"/>
    <x v="20"/>
    <n v="64"/>
    <x v="1"/>
    <x v="1"/>
    <s v="john.herrera@outlook.com"/>
    <s v="61263 Jacob Isle, Amandatown, TN 34321"/>
    <x v="63"/>
    <x v="61"/>
    <s v="09:15:50"/>
    <x v="12"/>
    <n v="272.51"/>
    <n v="1"/>
    <x v="3"/>
    <n v="4"/>
    <n v="43"/>
    <n v="45630"/>
    <s v="09:05:06"/>
    <n v="1"/>
    <n v="272.51"/>
    <n v="0.2"/>
    <n v="218.00799999999998"/>
    <n v="261.00799999999998"/>
    <x v="20"/>
    <s v="BeforeTime"/>
    <n v="12"/>
    <n v="50"/>
  </r>
  <r>
    <x v="48"/>
    <s v="Sharon"/>
    <s v="Thompson"/>
    <x v="48"/>
    <n v="57"/>
    <x v="1"/>
    <x v="7"/>
    <s v="sharon.thompson@yahoo.com"/>
    <s v="598 Jasmine Harbor, Turnerberg, SD 02371"/>
    <x v="64"/>
    <x v="62"/>
    <s v="02:51:35"/>
    <x v="9"/>
    <n v="175.93"/>
    <n v="3"/>
    <x v="0"/>
    <n v="4"/>
    <n v="46"/>
    <n v="45351"/>
    <s v="05:56:26"/>
    <n v="5"/>
    <n v="527.79"/>
    <n v="0.08"/>
    <n v="485.56679999999994"/>
    <n v="531.56679999999994"/>
    <x v="48"/>
    <s v="Late"/>
    <n v="2"/>
    <n v="50"/>
  </r>
  <r>
    <x v="49"/>
    <s v="Sarah"/>
    <s v="Butler"/>
    <x v="49"/>
    <n v="64"/>
    <x v="0"/>
    <x v="0"/>
    <s v="sarah.butler@rediffmail.com"/>
    <s v="14131 Edwin Shore Apt. 190, Deniseberg, MD 90905"/>
    <x v="65"/>
    <x v="63"/>
    <s v="20:59:40"/>
    <x v="34"/>
    <n v="136.30000000000001"/>
    <n v="5"/>
    <x v="1"/>
    <n v="6"/>
    <n v="39"/>
    <n v="45510"/>
    <s v="23:33:51"/>
    <n v="7"/>
    <n v="681.5"/>
    <n v="0.15"/>
    <n v="579.27499999999998"/>
    <n v="618.27499999999998"/>
    <x v="49"/>
    <s v="Late"/>
    <n v="7"/>
    <n v="50"/>
  </r>
  <r>
    <x v="22"/>
    <s v="Ashley"/>
    <s v="Rose"/>
    <x v="22"/>
    <n v="60"/>
    <x v="2"/>
    <x v="0"/>
    <s v="ashley.rose@gmail.com"/>
    <s v="424 Nichols Curve Suite 177, Lake Brianview, TX 17289"/>
    <x v="66"/>
    <x v="64"/>
    <s v="17:00:22"/>
    <x v="35"/>
    <n v="441.03"/>
    <n v="2"/>
    <x v="4"/>
    <n v="3"/>
    <n v="49"/>
    <n v="45458"/>
    <s v="12:18:47"/>
    <n v="7"/>
    <n v="882.06"/>
    <n v="0.1"/>
    <n v="793.85399999999993"/>
    <n v="842.85399999999993"/>
    <x v="22"/>
    <s v="Late"/>
    <n v="6"/>
    <n v="50"/>
  </r>
  <r>
    <x v="50"/>
    <s v="Katherine"/>
    <s v="Weber"/>
    <x v="50"/>
    <n v="42"/>
    <x v="2"/>
    <x v="2"/>
    <s v="katherine.weber@outlook.com"/>
    <s v="04887 Kimberly Union Apt. 645, Port Laura, IL 97219"/>
    <x v="67"/>
    <x v="65"/>
    <s v="22:51:56"/>
    <x v="30"/>
    <n v="369.03"/>
    <n v="4"/>
    <x v="3"/>
    <n v="7"/>
    <n v="52"/>
    <n v="45327"/>
    <s v="07:24:20"/>
    <n v="5"/>
    <n v="1476.12"/>
    <n v="0.2"/>
    <n v="1180.896"/>
    <n v="1232.896"/>
    <x v="50"/>
    <s v="BeforeTime"/>
    <n v="1"/>
    <n v="50"/>
  </r>
  <r>
    <x v="51"/>
    <s v="Jason"/>
    <s v="Nguyen"/>
    <x v="51"/>
    <n v="51"/>
    <x v="2"/>
    <x v="4"/>
    <s v="jason.nguyen@yahoo.com"/>
    <s v="7112 Travis Glens Suite 790, Crystalland, WV 38373"/>
    <x v="68"/>
    <x v="66"/>
    <s v="12:19:34"/>
    <x v="27"/>
    <n v="496.59"/>
    <n v="4"/>
    <x v="1"/>
    <n v="7"/>
    <n v="36"/>
    <n v="45280"/>
    <s v="10:04:54"/>
    <n v="3"/>
    <n v="1986.36"/>
    <n v="0.15"/>
    <n v="1688.4059999999999"/>
    <n v="1724.4059999999999"/>
    <x v="51"/>
    <s v="BeforeTime"/>
    <n v="12"/>
    <n v="50"/>
  </r>
  <r>
    <x v="52"/>
    <s v="Brandon"/>
    <s v="Cruz"/>
    <x v="52"/>
    <n v="32"/>
    <x v="2"/>
    <x v="3"/>
    <s v="brandon.cruz@gmail.com"/>
    <s v="9296 Villanueva Branch, East Kevin, CO 93912"/>
    <x v="69"/>
    <x v="67"/>
    <s v="15:26:04"/>
    <x v="27"/>
    <n v="496.59"/>
    <n v="2"/>
    <x v="0"/>
    <n v="5"/>
    <n v="41"/>
    <n v="45588"/>
    <s v="08:17:58"/>
    <n v="2"/>
    <n v="993.18"/>
    <n v="0.08"/>
    <n v="913.72559999999999"/>
    <n v="954.72559999999999"/>
    <x v="52"/>
    <s v="BeforeTime"/>
    <n v="10"/>
    <n v="50"/>
  </r>
  <r>
    <x v="0"/>
    <s v="Anne"/>
    <s v="Oconnell"/>
    <x v="0"/>
    <n v="37"/>
    <x v="0"/>
    <x v="0"/>
    <s v="anne.oconnell@outlook.com"/>
    <s v="2850 Matthew Ford, North Yolandachester, FL 67488"/>
    <x v="70"/>
    <x v="68"/>
    <s v="19:49:32"/>
    <x v="0"/>
    <n v="308.88"/>
    <n v="1"/>
    <x v="2"/>
    <n v="6"/>
    <n v="62"/>
    <n v="45569"/>
    <s v="22:41:33"/>
    <n v="2"/>
    <n v="308.88"/>
    <n v="0"/>
    <n v="308.88"/>
    <n v="308.88"/>
    <x v="0"/>
    <s v="BeforeTime"/>
    <n v="10"/>
    <n v="50"/>
  </r>
  <r>
    <x v="53"/>
    <s v="Jodi"/>
    <s v="Whitney"/>
    <x v="53"/>
    <n v="33"/>
    <x v="2"/>
    <x v="6"/>
    <s v="jodi.whitney@yahoo.com"/>
    <s v="72876 Lara Key Suite 383, Gutierrezton, OR 71683"/>
    <x v="71"/>
    <x v="69"/>
    <s v="21:08:59"/>
    <x v="36"/>
    <n v="425.59"/>
    <n v="4"/>
    <x v="2"/>
    <n v="6"/>
    <n v="53"/>
    <n v="45496"/>
    <s v="10:39:08"/>
    <n v="1"/>
    <n v="1702.36"/>
    <n v="0"/>
    <n v="1702.36"/>
    <n v="1702.36"/>
    <x v="53"/>
    <s v="BeforeTime"/>
    <n v="7"/>
    <n v="50"/>
  </r>
  <r>
    <x v="19"/>
    <s v="Mark"/>
    <s v="Henderson"/>
    <x v="19"/>
    <n v="33"/>
    <x v="2"/>
    <x v="7"/>
    <s v="mark.henderson@yahoo.com"/>
    <s v="90155 Hines Spring, North Theresafurt, ME 31920"/>
    <x v="72"/>
    <x v="70"/>
    <s v="05:40:38"/>
    <x v="0"/>
    <n v="308.88"/>
    <n v="1"/>
    <x v="4"/>
    <n v="1"/>
    <n v="56"/>
    <n v="45360"/>
    <s v="05:38:59"/>
    <n v="5"/>
    <n v="308.88"/>
    <n v="0.1"/>
    <n v="277.99200000000002"/>
    <n v="333.99200000000002"/>
    <x v="19"/>
    <s v="Late"/>
    <n v="3"/>
    <n v="50"/>
  </r>
  <r>
    <x v="42"/>
    <s v="Brian"/>
    <s v="Kennedy"/>
    <x v="42"/>
    <n v="69"/>
    <x v="0"/>
    <x v="0"/>
    <s v="brian.kennedy@outlook.com"/>
    <s v="25126 Nancy Fort Suite 568, Alexandrachester, AZ 44823"/>
    <x v="73"/>
    <x v="71"/>
    <s v="17:56:01"/>
    <x v="28"/>
    <n v="431.44"/>
    <n v="5"/>
    <x v="1"/>
    <n v="6"/>
    <n v="59"/>
    <n v="45139"/>
    <s v="15:52:42"/>
    <n v="7"/>
    <n v="2157.1999999999998"/>
    <n v="0.15"/>
    <n v="1833.62"/>
    <n v="1892.62"/>
    <x v="42"/>
    <s v="Late"/>
    <n v="7"/>
    <n v="50"/>
  </r>
  <r>
    <x v="42"/>
    <s v="Brian"/>
    <s v="Kennedy"/>
    <x v="42"/>
    <n v="69"/>
    <x v="0"/>
    <x v="0"/>
    <s v="brian.kennedy@outlook.com"/>
    <s v="25126 Nancy Fort Suite 568, Alexandrachester, AZ 44823"/>
    <x v="74"/>
    <x v="72"/>
    <s v="23:34:28"/>
    <x v="37"/>
    <n v="133.62"/>
    <n v="2"/>
    <x v="4"/>
    <n v="4"/>
    <n v="50"/>
    <n v="45651"/>
    <s v="02:05:20"/>
    <n v="1"/>
    <n v="267.24"/>
    <n v="0.1"/>
    <n v="240.51600000000002"/>
    <n v="290.51600000000002"/>
    <x v="42"/>
    <s v="BeforeTime"/>
    <n v="12"/>
    <n v="50"/>
  </r>
  <r>
    <x v="25"/>
    <s v="Teresa"/>
    <s v="Harvey"/>
    <x v="25"/>
    <n v="64"/>
    <x v="2"/>
    <x v="0"/>
    <s v="teresa.harvey@gmail.com"/>
    <s v="02669 Kirk Squares, Davisville, VA 51272"/>
    <x v="75"/>
    <x v="7"/>
    <s v="03:04:26"/>
    <x v="5"/>
    <n v="363.64"/>
    <n v="3"/>
    <x v="2"/>
    <n v="7"/>
    <n v="41"/>
    <n v="45461"/>
    <s v="16:05:07"/>
    <n v="2"/>
    <n v="1090.92"/>
    <n v="0"/>
    <n v="1090.92"/>
    <n v="1090.92"/>
    <x v="25"/>
    <s v="BeforeTime"/>
    <n v="6"/>
    <n v="50"/>
  </r>
  <r>
    <x v="1"/>
    <s v="Anthony"/>
    <s v="Thomas"/>
    <x v="1"/>
    <n v="53"/>
    <x v="1"/>
    <x v="1"/>
    <s v="anthony.thomas@rediffmail.com"/>
    <s v="931 Christopher Ways Suite 833, North Michelle, IN 53484"/>
    <x v="76"/>
    <x v="73"/>
    <s v="04:27:04"/>
    <x v="19"/>
    <n v="128.13999999999999"/>
    <n v="1"/>
    <x v="0"/>
    <n v="7"/>
    <n v="70"/>
    <n v="45045"/>
    <s v="07:38:34"/>
    <n v="4"/>
    <n v="128.13999999999999"/>
    <n v="0.08"/>
    <n v="117.88879999999999"/>
    <n v="187.8888"/>
    <x v="1"/>
    <s v="BeforeTime"/>
    <n v="4"/>
    <n v="50"/>
  </r>
  <r>
    <x v="35"/>
    <s v="Aaron"/>
    <s v="Thompson"/>
    <x v="35"/>
    <n v="47"/>
    <x v="1"/>
    <x v="3"/>
    <s v="aaron.thompson@gmail.com"/>
    <s v="PSC 0550, Box 2737, APO AE 75772"/>
    <x v="77"/>
    <x v="74"/>
    <s v="23:24:39"/>
    <x v="38"/>
    <n v="477.52"/>
    <n v="2"/>
    <x v="0"/>
    <n v="6"/>
    <n v="55"/>
    <n v="45685"/>
    <s v="01:07:36"/>
    <n v="2"/>
    <n v="955.04"/>
    <n v="0.08"/>
    <n v="878.63679999999999"/>
    <n v="933.63679999999999"/>
    <x v="35"/>
    <s v="BeforeTime"/>
    <n v="1"/>
    <n v="50"/>
  </r>
  <r>
    <x v="54"/>
    <s v="Ashley"/>
    <s v="Romero"/>
    <x v="54"/>
    <n v="35"/>
    <x v="0"/>
    <x v="0"/>
    <s v="ashley.romero@yahoo.com"/>
    <s v="547 Kerry Expressway, Lake Amanda, AR 20321"/>
    <x v="78"/>
    <x v="46"/>
    <s v="18:54:33"/>
    <x v="17"/>
    <n v="126.19"/>
    <n v="3"/>
    <x v="2"/>
    <n v="5"/>
    <n v="40"/>
    <n v="45058"/>
    <s v="16:14:09"/>
    <n v="4"/>
    <n v="378.57"/>
    <n v="0"/>
    <n v="378.57"/>
    <n v="378.57"/>
    <x v="54"/>
    <s v="BeforeTime"/>
    <n v="5"/>
    <n v="50"/>
  </r>
  <r>
    <x v="38"/>
    <s v="John"/>
    <s v="Ramirez"/>
    <x v="38"/>
    <n v="28"/>
    <x v="2"/>
    <x v="4"/>
    <s v="john.ramirez@outlook.com"/>
    <s v="02797 Martin Landing, South Michelle, VT 98781"/>
    <x v="79"/>
    <x v="75"/>
    <s v="10:55:08"/>
    <x v="24"/>
    <n v="481.48"/>
    <n v="4"/>
    <x v="4"/>
    <n v="1"/>
    <n v="36"/>
    <n v="45447"/>
    <s v="10:56:05"/>
    <n v="4"/>
    <n v="1925.92"/>
    <n v="0.1"/>
    <n v="1733.328"/>
    <n v="1769.328"/>
    <x v="38"/>
    <s v="Late"/>
    <n v="5"/>
    <n v="50"/>
  </r>
  <r>
    <x v="45"/>
    <s v="Debra"/>
    <s v="Hayes"/>
    <x v="45"/>
    <n v="33"/>
    <x v="0"/>
    <x v="6"/>
    <s v="debra.hayes@yahoo.com"/>
    <s v="4601 Miller Lock, Williamsbury, IA 10943"/>
    <x v="80"/>
    <x v="76"/>
    <s v="19:40:45"/>
    <x v="0"/>
    <n v="308.88"/>
    <n v="3"/>
    <x v="1"/>
    <n v="4"/>
    <n v="48"/>
    <n v="45678"/>
    <s v="20:24:13"/>
    <n v="3"/>
    <n v="926.64"/>
    <n v="0.15"/>
    <n v="787.64400000000001"/>
    <n v="835.64400000000001"/>
    <x v="45"/>
    <s v="BeforeTime"/>
    <n v="1"/>
    <n v="50"/>
  </r>
  <r>
    <x v="18"/>
    <s v="Christian"/>
    <s v="Clayton"/>
    <x v="18"/>
    <n v="39"/>
    <x v="1"/>
    <x v="5"/>
    <s v="christian.clayton@yahoo.com"/>
    <s v="065 Madison Way, Smithstad, CT 68011"/>
    <x v="81"/>
    <x v="77"/>
    <s v="02:08:49"/>
    <x v="39"/>
    <n v="403.03"/>
    <n v="1"/>
    <x v="3"/>
    <n v="3"/>
    <n v="52"/>
    <n v="45526"/>
    <s v="15:38:07"/>
    <n v="1"/>
    <n v="403.03"/>
    <n v="0.2"/>
    <n v="322.42399999999998"/>
    <n v="374.42399999999998"/>
    <x v="18"/>
    <s v="BeforeTime"/>
    <n v="8"/>
    <n v="50"/>
  </r>
  <r>
    <x v="55"/>
    <s v="William"/>
    <s v="Mann"/>
    <x v="55"/>
    <n v="21"/>
    <x v="0"/>
    <x v="1"/>
    <s v="william.mann@yahoo.com"/>
    <s v="849 Tran Wells, New Lindsayville, WI 22669"/>
    <x v="82"/>
    <x v="73"/>
    <s v="01:05:15"/>
    <x v="4"/>
    <n v="330.11"/>
    <n v="2"/>
    <x v="0"/>
    <n v="3"/>
    <n v="64"/>
    <n v="45046"/>
    <s v="13:48:26"/>
    <n v="5"/>
    <n v="660.22"/>
    <n v="0.08"/>
    <n v="607.40240000000006"/>
    <n v="671.40240000000006"/>
    <x v="55"/>
    <s v="Late"/>
    <n v="4"/>
    <n v="50"/>
  </r>
  <r>
    <x v="38"/>
    <s v="John"/>
    <s v="Ramirez"/>
    <x v="38"/>
    <n v="28"/>
    <x v="2"/>
    <x v="4"/>
    <s v="john.ramirez@outlook.com"/>
    <s v="02797 Martin Landing, South Michelle, VT 98781"/>
    <x v="83"/>
    <x v="65"/>
    <s v="04:27:02"/>
    <x v="20"/>
    <n v="62.42"/>
    <n v="1"/>
    <x v="3"/>
    <n v="6"/>
    <n v="53"/>
    <n v="45329"/>
    <s v="09:07:52"/>
    <n v="7"/>
    <n v="62.42"/>
    <n v="0.2"/>
    <n v="49.936"/>
    <n v="102.93600000000001"/>
    <x v="38"/>
    <s v="Late"/>
    <n v="1"/>
    <n v="50"/>
  </r>
  <r>
    <x v="56"/>
    <s v="Kelli"/>
    <s v="Smith"/>
    <x v="56"/>
    <n v="18"/>
    <x v="1"/>
    <x v="1"/>
    <s v="kelli.smith@rediffmail.com"/>
    <s v="788 Kristina Lane, Montoyaside, VA 90756"/>
    <x v="84"/>
    <x v="78"/>
    <s v="15:22:10"/>
    <x v="4"/>
    <n v="330.11"/>
    <n v="1"/>
    <x v="3"/>
    <n v="4"/>
    <n v="67"/>
    <n v="45627"/>
    <s v="13:15:51"/>
    <n v="2"/>
    <n v="330.11"/>
    <n v="0.2"/>
    <n v="264.08800000000002"/>
    <n v="331.08800000000002"/>
    <x v="56"/>
    <s v="BeforeTime"/>
    <n v="11"/>
    <n v="50"/>
  </r>
  <r>
    <x v="26"/>
    <s v="Heather"/>
    <s v="Schneider"/>
    <x v="26"/>
    <n v="48"/>
    <x v="1"/>
    <x v="3"/>
    <s v="heather.schneider@outlook.com"/>
    <s v="57940 Susan Creek Apt. 541, Port Aliciamouth, OR 90221"/>
    <x v="85"/>
    <x v="79"/>
    <s v="19:45:13"/>
    <x v="7"/>
    <n v="48.45"/>
    <n v="1"/>
    <x v="1"/>
    <n v="6"/>
    <n v="66"/>
    <n v="45512"/>
    <s v="13:53:47"/>
    <n v="7"/>
    <n v="48.45"/>
    <n v="0.15"/>
    <n v="41.182500000000005"/>
    <n v="107.1825"/>
    <x v="26"/>
    <s v="Late"/>
    <n v="8"/>
    <n v="50"/>
  </r>
  <r>
    <x v="48"/>
    <s v="Sharon"/>
    <s v="Thompson"/>
    <x v="48"/>
    <n v="57"/>
    <x v="1"/>
    <x v="7"/>
    <s v="sharon.thompson@yahoo.com"/>
    <s v="598 Jasmine Harbor, Turnerberg, SD 02371"/>
    <x v="86"/>
    <x v="80"/>
    <s v="01:09:33"/>
    <x v="3"/>
    <n v="405"/>
    <n v="2"/>
    <x v="2"/>
    <n v="4"/>
    <n v="70"/>
    <n v="45257"/>
    <s v="21:18:20"/>
    <n v="5"/>
    <n v="810"/>
    <n v="0"/>
    <n v="810"/>
    <n v="810"/>
    <x v="48"/>
    <s v="Late"/>
    <n v="11"/>
    <n v="50"/>
  </r>
  <r>
    <x v="48"/>
    <s v="Sharon"/>
    <s v="Thompson"/>
    <x v="48"/>
    <n v="57"/>
    <x v="1"/>
    <x v="7"/>
    <s v="sharon.thompson@yahoo.com"/>
    <s v="598 Jasmine Harbor, Turnerberg, SD 02371"/>
    <x v="87"/>
    <x v="81"/>
    <s v="07:05:58"/>
    <x v="27"/>
    <n v="496.59"/>
    <n v="2"/>
    <x v="4"/>
    <n v="1"/>
    <n v="46"/>
    <n v="45598"/>
    <s v="17:13:41"/>
    <n v="3"/>
    <n v="993.18"/>
    <n v="0.1"/>
    <n v="893.86199999999997"/>
    <n v="939.86199999999997"/>
    <x v="48"/>
    <s v="Late"/>
    <n v="10"/>
    <n v="50"/>
  </r>
  <r>
    <x v="6"/>
    <s v="Marcus"/>
    <s v="Valenzuela"/>
    <x v="6"/>
    <n v="39"/>
    <x v="0"/>
    <x v="0"/>
    <s v="marcus.valenzuela@yahoo.com"/>
    <s v="694 Graham Prairie Apt. 887, Jimenezfurt, MI 33044"/>
    <x v="88"/>
    <x v="82"/>
    <s v="07:48:29"/>
    <x v="7"/>
    <n v="48.45"/>
    <n v="1"/>
    <x v="3"/>
    <n v="4"/>
    <n v="66"/>
    <n v="45228"/>
    <s v="23:09:43"/>
    <n v="1"/>
    <n v="48.45"/>
    <n v="0.2"/>
    <n v="38.760000000000005"/>
    <n v="104.76"/>
    <x v="6"/>
    <s v="BeforeTime"/>
    <n v="10"/>
    <n v="50"/>
  </r>
  <r>
    <x v="57"/>
    <s v="Joseph"/>
    <s v="Gaines"/>
    <x v="57"/>
    <n v="47"/>
    <x v="2"/>
    <x v="2"/>
    <s v="joseph.gaines@outlook.com"/>
    <s v="37549 Pope Isle Apt. 202, Tylerborough, MO 60042"/>
    <x v="89"/>
    <x v="83"/>
    <s v="12:17:34"/>
    <x v="28"/>
    <n v="431.44"/>
    <n v="1"/>
    <x v="2"/>
    <n v="7"/>
    <n v="35"/>
    <n v="45080"/>
    <s v="11:02:15"/>
    <n v="4"/>
    <n v="431.44"/>
    <n v="0"/>
    <n v="431.44"/>
    <n v="431.44"/>
    <x v="57"/>
    <s v="BeforeTime"/>
    <n v="5"/>
    <n v="50"/>
  </r>
  <r>
    <x v="12"/>
    <s v="Joshua"/>
    <s v="Campbell"/>
    <x v="12"/>
    <n v="24"/>
    <x v="0"/>
    <x v="5"/>
    <s v="joshua.campbell@gmail.com"/>
    <s v="70426 Lindsey Overpass Apt. 030, Jessicafurt, AR 46269"/>
    <x v="90"/>
    <x v="84"/>
    <s v="19:02:37"/>
    <x v="31"/>
    <n v="286.07"/>
    <n v="5"/>
    <x v="1"/>
    <n v="5"/>
    <n v="65"/>
    <n v="45558"/>
    <s v="00:56:16"/>
    <n v="3"/>
    <n v="1430.35"/>
    <n v="0.15"/>
    <n v="1215.7974999999999"/>
    <n v="1280.7974999999999"/>
    <x v="12"/>
    <s v="BeforeTime"/>
    <n v="9"/>
    <n v="50"/>
  </r>
  <r>
    <x v="38"/>
    <s v="John"/>
    <s v="Ramirez"/>
    <x v="38"/>
    <n v="28"/>
    <x v="2"/>
    <x v="4"/>
    <s v="john.ramirez@outlook.com"/>
    <s v="02797 Martin Landing, South Michelle, VT 98781"/>
    <x v="91"/>
    <x v="69"/>
    <s v="03:34:35"/>
    <x v="17"/>
    <n v="126.19"/>
    <n v="2"/>
    <x v="0"/>
    <n v="7"/>
    <n v="48"/>
    <n v="45496"/>
    <s v="00:26:45"/>
    <n v="1"/>
    <n v="252.38"/>
    <n v="0.08"/>
    <n v="232.18959999999998"/>
    <n v="280.18959999999998"/>
    <x v="38"/>
    <s v="BeforeTime"/>
    <n v="7"/>
    <n v="50"/>
  </r>
  <r>
    <x v="24"/>
    <s v="Lauren"/>
    <s v="Long"/>
    <x v="24"/>
    <n v="44"/>
    <x v="0"/>
    <x v="7"/>
    <s v="lauren.long@gmail.com"/>
    <s v="258 Michael Brooks Suite 363, Arnoldview, PA 49438"/>
    <x v="92"/>
    <x v="85"/>
    <s v="17:05:21"/>
    <x v="40"/>
    <n v="445.81"/>
    <n v="5"/>
    <x v="1"/>
    <n v="1"/>
    <n v="56"/>
    <n v="45313"/>
    <s v="06:56:06"/>
    <n v="6"/>
    <n v="2229.0500000000002"/>
    <n v="0.15"/>
    <n v="1894.6925000000001"/>
    <n v="1950.6925000000001"/>
    <x v="24"/>
    <s v="Late"/>
    <n v="1"/>
    <n v="50"/>
  </r>
  <r>
    <x v="58"/>
    <s v="Amy"/>
    <s v="Ellis"/>
    <x v="58"/>
    <n v="44"/>
    <x v="2"/>
    <x v="3"/>
    <s v="amy.ellis@gmail.com"/>
    <s v="217 Scott Ville, Christophermouth, NH 83776"/>
    <x v="93"/>
    <x v="78"/>
    <s v="23:41:08"/>
    <x v="30"/>
    <n v="369.03"/>
    <n v="4"/>
    <x v="3"/>
    <n v="4"/>
    <n v="56"/>
    <n v="45630"/>
    <s v="01:56:42"/>
    <n v="5"/>
    <n v="1476.12"/>
    <n v="0.2"/>
    <n v="1180.896"/>
    <n v="1236.896"/>
    <x v="58"/>
    <s v="Late"/>
    <n v="11"/>
    <n v="50"/>
  </r>
  <r>
    <x v="59"/>
    <s v="Beth"/>
    <s v="Mason"/>
    <x v="59"/>
    <n v="45"/>
    <x v="2"/>
    <x v="3"/>
    <s v="beth.mason@outlook.com"/>
    <s v="58998 Sherry Haven, East Richard, FL 90775"/>
    <x v="94"/>
    <x v="86"/>
    <s v="04:48:30"/>
    <x v="41"/>
    <n v="433.62"/>
    <n v="2"/>
    <x v="3"/>
    <n v="1"/>
    <n v="41"/>
    <n v="45510"/>
    <s v="10:01:40"/>
    <n v="6"/>
    <n v="867.24"/>
    <n v="0.2"/>
    <n v="693.79200000000003"/>
    <n v="734.79200000000003"/>
    <x v="59"/>
    <s v="Late"/>
    <n v="7"/>
    <n v="50"/>
  </r>
  <r>
    <x v="49"/>
    <s v="Sarah"/>
    <s v="Butler"/>
    <x v="49"/>
    <n v="64"/>
    <x v="0"/>
    <x v="0"/>
    <s v="sarah.butler@rediffmail.com"/>
    <s v="14131 Edwin Shore Apt. 190, Deniseberg, MD 90905"/>
    <x v="95"/>
    <x v="87"/>
    <s v="17:09:49"/>
    <x v="42"/>
    <n v="235.63"/>
    <n v="4"/>
    <x v="3"/>
    <n v="2"/>
    <n v="60"/>
    <n v="45495"/>
    <s v="22:15:50"/>
    <n v="7"/>
    <n v="942.52"/>
    <n v="0.2"/>
    <n v="754.01599999999996"/>
    <n v="814.01599999999996"/>
    <x v="49"/>
    <s v="Late"/>
    <n v="7"/>
    <n v="50"/>
  </r>
  <r>
    <x v="20"/>
    <s v="John"/>
    <s v="Herrera"/>
    <x v="20"/>
    <n v="64"/>
    <x v="1"/>
    <x v="1"/>
    <s v="john.herrera@outlook.com"/>
    <s v="61263 Jacob Isle, Amandatown, TN 34321"/>
    <x v="96"/>
    <x v="88"/>
    <s v="07:51:16"/>
    <x v="22"/>
    <n v="158.53"/>
    <n v="5"/>
    <x v="3"/>
    <n v="1"/>
    <n v="57"/>
    <n v="45125"/>
    <s v="06:23:31"/>
    <n v="7"/>
    <n v="792.65"/>
    <n v="0.2"/>
    <n v="634.12"/>
    <n v="691.12"/>
    <x v="20"/>
    <s v="Late"/>
    <n v="7"/>
    <n v="50"/>
  </r>
  <r>
    <x v="20"/>
    <s v="John"/>
    <s v="Herrera"/>
    <x v="20"/>
    <n v="64"/>
    <x v="1"/>
    <x v="1"/>
    <s v="john.herrera@outlook.com"/>
    <s v="61263 Jacob Isle, Amandatown, TN 34321"/>
    <x v="97"/>
    <x v="89"/>
    <s v="21:43:03"/>
    <x v="4"/>
    <n v="330.11"/>
    <n v="3"/>
    <x v="1"/>
    <n v="3"/>
    <n v="65"/>
    <n v="45186"/>
    <s v="01:29:42"/>
    <n v="3"/>
    <n v="990.33"/>
    <n v="0.15"/>
    <n v="841.78050000000007"/>
    <n v="906.78050000000007"/>
    <x v="20"/>
    <s v="InTime"/>
    <n v="9"/>
    <n v="50"/>
  </r>
  <r>
    <x v="59"/>
    <s v="Beth"/>
    <s v="Mason"/>
    <x v="59"/>
    <n v="45"/>
    <x v="2"/>
    <x v="3"/>
    <s v="beth.mason@outlook.com"/>
    <s v="58998 Sherry Haven, East Richard, FL 90775"/>
    <x v="98"/>
    <x v="90"/>
    <s v="07:53:58"/>
    <x v="11"/>
    <n v="220.27"/>
    <n v="2"/>
    <x v="3"/>
    <n v="1"/>
    <n v="63"/>
    <n v="45675"/>
    <s v="10:10:26"/>
    <n v="2"/>
    <n v="440.54"/>
    <n v="0.2"/>
    <n v="352.43200000000002"/>
    <n v="415.43200000000002"/>
    <x v="59"/>
    <s v="Late"/>
    <n v="1"/>
    <n v="50"/>
  </r>
  <r>
    <x v="55"/>
    <s v="William"/>
    <s v="Mann"/>
    <x v="55"/>
    <n v="21"/>
    <x v="0"/>
    <x v="1"/>
    <s v="william.mann@yahoo.com"/>
    <s v="849 Tran Wells, New Lindsayville, WI 22669"/>
    <x v="99"/>
    <x v="91"/>
    <s v="01:16:21"/>
    <x v="6"/>
    <n v="275.44"/>
    <n v="3"/>
    <x v="1"/>
    <n v="7"/>
    <n v="47"/>
    <n v="45322"/>
    <s v="17:07:06"/>
    <n v="1"/>
    <n v="826.31999999999994"/>
    <n v="0.15"/>
    <n v="702.37199999999996"/>
    <n v="749.37199999999996"/>
    <x v="55"/>
    <s v="BeforeTime"/>
    <n v="1"/>
    <n v="50"/>
  </r>
  <r>
    <x v="60"/>
    <s v="Christy"/>
    <s v="Chang"/>
    <x v="60"/>
    <n v="38"/>
    <x v="1"/>
    <x v="7"/>
    <s v="christy.chang@outlook.com"/>
    <s v="4647 Hannah Centers, Rhodesburgh, NH 89363"/>
    <x v="100"/>
    <x v="92"/>
    <s v="02:43:38"/>
    <x v="38"/>
    <n v="477.52"/>
    <n v="3"/>
    <x v="0"/>
    <n v="7"/>
    <n v="66"/>
    <n v="45208"/>
    <s v="02:45:47"/>
    <n v="5"/>
    <n v="1432.56"/>
    <n v="0.08"/>
    <n v="1317.9551999999999"/>
    <n v="1383.9551999999999"/>
    <x v="60"/>
    <s v="BeforeTime"/>
    <n v="10"/>
    <n v="50"/>
  </r>
  <r>
    <x v="61"/>
    <s v="Troy"/>
    <s v="Gomez"/>
    <x v="61"/>
    <n v="68"/>
    <x v="0"/>
    <x v="7"/>
    <s v="troy.gomez@outlook.com"/>
    <s v="7510 Jose Knolls, Candicechester, LA 62815"/>
    <x v="101"/>
    <x v="93"/>
    <s v="13:25:18"/>
    <x v="43"/>
    <n v="424.82"/>
    <n v="1"/>
    <x v="2"/>
    <n v="6"/>
    <n v="44"/>
    <n v="45638"/>
    <s v="14:51:25"/>
    <n v="2"/>
    <n v="424.82"/>
    <n v="0"/>
    <n v="424.82"/>
    <n v="424.82"/>
    <x v="61"/>
    <s v="BeforeTime"/>
    <n v="12"/>
    <n v="50"/>
  </r>
  <r>
    <x v="62"/>
    <s v="Kim"/>
    <s v="Blevins"/>
    <x v="62"/>
    <n v="65"/>
    <x v="1"/>
    <x v="3"/>
    <s v="kim.blevins@outlook.com"/>
    <s v="089 Rice Shoal Suite 491, Juarezmouth, MI 88715"/>
    <x v="102"/>
    <x v="94"/>
    <s v="18:32:14"/>
    <x v="30"/>
    <n v="369.03"/>
    <n v="4"/>
    <x v="0"/>
    <n v="3"/>
    <n v="56"/>
    <n v="45169"/>
    <s v="06:09:27"/>
    <n v="4"/>
    <n v="1476.12"/>
    <n v="0.08"/>
    <n v="1358.0303999999999"/>
    <n v="1414.0303999999999"/>
    <x v="62"/>
    <s v="Late"/>
    <n v="8"/>
    <n v="50"/>
  </r>
  <r>
    <x v="42"/>
    <s v="Brian"/>
    <s v="Kennedy"/>
    <x v="42"/>
    <n v="69"/>
    <x v="0"/>
    <x v="0"/>
    <s v="brian.kennedy@outlook.com"/>
    <s v="25126 Nancy Fort Suite 568, Alexandrachester, AZ 44823"/>
    <x v="103"/>
    <x v="95"/>
    <s v="21:12:50"/>
    <x v="34"/>
    <n v="136.30000000000001"/>
    <n v="2"/>
    <x v="4"/>
    <n v="1"/>
    <n v="54"/>
    <n v="45485"/>
    <s v="09:07:45"/>
    <n v="1"/>
    <n v="272.60000000000002"/>
    <n v="0.1"/>
    <n v="245.34000000000003"/>
    <n v="299.34000000000003"/>
    <x v="42"/>
    <s v="InTime"/>
    <n v="7"/>
    <n v="50"/>
  </r>
  <r>
    <x v="38"/>
    <s v="John"/>
    <s v="Ramirez"/>
    <x v="38"/>
    <n v="28"/>
    <x v="2"/>
    <x v="4"/>
    <s v="john.ramirez@outlook.com"/>
    <s v="02797 Martin Landing, South Michelle, VT 98781"/>
    <x v="104"/>
    <x v="96"/>
    <s v="17:19:09"/>
    <x v="11"/>
    <n v="220.27"/>
    <n v="4"/>
    <x v="3"/>
    <n v="4"/>
    <n v="65"/>
    <n v="45117"/>
    <s v="09:03:23"/>
    <n v="4"/>
    <n v="881.08"/>
    <n v="0.2"/>
    <n v="704.86400000000003"/>
    <n v="769.86400000000003"/>
    <x v="38"/>
    <s v="InTime"/>
    <n v="7"/>
    <n v="50"/>
  </r>
  <r>
    <x v="55"/>
    <s v="William"/>
    <s v="Mann"/>
    <x v="55"/>
    <n v="21"/>
    <x v="0"/>
    <x v="1"/>
    <s v="william.mann@yahoo.com"/>
    <s v="849 Tran Wells, New Lindsayville, WI 22669"/>
    <x v="105"/>
    <x v="97"/>
    <s v="15:04:45"/>
    <x v="37"/>
    <n v="133.62"/>
    <n v="5"/>
    <x v="1"/>
    <n v="6"/>
    <n v="64"/>
    <n v="45532"/>
    <s v="19:43:27"/>
    <n v="2"/>
    <n v="668.1"/>
    <n v="0.15"/>
    <n v="567.88499999999999"/>
    <n v="631.88499999999999"/>
    <x v="55"/>
    <s v="BeforeTime"/>
    <n v="8"/>
    <n v="50"/>
  </r>
  <r>
    <x v="63"/>
    <s v="Gregory"/>
    <s v="Lee"/>
    <x v="63"/>
    <n v="26"/>
    <x v="2"/>
    <x v="2"/>
    <s v="gregory.lee@rediffmail.com"/>
    <s v="619 Parker Turnpike Apt. 025, West Brucehaven, ID 48437"/>
    <x v="106"/>
    <x v="98"/>
    <s v="18:15:56"/>
    <x v="0"/>
    <n v="308.88"/>
    <n v="2"/>
    <x v="3"/>
    <n v="4"/>
    <n v="61"/>
    <n v="45436"/>
    <s v="04:57:03"/>
    <n v="4"/>
    <n v="617.76"/>
    <n v="0.2"/>
    <n v="494.20799999999997"/>
    <n v="555.20799999999997"/>
    <x v="63"/>
    <s v="InTime"/>
    <n v="5"/>
    <n v="50"/>
  </r>
  <r>
    <x v="21"/>
    <s v="Angela"/>
    <s v="Evans"/>
    <x v="21"/>
    <n v="52"/>
    <x v="2"/>
    <x v="1"/>
    <s v="angela.evans@outlook.com"/>
    <s v="16031 David Mountain Suite 431, Susanborough, PA 01910"/>
    <x v="107"/>
    <x v="99"/>
    <s v="00:17:47"/>
    <x v="15"/>
    <n v="461.07"/>
    <n v="1"/>
    <x v="3"/>
    <n v="7"/>
    <n v="57"/>
    <n v="45434"/>
    <s v="21:42:51"/>
    <n v="7"/>
    <n v="461.07"/>
    <n v="0.2"/>
    <n v="368.85599999999999"/>
    <n v="425.85599999999999"/>
    <x v="21"/>
    <s v="InTime"/>
    <n v="5"/>
    <n v="50"/>
  </r>
  <r>
    <x v="64"/>
    <s v="Bruce"/>
    <s v="Allen"/>
    <x v="64"/>
    <n v="32"/>
    <x v="1"/>
    <x v="0"/>
    <s v="bruce.allen@rediffmail.com"/>
    <s v="2417 Brown Ford, West Timothyside, RI 45629"/>
    <x v="108"/>
    <x v="100"/>
    <s v="01:46:15"/>
    <x v="27"/>
    <n v="496.59"/>
    <n v="5"/>
    <x v="3"/>
    <n v="1"/>
    <n v="40"/>
    <n v="45025"/>
    <s v="22:28:20"/>
    <n v="4"/>
    <n v="2482.9499999999998"/>
    <n v="0.2"/>
    <n v="1986.36"/>
    <n v="2026.36"/>
    <x v="64"/>
    <s v="Late"/>
    <n v="4"/>
    <n v="50"/>
  </r>
  <r>
    <x v="65"/>
    <s v="Lisa"/>
    <s v="Miller"/>
    <x v="65"/>
    <n v="70"/>
    <x v="1"/>
    <x v="3"/>
    <s v="lisa.miller@gmail.com"/>
    <s v="89748 Campbell Drive, South Tannerland, WI 13143"/>
    <x v="109"/>
    <x v="101"/>
    <s v="09:44:25"/>
    <x v="13"/>
    <n v="104.18"/>
    <n v="2"/>
    <x v="0"/>
    <n v="2"/>
    <n v="40"/>
    <n v="45010"/>
    <s v="09:50:58"/>
    <n v="5"/>
    <n v="208.36"/>
    <n v="0.08"/>
    <n v="191.69120000000001"/>
    <n v="231.69120000000001"/>
    <x v="65"/>
    <s v="Late"/>
    <n v="3"/>
    <n v="50"/>
  </r>
  <r>
    <x v="66"/>
    <s v="Melissa"/>
    <s v="Levy"/>
    <x v="66"/>
    <n v="30"/>
    <x v="0"/>
    <x v="5"/>
    <s v="melissa.levy@rediffmail.com"/>
    <s v="3303 Kennedy Springs Suite 830, East Amybury, MI 95595"/>
    <x v="110"/>
    <x v="102"/>
    <s v="20:32:03"/>
    <x v="44"/>
    <n v="110.95"/>
    <n v="2"/>
    <x v="0"/>
    <n v="4"/>
    <n v="68"/>
    <n v="45408"/>
    <s v="16:26:05"/>
    <n v="2"/>
    <n v="221.9"/>
    <n v="0.08"/>
    <n v="204.148"/>
    <n v="272.14800000000002"/>
    <x v="66"/>
    <s v="BeforeTime"/>
    <n v="4"/>
    <n v="50"/>
  </r>
  <r>
    <x v="59"/>
    <s v="Beth"/>
    <s v="Mason"/>
    <x v="59"/>
    <n v="45"/>
    <x v="2"/>
    <x v="3"/>
    <s v="beth.mason@outlook.com"/>
    <s v="58998 Sherry Haven, East Richard, FL 90775"/>
    <x v="111"/>
    <x v="18"/>
    <s v="12:57:10"/>
    <x v="27"/>
    <n v="496.59"/>
    <n v="2"/>
    <x v="2"/>
    <n v="5"/>
    <n v="40"/>
    <n v="45667"/>
    <s v="19:04:22"/>
    <n v="2"/>
    <n v="993.18"/>
    <n v="0"/>
    <n v="993.18"/>
    <n v="993.18"/>
    <x v="59"/>
    <s v="BeforeTime"/>
    <n v="1"/>
    <n v="50"/>
  </r>
  <r>
    <x v="47"/>
    <s v="Mitchell"/>
    <s v="Parker"/>
    <x v="47"/>
    <n v="39"/>
    <x v="2"/>
    <x v="1"/>
    <s v="mitchell.parker@yahoo.com"/>
    <s v="PSC 3316, Box 9303, APO AE 29513"/>
    <x v="112"/>
    <x v="103"/>
    <s v="14:16:13"/>
    <x v="8"/>
    <n v="257.06"/>
    <n v="4"/>
    <x v="3"/>
    <n v="3"/>
    <n v="50"/>
    <n v="45401"/>
    <s v="11:54:49"/>
    <n v="4"/>
    <n v="1028.24"/>
    <n v="0.2"/>
    <n v="822.59199999999998"/>
    <n v="872.59199999999998"/>
    <x v="47"/>
    <s v="Late"/>
    <n v="4"/>
    <n v="50"/>
  </r>
  <r>
    <x v="57"/>
    <s v="Joseph"/>
    <s v="Gaines"/>
    <x v="57"/>
    <n v="47"/>
    <x v="2"/>
    <x v="2"/>
    <s v="joseph.gaines@outlook.com"/>
    <s v="37549 Pope Isle Apt. 202, Tylerborough, MO 60042"/>
    <x v="113"/>
    <x v="103"/>
    <s v="05:44:11"/>
    <x v="45"/>
    <n v="381.73"/>
    <n v="4"/>
    <x v="4"/>
    <n v="1"/>
    <n v="66"/>
    <n v="45400"/>
    <s v="18:54:47"/>
    <n v="3"/>
    <n v="1526.92"/>
    <n v="0.1"/>
    <n v="1374.2280000000001"/>
    <n v="1440.2280000000001"/>
    <x v="57"/>
    <s v="Late"/>
    <n v="4"/>
    <n v="50"/>
  </r>
  <r>
    <x v="67"/>
    <s v="Barbara"/>
    <s v="Fuller"/>
    <x v="67"/>
    <n v="43"/>
    <x v="2"/>
    <x v="5"/>
    <s v="barbara.fuller@rediffmail.com"/>
    <s v="134 Mcintosh Unions Suite 574, Lake Laura, DE 96577"/>
    <x v="114"/>
    <x v="104"/>
    <s v="19:28:31"/>
    <x v="28"/>
    <n v="431.44"/>
    <n v="5"/>
    <x v="1"/>
    <n v="4"/>
    <n v="42"/>
    <n v="45280"/>
    <s v="16:45:09"/>
    <n v="4"/>
    <n v="2157.1999999999998"/>
    <n v="0.15"/>
    <n v="1833.62"/>
    <n v="1875.62"/>
    <x v="67"/>
    <s v="InTime"/>
    <n v="12"/>
    <n v="50"/>
  </r>
  <r>
    <x v="52"/>
    <s v="Brandon"/>
    <s v="Cruz"/>
    <x v="52"/>
    <n v="32"/>
    <x v="2"/>
    <x v="3"/>
    <s v="brandon.cruz@gmail.com"/>
    <s v="9296 Villanueva Branch, East Kevin, CO 93912"/>
    <x v="115"/>
    <x v="105"/>
    <s v="06:22:42"/>
    <x v="9"/>
    <n v="175.93"/>
    <n v="5"/>
    <x v="2"/>
    <n v="5"/>
    <n v="63"/>
    <n v="45138"/>
    <s v="11:58:32"/>
    <n v="7"/>
    <n v="879.65000000000009"/>
    <n v="0"/>
    <n v="879.65000000000009"/>
    <n v="879.65000000000009"/>
    <x v="52"/>
    <s v="Late"/>
    <n v="7"/>
    <n v="50"/>
  </r>
  <r>
    <x v="8"/>
    <s v="Bobby"/>
    <s v="Forbes"/>
    <x v="8"/>
    <n v="20"/>
    <x v="0"/>
    <x v="3"/>
    <s v="bobby.forbes@gmail.com"/>
    <s v="3079 John Parkway Suite 961, Port Kristaview, MT 91019"/>
    <x v="116"/>
    <x v="106"/>
    <s v="03:53:04"/>
    <x v="2"/>
    <n v="202.54"/>
    <n v="5"/>
    <x v="0"/>
    <n v="2"/>
    <n v="68"/>
    <n v="45159"/>
    <s v="15:27:26"/>
    <n v="3"/>
    <n v="1012.6999999999999"/>
    <n v="0.08"/>
    <n v="931.68399999999997"/>
    <n v="999.68399999999997"/>
    <x v="8"/>
    <s v="Late"/>
    <n v="8"/>
    <n v="50"/>
  </r>
  <r>
    <x v="56"/>
    <s v="Kelli"/>
    <s v="Smith"/>
    <x v="56"/>
    <n v="18"/>
    <x v="1"/>
    <x v="1"/>
    <s v="kelli.smith@rediffmail.com"/>
    <s v="788 Kristina Lane, Montoyaside, VA 90756"/>
    <x v="117"/>
    <x v="107"/>
    <s v="13:06:48"/>
    <x v="8"/>
    <n v="257.06"/>
    <n v="4"/>
    <x v="4"/>
    <n v="1"/>
    <n v="65"/>
    <n v="45025"/>
    <s v="01:22:23"/>
    <n v="2"/>
    <n v="1028.24"/>
    <n v="0.1"/>
    <n v="925.41599999999994"/>
    <n v="990.41599999999994"/>
    <x v="56"/>
    <s v="Late"/>
    <n v="4"/>
    <n v="50"/>
  </r>
  <r>
    <x v="68"/>
    <s v="Kristina"/>
    <s v="Haynes"/>
    <x v="68"/>
    <n v="27"/>
    <x v="0"/>
    <x v="1"/>
    <s v="kristina.haynes@yahoo.com"/>
    <s v="18295 Thomas River, Kochville, NH 80868"/>
    <x v="118"/>
    <x v="89"/>
    <s v="10:28:03"/>
    <x v="46"/>
    <n v="20"/>
    <n v="1"/>
    <x v="4"/>
    <n v="4"/>
    <n v="68"/>
    <n v="45185"/>
    <s v="23:08:52"/>
    <n v="2"/>
    <n v="20"/>
    <n v="0.1"/>
    <n v="18"/>
    <n v="86"/>
    <x v="68"/>
    <s v="BeforeTime"/>
    <n v="9"/>
    <n v="50"/>
  </r>
  <r>
    <x v="69"/>
    <s v="Lindsey"/>
    <s v="Byrd"/>
    <x v="69"/>
    <n v="32"/>
    <x v="0"/>
    <x v="5"/>
    <s v="lindsey.byrd@rediffmail.com"/>
    <s v="USCGC Harper, FPO AA 38349"/>
    <x v="119"/>
    <x v="108"/>
    <s v="22:11:06"/>
    <x v="14"/>
    <n v="20.7"/>
    <n v="2"/>
    <x v="2"/>
    <n v="7"/>
    <n v="43"/>
    <n v="45107"/>
    <s v="11:35:56"/>
    <n v="1"/>
    <n v="41.4"/>
    <n v="0"/>
    <n v="41.4"/>
    <n v="41.4"/>
    <x v="69"/>
    <s v="BeforeTime"/>
    <n v="6"/>
    <n v="50"/>
  </r>
  <r>
    <x v="12"/>
    <s v="Joshua"/>
    <s v="Campbell"/>
    <x v="12"/>
    <n v="24"/>
    <x v="0"/>
    <x v="5"/>
    <s v="joshua.campbell@gmail.com"/>
    <s v="70426 Lindsey Overpass Apt. 030, Jessicafurt, AR 46269"/>
    <x v="120"/>
    <x v="109"/>
    <s v="14:00:52"/>
    <x v="45"/>
    <n v="381.73"/>
    <n v="2"/>
    <x v="2"/>
    <n v="6"/>
    <n v="41"/>
    <n v="45008"/>
    <s v="04:39:06"/>
    <n v="5"/>
    <n v="763.46"/>
    <n v="0"/>
    <n v="763.46"/>
    <n v="763.46"/>
    <x v="12"/>
    <s v="BeforeTime"/>
    <n v="3"/>
    <n v="50"/>
  </r>
  <r>
    <x v="26"/>
    <s v="Heather"/>
    <s v="Schneider"/>
    <x v="26"/>
    <n v="48"/>
    <x v="1"/>
    <x v="3"/>
    <s v="heather.schneider@outlook.com"/>
    <s v="57940 Susan Creek Apt. 541, Port Aliciamouth, OR 90221"/>
    <x v="121"/>
    <x v="110"/>
    <s v="07:11:09"/>
    <x v="24"/>
    <n v="481.48"/>
    <n v="1"/>
    <x v="0"/>
    <n v="1"/>
    <n v="69"/>
    <n v="45503"/>
    <s v="14:05:53"/>
    <n v="4"/>
    <n v="481.48"/>
    <n v="0.08"/>
    <n v="442.96160000000003"/>
    <n v="511.96160000000003"/>
    <x v="26"/>
    <s v="Late"/>
    <n v="7"/>
    <n v="50"/>
  </r>
  <r>
    <x v="51"/>
    <s v="Jason"/>
    <s v="Nguyen"/>
    <x v="51"/>
    <n v="51"/>
    <x v="2"/>
    <x v="4"/>
    <s v="jason.nguyen@yahoo.com"/>
    <s v="7112 Travis Glens Suite 790, Crystalland, WV 38373"/>
    <x v="122"/>
    <x v="111"/>
    <s v="12:09:51"/>
    <x v="25"/>
    <n v="77.84"/>
    <n v="2"/>
    <x v="0"/>
    <n v="6"/>
    <n v="36"/>
    <n v="45341"/>
    <s v="05:11:05"/>
    <n v="6"/>
    <n v="155.68"/>
    <n v="0.08"/>
    <n v="143.22560000000001"/>
    <n v="179.22560000000001"/>
    <x v="51"/>
    <s v="InTime"/>
    <n v="2"/>
    <n v="50"/>
  </r>
  <r>
    <x v="36"/>
    <s v="Jason"/>
    <s v="Lopez"/>
    <x v="36"/>
    <n v="40"/>
    <x v="2"/>
    <x v="6"/>
    <s v="jason.lopez@outlook.com"/>
    <s v="934 Levine View, Brentport, NE 38210"/>
    <x v="123"/>
    <x v="112"/>
    <s v="10:51:20"/>
    <x v="34"/>
    <n v="136.30000000000001"/>
    <n v="1"/>
    <x v="3"/>
    <n v="4"/>
    <n v="41"/>
    <n v="45189"/>
    <s v="23:53:27"/>
    <n v="3"/>
    <n v="136.30000000000001"/>
    <n v="0.2"/>
    <n v="109.04"/>
    <n v="150.04000000000002"/>
    <x v="36"/>
    <s v="BeforeTime"/>
    <n v="9"/>
    <n v="50"/>
  </r>
  <r>
    <x v="38"/>
    <s v="John"/>
    <s v="Ramirez"/>
    <x v="38"/>
    <n v="28"/>
    <x v="2"/>
    <x v="4"/>
    <s v="john.ramirez@outlook.com"/>
    <s v="02797 Martin Landing, South Michelle, VT 98781"/>
    <x v="124"/>
    <x v="55"/>
    <s v="23:40:15"/>
    <x v="43"/>
    <n v="424.82"/>
    <n v="3"/>
    <x v="0"/>
    <n v="2"/>
    <n v="67"/>
    <n v="45215"/>
    <s v="20:14:00"/>
    <n v="2"/>
    <n v="1274.46"/>
    <n v="0.08"/>
    <n v="1172.5032000000001"/>
    <n v="1239.5032000000001"/>
    <x v="38"/>
    <s v="InTime"/>
    <n v="10"/>
    <n v="50"/>
  </r>
  <r>
    <x v="16"/>
    <s v="Traci"/>
    <s v="Jones"/>
    <x v="16"/>
    <n v="34"/>
    <x v="0"/>
    <x v="3"/>
    <s v="traci.jones@yahoo.com"/>
    <s v="4016 Ryan Passage, Collinsside, PA 88777"/>
    <x v="125"/>
    <x v="113"/>
    <s v="01:24:01"/>
    <x v="34"/>
    <n v="136.30000000000001"/>
    <n v="2"/>
    <x v="4"/>
    <n v="3"/>
    <n v="68"/>
    <n v="45674"/>
    <s v="16:29:02"/>
    <n v="7"/>
    <n v="272.60000000000002"/>
    <n v="0.1"/>
    <n v="245.34000000000003"/>
    <n v="313.34000000000003"/>
    <x v="16"/>
    <s v="Late"/>
    <n v="1"/>
    <n v="50"/>
  </r>
  <r>
    <x v="11"/>
    <s v="Amy"/>
    <s v="Reid"/>
    <x v="11"/>
    <n v="44"/>
    <x v="1"/>
    <x v="3"/>
    <s v="amy.reid@rediffmail.com"/>
    <s v="6262 Simpson Village, North Danielle, RI 76074"/>
    <x v="126"/>
    <x v="93"/>
    <s v="11:34:01"/>
    <x v="28"/>
    <n v="431.44"/>
    <n v="4"/>
    <x v="1"/>
    <n v="2"/>
    <n v="66"/>
    <n v="45637"/>
    <s v="11:25:35"/>
    <n v="1"/>
    <n v="1725.76"/>
    <n v="0.15"/>
    <n v="1466.896"/>
    <n v="1532.896"/>
    <x v="11"/>
    <s v="BeforeTime"/>
    <n v="12"/>
    <n v="50"/>
  </r>
  <r>
    <x v="63"/>
    <s v="Gregory"/>
    <s v="Lee"/>
    <x v="63"/>
    <n v="26"/>
    <x v="2"/>
    <x v="2"/>
    <s v="gregory.lee@rediffmail.com"/>
    <s v="619 Parker Turnpike Apt. 025, West Brucehaven, ID 48437"/>
    <x v="127"/>
    <x v="114"/>
    <s v="02:04:13"/>
    <x v="16"/>
    <n v="132.97"/>
    <n v="5"/>
    <x v="3"/>
    <n v="3"/>
    <n v="45"/>
    <n v="45452"/>
    <s v="19:20:55"/>
    <n v="2"/>
    <n v="664.85"/>
    <n v="0.2"/>
    <n v="531.88"/>
    <n v="576.88"/>
    <x v="63"/>
    <s v="BeforeTime"/>
    <n v="6"/>
    <n v="50"/>
  </r>
  <r>
    <x v="51"/>
    <s v="Jason"/>
    <s v="Nguyen"/>
    <x v="51"/>
    <n v="51"/>
    <x v="2"/>
    <x v="4"/>
    <s v="jason.nguyen@yahoo.com"/>
    <s v="7112 Travis Glens Suite 790, Crystalland, WV 38373"/>
    <x v="128"/>
    <x v="115"/>
    <s v="22:18:21"/>
    <x v="12"/>
    <n v="272.51"/>
    <n v="4"/>
    <x v="2"/>
    <n v="2"/>
    <n v="42"/>
    <n v="45599"/>
    <s v="12:35:14"/>
    <n v="1"/>
    <n v="1090.04"/>
    <n v="0"/>
    <n v="1090.04"/>
    <n v="1090.04"/>
    <x v="51"/>
    <s v="BeforeTime"/>
    <n v="11"/>
    <n v="50"/>
  </r>
  <r>
    <x v="1"/>
    <s v="Anthony"/>
    <s v="Thomas"/>
    <x v="1"/>
    <n v="53"/>
    <x v="1"/>
    <x v="1"/>
    <s v="anthony.thomas@rediffmail.com"/>
    <s v="931 Christopher Ways Suite 833, North Michelle, IN 53484"/>
    <x v="129"/>
    <x v="116"/>
    <s v="08:18:11"/>
    <x v="2"/>
    <n v="202.54"/>
    <n v="2"/>
    <x v="3"/>
    <n v="6"/>
    <n v="70"/>
    <n v="45594"/>
    <s v="13:38:46"/>
    <n v="5"/>
    <n v="405.08"/>
    <n v="0.2"/>
    <n v="324.06399999999996"/>
    <n v="394.06399999999996"/>
    <x v="1"/>
    <s v="BeforeTime"/>
    <n v="10"/>
    <n v="50"/>
  </r>
  <r>
    <x v="6"/>
    <s v="Marcus"/>
    <s v="Valenzuela"/>
    <x v="6"/>
    <n v="39"/>
    <x v="0"/>
    <x v="0"/>
    <s v="marcus.valenzuela@yahoo.com"/>
    <s v="694 Graham Prairie Apt. 887, Jimenezfurt, MI 33044"/>
    <x v="130"/>
    <x v="117"/>
    <s v="10:44:36"/>
    <x v="34"/>
    <n v="136.30000000000001"/>
    <n v="2"/>
    <x v="4"/>
    <n v="2"/>
    <n v="51"/>
    <n v="45694"/>
    <s v="23:51:56"/>
    <n v="5"/>
    <n v="272.60000000000002"/>
    <n v="0.1"/>
    <n v="245.34000000000003"/>
    <n v="296.34000000000003"/>
    <x v="6"/>
    <s v="Late"/>
    <n v="2"/>
    <n v="50"/>
  </r>
  <r>
    <x v="20"/>
    <s v="John"/>
    <s v="Herrera"/>
    <x v="20"/>
    <n v="64"/>
    <x v="1"/>
    <x v="1"/>
    <s v="john.herrera@outlook.com"/>
    <s v="61263 Jacob Isle, Amandatown, TN 34321"/>
    <x v="131"/>
    <x v="118"/>
    <s v="17:09:22"/>
    <x v="39"/>
    <n v="403.03"/>
    <n v="5"/>
    <x v="2"/>
    <n v="7"/>
    <n v="52"/>
    <n v="45097"/>
    <s v="16:24:38"/>
    <n v="3"/>
    <n v="2015.1499999999999"/>
    <n v="0"/>
    <n v="2015.1499999999999"/>
    <n v="2015.1499999999999"/>
    <x v="20"/>
    <s v="BeforeTime"/>
    <n v="6"/>
    <n v="50"/>
  </r>
  <r>
    <x v="31"/>
    <s v="Donna"/>
    <s v="Oneill"/>
    <x v="31"/>
    <n v="70"/>
    <x v="0"/>
    <x v="6"/>
    <s v="donna.oneill@yahoo.com"/>
    <s v="464 Carolyn Crest Suite 738, Lake Isaiah, CA 66153"/>
    <x v="132"/>
    <x v="119"/>
    <s v="07:07:24"/>
    <x v="39"/>
    <n v="403.03"/>
    <n v="4"/>
    <x v="4"/>
    <n v="6"/>
    <n v="47"/>
    <n v="45283"/>
    <s v="01:21:39"/>
    <n v="2"/>
    <n v="1612.12"/>
    <n v="0.1"/>
    <n v="1450.9079999999999"/>
    <n v="1497.9079999999999"/>
    <x v="31"/>
    <s v="BeforeTime"/>
    <n v="12"/>
    <n v="50"/>
  </r>
  <r>
    <x v="70"/>
    <s v="Edward"/>
    <s v="Black"/>
    <x v="70"/>
    <n v="42"/>
    <x v="0"/>
    <x v="2"/>
    <s v="edward.black@gmail.com"/>
    <s v="5879 Susan Via Apt. 886, Sandovalbury, WV 61449"/>
    <x v="133"/>
    <x v="120"/>
    <s v="07:27:27"/>
    <x v="10"/>
    <n v="190.1"/>
    <n v="5"/>
    <x v="3"/>
    <n v="4"/>
    <n v="37"/>
    <n v="44984"/>
    <s v="14:08:36"/>
    <n v="5"/>
    <n v="950.5"/>
    <n v="0.2"/>
    <n v="760.4"/>
    <n v="797.4"/>
    <x v="70"/>
    <s v="Late"/>
    <n v="2"/>
    <n v="50"/>
  </r>
  <r>
    <x v="71"/>
    <s v="James"/>
    <s v="Brown"/>
    <x v="71"/>
    <n v="60"/>
    <x v="0"/>
    <x v="4"/>
    <s v="james.brown@yahoo.com"/>
    <s v="221 Frey Crossing Suite 192, South Taylorland, HI 72875"/>
    <x v="134"/>
    <x v="121"/>
    <s v="00:30:57"/>
    <x v="34"/>
    <n v="136.30000000000001"/>
    <n v="4"/>
    <x v="2"/>
    <n v="5"/>
    <n v="61"/>
    <n v="45668"/>
    <s v="15:41:07"/>
    <n v="5"/>
    <n v="545.20000000000005"/>
    <n v="0"/>
    <n v="545.20000000000005"/>
    <n v="545.20000000000005"/>
    <x v="71"/>
    <s v="InTime"/>
    <n v="1"/>
    <n v="50"/>
  </r>
  <r>
    <x v="72"/>
    <s v="Leslie"/>
    <s v="Montgomery"/>
    <x v="72"/>
    <n v="26"/>
    <x v="1"/>
    <x v="5"/>
    <s v="leslie.montgomery@gmail.com"/>
    <s v="135 Teresa Oval Apt. 825, East Katherineport, WY 13714"/>
    <x v="135"/>
    <x v="122"/>
    <s v="20:10:38"/>
    <x v="42"/>
    <n v="235.63"/>
    <n v="1"/>
    <x v="3"/>
    <n v="2"/>
    <n v="66"/>
    <n v="45233"/>
    <s v="03:43:44"/>
    <n v="7"/>
    <n v="235.63"/>
    <n v="0.2"/>
    <n v="188.50399999999999"/>
    <n v="254.50399999999999"/>
    <x v="72"/>
    <s v="Late"/>
    <n v="10"/>
    <n v="50"/>
  </r>
  <r>
    <x v="73"/>
    <s v="Susan"/>
    <s v="Thompson"/>
    <x v="73"/>
    <n v="37"/>
    <x v="2"/>
    <x v="7"/>
    <s v="susan.thompson@outlook.com"/>
    <s v="47821 William Station, East Ashleymouth, FL 20562"/>
    <x v="136"/>
    <x v="123"/>
    <s v="14:57:06"/>
    <x v="41"/>
    <n v="433.62"/>
    <n v="4"/>
    <x v="3"/>
    <n v="3"/>
    <n v="36"/>
    <n v="45252"/>
    <s v="21:20:28"/>
    <n v="3"/>
    <n v="1734.48"/>
    <n v="0.2"/>
    <n v="1387.5840000000001"/>
    <n v="1423.5840000000001"/>
    <x v="73"/>
    <s v="InTime"/>
    <n v="11"/>
    <n v="50"/>
  </r>
  <r>
    <x v="67"/>
    <s v="Barbara"/>
    <s v="Fuller"/>
    <x v="67"/>
    <n v="43"/>
    <x v="2"/>
    <x v="5"/>
    <s v="barbara.fuller@rediffmail.com"/>
    <s v="134 Mcintosh Unions Suite 574, Lake Laura, DE 96577"/>
    <x v="137"/>
    <x v="124"/>
    <s v="10:20:44"/>
    <x v="21"/>
    <n v="157.63999999999999"/>
    <n v="5"/>
    <x v="2"/>
    <n v="7"/>
    <n v="36"/>
    <n v="45332"/>
    <s v="23:29:03"/>
    <n v="1"/>
    <n v="788.19999999999993"/>
    <n v="0"/>
    <n v="788.19999999999993"/>
    <n v="788.19999999999993"/>
    <x v="67"/>
    <s v="BeforeTime"/>
    <n v="2"/>
    <n v="50"/>
  </r>
  <r>
    <x v="5"/>
    <s v="David"/>
    <s v="Delacruz"/>
    <x v="5"/>
    <n v="26"/>
    <x v="1"/>
    <x v="3"/>
    <s v="david.delacruz@rediffmail.com"/>
    <s v="USNS Ray, FPO AE 20238"/>
    <x v="138"/>
    <x v="125"/>
    <s v="14:09:23"/>
    <x v="22"/>
    <n v="158.53"/>
    <n v="5"/>
    <x v="2"/>
    <n v="4"/>
    <n v="66"/>
    <n v="45111"/>
    <s v="10:17:52"/>
    <n v="3"/>
    <n v="792.65"/>
    <n v="0"/>
    <n v="792.65"/>
    <n v="792.65"/>
    <x v="5"/>
    <s v="BeforeTime"/>
    <n v="7"/>
    <n v="50"/>
  </r>
  <r>
    <x v="15"/>
    <s v="Mallory"/>
    <s v="Mitchell"/>
    <x v="15"/>
    <n v="42"/>
    <x v="1"/>
    <x v="6"/>
    <s v="mallory.mitchell@yahoo.com"/>
    <s v="710 Anthony Wall Suite 137, East Davidstad, NV 61494"/>
    <x v="139"/>
    <x v="126"/>
    <s v="10:48:56"/>
    <x v="8"/>
    <n v="257.06"/>
    <n v="3"/>
    <x v="0"/>
    <n v="6"/>
    <n v="65"/>
    <n v="45289"/>
    <s v="05:48:39"/>
    <n v="6"/>
    <n v="771.18000000000006"/>
    <n v="0.08"/>
    <n v="709.48560000000009"/>
    <n v="774.48560000000009"/>
    <x v="15"/>
    <s v="InTime"/>
    <n v="12"/>
    <n v="50"/>
  </r>
  <r>
    <x v="69"/>
    <s v="Lindsey"/>
    <s v="Byrd"/>
    <x v="69"/>
    <n v="32"/>
    <x v="0"/>
    <x v="5"/>
    <s v="lindsey.byrd@rediffmail.com"/>
    <s v="USCGC Harper, FPO AA 38349"/>
    <x v="140"/>
    <x v="127"/>
    <s v="10:33:35"/>
    <x v="44"/>
    <n v="110.95"/>
    <n v="4"/>
    <x v="1"/>
    <n v="1"/>
    <n v="60"/>
    <n v="45541"/>
    <s v="05:24:44"/>
    <n v="4"/>
    <n v="443.8"/>
    <n v="0.15"/>
    <n v="377.23"/>
    <n v="437.23"/>
    <x v="69"/>
    <s v="Late"/>
    <n v="9"/>
    <n v="50"/>
  </r>
  <r>
    <x v="53"/>
    <s v="Jodi"/>
    <s v="Whitney"/>
    <x v="53"/>
    <n v="33"/>
    <x v="2"/>
    <x v="6"/>
    <s v="jodi.whitney@yahoo.com"/>
    <s v="72876 Lara Key Suite 383, Gutierrezton, OR 71683"/>
    <x v="141"/>
    <x v="128"/>
    <s v="22:34:39"/>
    <x v="24"/>
    <n v="481.48"/>
    <n v="5"/>
    <x v="0"/>
    <n v="6"/>
    <n v="44"/>
    <n v="45612"/>
    <s v="02:59:45"/>
    <n v="3"/>
    <n v="2407.4"/>
    <n v="0.08"/>
    <n v="2214.808"/>
    <n v="2258.808"/>
    <x v="53"/>
    <s v="BeforeTime"/>
    <n v="11"/>
    <n v="50"/>
  </r>
  <r>
    <x v="49"/>
    <s v="Sarah"/>
    <s v="Butler"/>
    <x v="49"/>
    <n v="64"/>
    <x v="0"/>
    <x v="0"/>
    <s v="sarah.butler@rediffmail.com"/>
    <s v="14131 Edwin Shore Apt. 190, Deniseberg, MD 90905"/>
    <x v="142"/>
    <x v="129"/>
    <s v="19:56:54"/>
    <x v="47"/>
    <n v="292.14999999999998"/>
    <n v="4"/>
    <x v="3"/>
    <n v="1"/>
    <n v="58"/>
    <n v="45577"/>
    <s v="02:22:56"/>
    <n v="1"/>
    <n v="1168.5999999999999"/>
    <n v="0.2"/>
    <n v="934.87999999999988"/>
    <n v="992.87999999999988"/>
    <x v="49"/>
    <s v="InTime"/>
    <n v="10"/>
    <n v="50"/>
  </r>
  <r>
    <x v="32"/>
    <s v="Robert"/>
    <s v="Castillo"/>
    <x v="32"/>
    <n v="32"/>
    <x v="1"/>
    <x v="6"/>
    <s v="robert.castillo@gmail.com"/>
    <s v="7143 Brandon Skyway Suite 899, Tylerton, IA 21756"/>
    <x v="143"/>
    <x v="130"/>
    <s v="19:28:23"/>
    <x v="46"/>
    <n v="20"/>
    <n v="5"/>
    <x v="1"/>
    <n v="7"/>
    <n v="40"/>
    <n v="45203"/>
    <s v="11:32:19"/>
    <n v="4"/>
    <n v="100"/>
    <n v="0.15"/>
    <n v="85"/>
    <n v="125"/>
    <x v="32"/>
    <s v="BeforeTime"/>
    <n v="9"/>
    <n v="50"/>
  </r>
  <r>
    <x v="32"/>
    <s v="Robert"/>
    <s v="Castillo"/>
    <x v="32"/>
    <n v="32"/>
    <x v="1"/>
    <x v="6"/>
    <s v="robert.castillo@gmail.com"/>
    <s v="7143 Brandon Skyway Suite 899, Tylerton, IA 21756"/>
    <x v="144"/>
    <x v="131"/>
    <s v="09:43:17"/>
    <x v="3"/>
    <n v="405"/>
    <n v="2"/>
    <x v="1"/>
    <n v="7"/>
    <n v="55"/>
    <n v="45680"/>
    <s v="16:27:25"/>
    <n v="3"/>
    <n v="810"/>
    <n v="0.15"/>
    <n v="688.5"/>
    <n v="743.5"/>
    <x v="32"/>
    <s v="BeforeTime"/>
    <n v="1"/>
    <n v="50"/>
  </r>
  <r>
    <x v="54"/>
    <s v="Ashley"/>
    <s v="Romero"/>
    <x v="54"/>
    <n v="35"/>
    <x v="0"/>
    <x v="0"/>
    <s v="ashley.romero@yahoo.com"/>
    <s v="547 Kerry Expressway, Lake Amanda, AR 20321"/>
    <x v="145"/>
    <x v="132"/>
    <s v="06:49:56"/>
    <x v="7"/>
    <n v="48.45"/>
    <n v="5"/>
    <x v="4"/>
    <n v="7"/>
    <n v="53"/>
    <n v="45588"/>
    <s v="22:10:44"/>
    <n v="7"/>
    <n v="242.25"/>
    <n v="0.1"/>
    <n v="218.02500000000001"/>
    <n v="271.02499999999998"/>
    <x v="54"/>
    <s v="InTime"/>
    <n v="10"/>
    <n v="50"/>
  </r>
  <r>
    <x v="47"/>
    <s v="Mitchell"/>
    <s v="Parker"/>
    <x v="47"/>
    <n v="39"/>
    <x v="2"/>
    <x v="1"/>
    <s v="mitchell.parker@yahoo.com"/>
    <s v="PSC 3316, Box 9303, APO AE 29513"/>
    <x v="146"/>
    <x v="128"/>
    <s v="00:43:57"/>
    <x v="2"/>
    <n v="202.54"/>
    <n v="1"/>
    <x v="0"/>
    <n v="4"/>
    <n v="48"/>
    <n v="45611"/>
    <s v="04:56:51"/>
    <n v="2"/>
    <n v="202.54"/>
    <n v="0.08"/>
    <n v="186.33679999999998"/>
    <n v="234.33679999999998"/>
    <x v="47"/>
    <s v="BeforeTime"/>
    <n v="11"/>
    <n v="50"/>
  </r>
  <r>
    <x v="68"/>
    <s v="Kristina"/>
    <s v="Haynes"/>
    <x v="68"/>
    <n v="27"/>
    <x v="0"/>
    <x v="1"/>
    <s v="kristina.haynes@yahoo.com"/>
    <s v="18295 Thomas River, Kochville, NH 80868"/>
    <x v="147"/>
    <x v="133"/>
    <s v="15:45:08"/>
    <x v="31"/>
    <n v="286.07"/>
    <n v="5"/>
    <x v="3"/>
    <n v="1"/>
    <n v="52"/>
    <n v="44986"/>
    <s v="19:53:01"/>
    <n v="3"/>
    <n v="1430.35"/>
    <n v="0.2"/>
    <n v="1144.28"/>
    <n v="1196.28"/>
    <x v="68"/>
    <s v="Late"/>
    <n v="2"/>
    <n v="50"/>
  </r>
  <r>
    <x v="44"/>
    <s v="Lori"/>
    <s v="Cook"/>
    <x v="44"/>
    <n v="18"/>
    <x v="1"/>
    <x v="1"/>
    <s v="lori.cook@rediffmail.com"/>
    <s v="86837 Bell Meadows, North Jasonshire, UT 51354"/>
    <x v="148"/>
    <x v="1"/>
    <s v="03:06:30"/>
    <x v="2"/>
    <n v="202.54"/>
    <n v="4"/>
    <x v="4"/>
    <n v="1"/>
    <n v="36"/>
    <n v="45380"/>
    <s v="06:57:51"/>
    <n v="2"/>
    <n v="810.16"/>
    <n v="0.1"/>
    <n v="729.14400000000001"/>
    <n v="765.14400000000001"/>
    <x v="44"/>
    <s v="Late"/>
    <n v="3"/>
    <n v="50"/>
  </r>
  <r>
    <x v="25"/>
    <s v="Teresa"/>
    <s v="Harvey"/>
    <x v="25"/>
    <n v="64"/>
    <x v="2"/>
    <x v="0"/>
    <s v="teresa.harvey@gmail.com"/>
    <s v="02669 Kirk Squares, Davisville, VA 51272"/>
    <x v="149"/>
    <x v="134"/>
    <s v="13:02:42"/>
    <x v="29"/>
    <n v="44.5"/>
    <n v="3"/>
    <x v="0"/>
    <n v="6"/>
    <n v="46"/>
    <n v="44991"/>
    <s v="06:40:28"/>
    <n v="2"/>
    <n v="133.5"/>
    <n v="0.08"/>
    <n v="122.82"/>
    <n v="168.82"/>
    <x v="25"/>
    <s v="BeforeTime"/>
    <n v="3"/>
    <n v="50"/>
  </r>
  <r>
    <x v="74"/>
    <s v="Amy"/>
    <s v="Griffin"/>
    <x v="74"/>
    <n v="29"/>
    <x v="0"/>
    <x v="1"/>
    <s v="amy.griffin@rediffmail.com"/>
    <s v="07350 Aaron Meadow Suite 138, Kiaraberg, AL 79545"/>
    <x v="150"/>
    <x v="135"/>
    <s v="10:25:49"/>
    <x v="24"/>
    <n v="481.48"/>
    <n v="4"/>
    <x v="2"/>
    <n v="3"/>
    <n v="54"/>
    <n v="45256"/>
    <s v="08:21:37"/>
    <n v="5"/>
    <n v="1925.92"/>
    <n v="0"/>
    <n v="1925.92"/>
    <n v="1925.92"/>
    <x v="74"/>
    <s v="Late"/>
    <n v="11"/>
    <n v="50"/>
  </r>
  <r>
    <x v="53"/>
    <s v="Jodi"/>
    <s v="Whitney"/>
    <x v="53"/>
    <n v="33"/>
    <x v="2"/>
    <x v="6"/>
    <s v="jodi.whitney@yahoo.com"/>
    <s v="72876 Lara Key Suite 383, Gutierrezton, OR 71683"/>
    <x v="151"/>
    <x v="136"/>
    <s v="04:33:43"/>
    <x v="25"/>
    <n v="77.84"/>
    <n v="5"/>
    <x v="4"/>
    <n v="1"/>
    <n v="41"/>
    <n v="45206"/>
    <s v="01:47:49"/>
    <n v="6"/>
    <n v="389.20000000000005"/>
    <n v="0.1"/>
    <n v="350.28000000000003"/>
    <n v="391.28000000000003"/>
    <x v="53"/>
    <s v="Late"/>
    <n v="10"/>
    <n v="50"/>
  </r>
  <r>
    <x v="45"/>
    <s v="Debra"/>
    <s v="Hayes"/>
    <x v="45"/>
    <n v="33"/>
    <x v="0"/>
    <x v="6"/>
    <s v="debra.hayes@yahoo.com"/>
    <s v="4601 Miller Lock, Williamsbury, IA 10943"/>
    <x v="152"/>
    <x v="137"/>
    <s v="15:45:02"/>
    <x v="27"/>
    <n v="496.59"/>
    <n v="2"/>
    <x v="4"/>
    <n v="5"/>
    <n v="40"/>
    <n v="45331"/>
    <s v="19:16:06"/>
    <n v="1"/>
    <n v="993.18"/>
    <n v="0.1"/>
    <n v="893.86199999999997"/>
    <n v="933.86199999999997"/>
    <x v="45"/>
    <s v="BeforeTime"/>
    <n v="2"/>
    <n v="50"/>
  </r>
  <r>
    <x v="25"/>
    <s v="Teresa"/>
    <s v="Harvey"/>
    <x v="25"/>
    <n v="64"/>
    <x v="2"/>
    <x v="0"/>
    <s v="teresa.harvey@gmail.com"/>
    <s v="02669 Kirk Squares, Davisville, VA 51272"/>
    <x v="153"/>
    <x v="138"/>
    <s v="18:37:45"/>
    <x v="11"/>
    <n v="220.27"/>
    <n v="3"/>
    <x v="0"/>
    <n v="6"/>
    <n v="48"/>
    <n v="45132"/>
    <s v="02:32:24"/>
    <n v="3"/>
    <n v="660.81000000000006"/>
    <n v="0.08"/>
    <n v="607.94520000000011"/>
    <n v="655.94520000000011"/>
    <x v="25"/>
    <s v="BeforeTime"/>
    <n v="7"/>
    <n v="50"/>
  </r>
  <r>
    <x v="24"/>
    <s v="Lauren"/>
    <s v="Long"/>
    <x v="24"/>
    <n v="44"/>
    <x v="0"/>
    <x v="7"/>
    <s v="lauren.long@gmail.com"/>
    <s v="258 Michael Brooks Suite 363, Arnoldview, PA 49438"/>
    <x v="154"/>
    <x v="139"/>
    <s v="20:25:23"/>
    <x v="23"/>
    <n v="129.75"/>
    <n v="1"/>
    <x v="2"/>
    <n v="7"/>
    <n v="44"/>
    <n v="45591"/>
    <s v="11:54:10"/>
    <n v="7"/>
    <n v="129.75"/>
    <n v="0"/>
    <n v="129.75"/>
    <n v="129.75"/>
    <x v="24"/>
    <s v="InTime"/>
    <n v="10"/>
    <n v="50"/>
  </r>
  <r>
    <x v="67"/>
    <s v="Barbara"/>
    <s v="Fuller"/>
    <x v="67"/>
    <n v="43"/>
    <x v="2"/>
    <x v="5"/>
    <s v="barbara.fuller@rediffmail.com"/>
    <s v="134 Mcintosh Unions Suite 574, Lake Laura, DE 96577"/>
    <x v="155"/>
    <x v="140"/>
    <s v="10:35:10"/>
    <x v="34"/>
    <n v="136.30000000000001"/>
    <n v="1"/>
    <x v="1"/>
    <n v="1"/>
    <n v="64"/>
    <n v="45296"/>
    <s v="00:12:03"/>
    <n v="5"/>
    <n v="136.30000000000001"/>
    <n v="0.15"/>
    <n v="115.85500000000002"/>
    <n v="179.85500000000002"/>
    <x v="67"/>
    <s v="Late"/>
    <n v="12"/>
    <n v="50"/>
  </r>
  <r>
    <x v="40"/>
    <s v="Mary"/>
    <s v="Knight"/>
    <x v="40"/>
    <n v="28"/>
    <x v="2"/>
    <x v="2"/>
    <s v="mary.knight@yahoo.com"/>
    <s v="907 Kimberly Hill, Murrayfort, NH 88384"/>
    <x v="156"/>
    <x v="141"/>
    <s v="21:35:45"/>
    <x v="31"/>
    <n v="286.07"/>
    <n v="2"/>
    <x v="0"/>
    <n v="3"/>
    <n v="54"/>
    <n v="45485"/>
    <s v="09:34:31"/>
    <n v="3"/>
    <n v="572.14"/>
    <n v="0.08"/>
    <n v="526.36879999999996"/>
    <n v="580.36879999999996"/>
    <x v="40"/>
    <s v="InTime"/>
    <n v="7"/>
    <n v="50"/>
  </r>
  <r>
    <x v="49"/>
    <s v="Sarah"/>
    <s v="Butler"/>
    <x v="49"/>
    <n v="64"/>
    <x v="0"/>
    <x v="0"/>
    <s v="sarah.butler@rediffmail.com"/>
    <s v="14131 Edwin Shore Apt. 190, Deniseberg, MD 90905"/>
    <x v="157"/>
    <x v="142"/>
    <s v="16:54:11"/>
    <x v="5"/>
    <n v="363.64"/>
    <n v="2"/>
    <x v="2"/>
    <n v="4"/>
    <n v="40"/>
    <n v="45091"/>
    <s v="18:09:14"/>
    <n v="2"/>
    <n v="727.28"/>
    <n v="0"/>
    <n v="727.28"/>
    <n v="727.28"/>
    <x v="49"/>
    <s v="BeforeTime"/>
    <n v="6"/>
    <n v="50"/>
  </r>
  <r>
    <x v="40"/>
    <s v="Mary"/>
    <s v="Knight"/>
    <x v="40"/>
    <n v="28"/>
    <x v="2"/>
    <x v="2"/>
    <s v="mary.knight@yahoo.com"/>
    <s v="907 Kimberly Hill, Murrayfort, NH 88384"/>
    <x v="158"/>
    <x v="143"/>
    <s v="10:04:46"/>
    <x v="40"/>
    <n v="445.81"/>
    <n v="5"/>
    <x v="0"/>
    <n v="6"/>
    <n v="70"/>
    <n v="45613"/>
    <s v="22:23:04"/>
    <n v="3"/>
    <n v="2229.0500000000002"/>
    <n v="0.08"/>
    <n v="2050.7260000000001"/>
    <n v="2120.7260000000001"/>
    <x v="40"/>
    <s v="BeforeTime"/>
    <n v="11"/>
    <n v="50"/>
  </r>
  <r>
    <x v="75"/>
    <s v="Rachael"/>
    <s v="Robinson"/>
    <x v="75"/>
    <n v="24"/>
    <x v="2"/>
    <x v="7"/>
    <s v="rachael.robinson@rediffmail.com"/>
    <s v="0889 Brady Points, Port Meganhaven, NM 26553"/>
    <x v="159"/>
    <x v="144"/>
    <s v="02:22:40"/>
    <x v="44"/>
    <n v="110.95"/>
    <n v="5"/>
    <x v="3"/>
    <n v="5"/>
    <n v="62"/>
    <n v="45047"/>
    <s v="00:47:16"/>
    <n v="2"/>
    <n v="554.75"/>
    <n v="0.2"/>
    <n v="443.8"/>
    <n v="505.8"/>
    <x v="75"/>
    <s v="BeforeTime"/>
    <n v="4"/>
    <n v="50"/>
  </r>
  <r>
    <x v="46"/>
    <s v="Brittany"/>
    <s v="Stewart"/>
    <x v="46"/>
    <n v="68"/>
    <x v="2"/>
    <x v="7"/>
    <s v="brittany.stewart@gmail.com"/>
    <s v="6250 David Loaf Suite 561, North Pamelaberg, WV 63652"/>
    <x v="160"/>
    <x v="145"/>
    <s v="21:52:14"/>
    <x v="13"/>
    <n v="104.18"/>
    <n v="4"/>
    <x v="0"/>
    <n v="4"/>
    <n v="45"/>
    <n v="45536"/>
    <s v="10:43:13"/>
    <n v="7"/>
    <n v="416.72"/>
    <n v="0.08"/>
    <n v="383.38240000000002"/>
    <n v="428.38240000000002"/>
    <x v="46"/>
    <s v="Late"/>
    <n v="8"/>
    <n v="50"/>
  </r>
  <r>
    <x v="44"/>
    <s v="Lori"/>
    <s v="Cook"/>
    <x v="44"/>
    <n v="18"/>
    <x v="1"/>
    <x v="1"/>
    <s v="lori.cook@rediffmail.com"/>
    <s v="86837 Bell Meadows, North Jasonshire, UT 51354"/>
    <x v="161"/>
    <x v="146"/>
    <s v="08:31:11"/>
    <x v="27"/>
    <n v="496.59"/>
    <n v="4"/>
    <x v="3"/>
    <n v="1"/>
    <n v="59"/>
    <n v="45541"/>
    <s v="09:56:25"/>
    <n v="6"/>
    <n v="1986.36"/>
    <n v="0.2"/>
    <n v="1589.088"/>
    <n v="1648.088"/>
    <x v="44"/>
    <s v="Late"/>
    <n v="8"/>
    <n v="50"/>
  </r>
  <r>
    <x v="8"/>
    <s v="Bobby"/>
    <s v="Forbes"/>
    <x v="8"/>
    <n v="20"/>
    <x v="0"/>
    <x v="3"/>
    <s v="bobby.forbes@gmail.com"/>
    <s v="3079 John Parkway Suite 961, Port Kristaview, MT 91019"/>
    <x v="162"/>
    <x v="147"/>
    <s v="20:48:48"/>
    <x v="48"/>
    <n v="107.47"/>
    <n v="5"/>
    <x v="3"/>
    <n v="6"/>
    <n v="48"/>
    <n v="44987"/>
    <s v="15:06:55"/>
    <n v="6"/>
    <n v="537.35"/>
    <n v="0.2"/>
    <n v="429.88"/>
    <n v="477.88"/>
    <x v="8"/>
    <s v="InTime"/>
    <n v="2"/>
    <n v="50"/>
  </r>
  <r>
    <x v="75"/>
    <s v="Rachael"/>
    <s v="Robinson"/>
    <x v="75"/>
    <n v="24"/>
    <x v="2"/>
    <x v="7"/>
    <s v="rachael.robinson@rediffmail.com"/>
    <s v="0889 Brady Points, Port Meganhaven, NM 26553"/>
    <x v="163"/>
    <x v="148"/>
    <s v="18:41:53"/>
    <x v="18"/>
    <n v="282.63"/>
    <n v="1"/>
    <x v="2"/>
    <n v="5"/>
    <n v="45"/>
    <n v="45214"/>
    <s v="19:58:13"/>
    <n v="7"/>
    <n v="282.63"/>
    <n v="0"/>
    <n v="282.63"/>
    <n v="282.63"/>
    <x v="75"/>
    <s v="Late"/>
    <n v="10"/>
    <n v="50"/>
  </r>
  <r>
    <x v="9"/>
    <s v="Joseph"/>
    <s v="Stewart"/>
    <x v="9"/>
    <n v="30"/>
    <x v="1"/>
    <x v="1"/>
    <s v="joseph.stewart@yahoo.com"/>
    <s v="4082 Wang Terrace Suite 040, Victorialand, ME 41532"/>
    <x v="164"/>
    <x v="27"/>
    <s v="05:35:11"/>
    <x v="30"/>
    <n v="369.03"/>
    <n v="1"/>
    <x v="3"/>
    <n v="1"/>
    <n v="48"/>
    <n v="45192"/>
    <s v="04:56:02"/>
    <n v="7"/>
    <n v="369.03"/>
    <n v="0.2"/>
    <n v="295.22399999999999"/>
    <n v="343.22399999999999"/>
    <x v="9"/>
    <s v="Late"/>
    <n v="9"/>
    <n v="50"/>
  </r>
  <r>
    <x v="11"/>
    <s v="Amy"/>
    <s v="Reid"/>
    <x v="11"/>
    <n v="44"/>
    <x v="1"/>
    <x v="3"/>
    <s v="amy.reid@rediffmail.com"/>
    <s v="6262 Simpson Village, North Danielle, RI 76074"/>
    <x v="165"/>
    <x v="149"/>
    <s v="11:01:20"/>
    <x v="13"/>
    <n v="104.18"/>
    <n v="2"/>
    <x v="2"/>
    <n v="2"/>
    <n v="57"/>
    <n v="45515"/>
    <s v="12:21:09"/>
    <n v="2"/>
    <n v="208.36"/>
    <n v="0"/>
    <n v="208.36"/>
    <n v="208.36"/>
    <x v="11"/>
    <s v="InTime"/>
    <n v="8"/>
    <n v="50"/>
  </r>
  <r>
    <x v="38"/>
    <s v="John"/>
    <s v="Ramirez"/>
    <x v="38"/>
    <n v="28"/>
    <x v="2"/>
    <x v="4"/>
    <s v="john.ramirez@outlook.com"/>
    <s v="02797 Martin Landing, South Michelle, VT 98781"/>
    <x v="166"/>
    <x v="150"/>
    <s v="08:29:32"/>
    <x v="11"/>
    <n v="220.27"/>
    <n v="2"/>
    <x v="3"/>
    <n v="1"/>
    <n v="42"/>
    <n v="45552"/>
    <s v="12:32:31"/>
    <n v="2"/>
    <n v="440.54"/>
    <n v="0.2"/>
    <n v="352.43200000000002"/>
    <n v="394.43200000000002"/>
    <x v="38"/>
    <s v="Late"/>
    <n v="9"/>
    <n v="50"/>
  </r>
  <r>
    <x v="52"/>
    <s v="Brandon"/>
    <s v="Cruz"/>
    <x v="52"/>
    <n v="32"/>
    <x v="2"/>
    <x v="3"/>
    <s v="brandon.cruz@gmail.com"/>
    <s v="9296 Villanueva Branch, East Kevin, CO 93912"/>
    <x v="167"/>
    <x v="22"/>
    <s v="02:56:50"/>
    <x v="42"/>
    <n v="235.63"/>
    <n v="5"/>
    <x v="0"/>
    <n v="4"/>
    <n v="52"/>
    <n v="45129"/>
    <s v="05:26:37"/>
    <n v="4"/>
    <n v="1178.1500000000001"/>
    <n v="0.08"/>
    <n v="1083.8980000000001"/>
    <n v="1135.8980000000001"/>
    <x v="52"/>
    <s v="InTime"/>
    <n v="7"/>
    <n v="50"/>
  </r>
  <r>
    <x v="58"/>
    <s v="Amy"/>
    <s v="Ellis"/>
    <x v="58"/>
    <n v="44"/>
    <x v="2"/>
    <x v="3"/>
    <s v="amy.ellis@gmail.com"/>
    <s v="217 Scott Ville, Christophermouth, NH 83776"/>
    <x v="168"/>
    <x v="112"/>
    <s v="11:18:01"/>
    <x v="1"/>
    <n v="166.28"/>
    <n v="4"/>
    <x v="3"/>
    <n v="6"/>
    <n v="36"/>
    <n v="45193"/>
    <s v="06:56:11"/>
    <n v="7"/>
    <n v="665.12"/>
    <n v="0.2"/>
    <n v="532.096"/>
    <n v="568.096"/>
    <x v="58"/>
    <s v="Late"/>
    <n v="9"/>
    <n v="50"/>
  </r>
  <r>
    <x v="9"/>
    <s v="Joseph"/>
    <s v="Stewart"/>
    <x v="9"/>
    <n v="30"/>
    <x v="1"/>
    <x v="1"/>
    <s v="joseph.stewart@yahoo.com"/>
    <s v="4082 Wang Terrace Suite 040, Victorialand, ME 41532"/>
    <x v="169"/>
    <x v="151"/>
    <s v="03:11:30"/>
    <x v="3"/>
    <n v="405"/>
    <n v="5"/>
    <x v="4"/>
    <n v="6"/>
    <n v="36"/>
    <n v="45127"/>
    <s v="18:17:55"/>
    <n v="7"/>
    <n v="2025"/>
    <n v="0.1"/>
    <n v="1822.5"/>
    <n v="1858.5"/>
    <x v="9"/>
    <s v="Late"/>
    <n v="7"/>
    <n v="50"/>
  </r>
  <r>
    <x v="13"/>
    <s v="Erin"/>
    <s v="Miller"/>
    <x v="13"/>
    <n v="46"/>
    <x v="0"/>
    <x v="6"/>
    <s v="erin.miller@gmail.com"/>
    <s v="65972 Peterson Route, Port Andrewfurt, SD 32892"/>
    <x v="170"/>
    <x v="152"/>
    <s v="04:35:15"/>
    <x v="8"/>
    <n v="257.06"/>
    <n v="2"/>
    <x v="1"/>
    <n v="7"/>
    <n v="59"/>
    <n v="45592"/>
    <s v="15:55:56"/>
    <n v="1"/>
    <n v="514.12"/>
    <n v="0.15"/>
    <n v="437.00200000000001"/>
    <n v="496.00200000000001"/>
    <x v="13"/>
    <s v="BeforeTime"/>
    <n v="10"/>
    <n v="50"/>
  </r>
  <r>
    <x v="75"/>
    <s v="Rachael"/>
    <s v="Robinson"/>
    <x v="75"/>
    <n v="24"/>
    <x v="2"/>
    <x v="7"/>
    <s v="rachael.robinson@rediffmail.com"/>
    <s v="0889 Brady Points, Port Meganhaven, NM 26553"/>
    <x v="171"/>
    <x v="77"/>
    <s v="08:45:48"/>
    <x v="29"/>
    <n v="44.5"/>
    <n v="4"/>
    <x v="0"/>
    <n v="5"/>
    <n v="40"/>
    <n v="45531"/>
    <s v="10:48:42"/>
    <n v="6"/>
    <n v="178"/>
    <n v="0.08"/>
    <n v="163.76"/>
    <n v="203.76"/>
    <x v="75"/>
    <s v="Late"/>
    <n v="8"/>
    <n v="50"/>
  </r>
  <r>
    <x v="58"/>
    <s v="Amy"/>
    <s v="Ellis"/>
    <x v="58"/>
    <n v="44"/>
    <x v="2"/>
    <x v="3"/>
    <s v="amy.ellis@gmail.com"/>
    <s v="217 Scott Ville, Christophermouth, NH 83776"/>
    <x v="172"/>
    <x v="153"/>
    <s v="09:39:48"/>
    <x v="29"/>
    <n v="44.5"/>
    <n v="2"/>
    <x v="1"/>
    <n v="5"/>
    <n v="52"/>
    <n v="45563"/>
    <s v="06:37:23"/>
    <n v="2"/>
    <n v="89"/>
    <n v="0.15"/>
    <n v="75.650000000000006"/>
    <n v="127.65"/>
    <x v="58"/>
    <s v="BeforeTime"/>
    <n v="9"/>
    <n v="50"/>
  </r>
  <r>
    <x v="57"/>
    <s v="Joseph"/>
    <s v="Gaines"/>
    <x v="57"/>
    <n v="47"/>
    <x v="2"/>
    <x v="2"/>
    <s v="joseph.gaines@outlook.com"/>
    <s v="37549 Pope Isle Apt. 202, Tylerborough, MO 60042"/>
    <x v="173"/>
    <x v="154"/>
    <s v="19:48:44"/>
    <x v="23"/>
    <n v="129.75"/>
    <n v="5"/>
    <x v="2"/>
    <n v="3"/>
    <n v="43"/>
    <n v="45057"/>
    <s v="16:27:41"/>
    <n v="6"/>
    <n v="648.75"/>
    <n v="0"/>
    <n v="648.75"/>
    <n v="648.75"/>
    <x v="57"/>
    <s v="Late"/>
    <n v="5"/>
    <n v="50"/>
  </r>
  <r>
    <x v="60"/>
    <s v="Christy"/>
    <s v="Chang"/>
    <x v="60"/>
    <n v="38"/>
    <x v="1"/>
    <x v="7"/>
    <s v="christy.chang@outlook.com"/>
    <s v="4647 Hannah Centers, Rhodesburgh, NH 89363"/>
    <x v="174"/>
    <x v="155"/>
    <s v="18:18:32"/>
    <x v="20"/>
    <n v="62.42"/>
    <n v="4"/>
    <x v="3"/>
    <n v="4"/>
    <n v="37"/>
    <n v="45321"/>
    <s v="10:39:26"/>
    <n v="3"/>
    <n v="249.68"/>
    <n v="0.2"/>
    <n v="199.744"/>
    <n v="236.744"/>
    <x v="60"/>
    <s v="BeforeTime"/>
    <n v="1"/>
    <n v="50"/>
  </r>
  <r>
    <x v="65"/>
    <s v="Lisa"/>
    <s v="Miller"/>
    <x v="65"/>
    <n v="70"/>
    <x v="1"/>
    <x v="3"/>
    <s v="lisa.miller@gmail.com"/>
    <s v="89748 Campbell Drive, South Tannerland, WI 13143"/>
    <x v="175"/>
    <x v="156"/>
    <s v="16:59:55"/>
    <x v="33"/>
    <n v="421.7"/>
    <n v="4"/>
    <x v="0"/>
    <n v="7"/>
    <n v="69"/>
    <n v="45514"/>
    <s v="01:05:29"/>
    <n v="6"/>
    <n v="1686.8"/>
    <n v="0.08"/>
    <n v="1551.856"/>
    <n v="1620.856"/>
    <x v="65"/>
    <s v="BeforeTime"/>
    <n v="8"/>
    <n v="50"/>
  </r>
  <r>
    <x v="10"/>
    <s v="Kara"/>
    <s v="Brennan"/>
    <x v="10"/>
    <n v="25"/>
    <x v="2"/>
    <x v="4"/>
    <s v="kara.brennan@outlook.com"/>
    <s v="2174 Thomas Avenue, Maciasborough, NJ 41465"/>
    <x v="176"/>
    <x v="157"/>
    <s v="13:40:51"/>
    <x v="49"/>
    <n v="33.49"/>
    <n v="1"/>
    <x v="2"/>
    <n v="1"/>
    <n v="59"/>
    <n v="45585"/>
    <s v="00:35:18"/>
    <n v="5"/>
    <n v="33.49"/>
    <n v="0"/>
    <n v="33.49"/>
    <n v="33.49"/>
    <x v="10"/>
    <s v="Late"/>
    <n v="10"/>
    <n v="50"/>
  </r>
  <r>
    <x v="76"/>
    <s v="Natasha"/>
    <s v="Michael"/>
    <x v="76"/>
    <n v="49"/>
    <x v="0"/>
    <x v="1"/>
    <s v="natasha.michael@gmail.com"/>
    <s v="78992 Justin Estates Suite 226, Floresberg, NM 40797"/>
    <x v="177"/>
    <x v="158"/>
    <s v="08:11:19"/>
    <x v="12"/>
    <n v="272.51"/>
    <n v="4"/>
    <x v="2"/>
    <n v="1"/>
    <n v="51"/>
    <n v="45480"/>
    <s v="18:28:53"/>
    <n v="2"/>
    <n v="1090.04"/>
    <n v="0"/>
    <n v="1090.04"/>
    <n v="1090.04"/>
    <x v="76"/>
    <s v="Late"/>
    <n v="7"/>
    <n v="50"/>
  </r>
  <r>
    <x v="51"/>
    <s v="Jason"/>
    <s v="Nguyen"/>
    <x v="51"/>
    <n v="51"/>
    <x v="2"/>
    <x v="4"/>
    <s v="jason.nguyen@yahoo.com"/>
    <s v="7112 Travis Glens Suite 790, Crystalland, WV 38373"/>
    <x v="178"/>
    <x v="159"/>
    <s v="02:27:18"/>
    <x v="37"/>
    <n v="133.62"/>
    <n v="2"/>
    <x v="0"/>
    <n v="1"/>
    <n v="48"/>
    <n v="45015"/>
    <s v="04:48:38"/>
    <n v="5"/>
    <n v="267.24"/>
    <n v="0.08"/>
    <n v="245.86080000000001"/>
    <n v="293.86080000000004"/>
    <x v="51"/>
    <s v="Late"/>
    <n v="3"/>
    <n v="50"/>
  </r>
  <r>
    <x v="68"/>
    <s v="Kristina"/>
    <s v="Haynes"/>
    <x v="68"/>
    <n v="27"/>
    <x v="0"/>
    <x v="1"/>
    <s v="kristina.haynes@yahoo.com"/>
    <s v="18295 Thomas River, Kochville, NH 80868"/>
    <x v="179"/>
    <x v="71"/>
    <s v="05:33:41"/>
    <x v="8"/>
    <n v="257.06"/>
    <n v="4"/>
    <x v="2"/>
    <n v="5"/>
    <n v="52"/>
    <n v="45136"/>
    <s v="13:20:58"/>
    <n v="4"/>
    <n v="1028.24"/>
    <n v="0"/>
    <n v="1028.24"/>
    <n v="1028.24"/>
    <x v="68"/>
    <s v="BeforeTime"/>
    <n v="7"/>
    <n v="50"/>
  </r>
  <r>
    <x v="10"/>
    <s v="Kara"/>
    <s v="Brennan"/>
    <x v="10"/>
    <n v="25"/>
    <x v="2"/>
    <x v="4"/>
    <s v="kara.brennan@outlook.com"/>
    <s v="2174 Thomas Avenue, Maciasborough, NJ 41465"/>
    <x v="180"/>
    <x v="160"/>
    <s v="18:14:45"/>
    <x v="46"/>
    <n v="20"/>
    <n v="5"/>
    <x v="1"/>
    <n v="6"/>
    <n v="36"/>
    <n v="45463"/>
    <s v="13:20:38"/>
    <n v="6"/>
    <n v="100"/>
    <n v="0.15"/>
    <n v="85"/>
    <n v="121"/>
    <x v="10"/>
    <s v="InTime"/>
    <n v="6"/>
    <n v="50"/>
  </r>
  <r>
    <x v="64"/>
    <s v="Bruce"/>
    <s v="Allen"/>
    <x v="64"/>
    <n v="32"/>
    <x v="1"/>
    <x v="0"/>
    <s v="bruce.allen@rediffmail.com"/>
    <s v="2417 Brown Ford, West Timothyside, RI 45629"/>
    <x v="181"/>
    <x v="161"/>
    <s v="03:08:05"/>
    <x v="42"/>
    <n v="235.63"/>
    <n v="3"/>
    <x v="4"/>
    <n v="5"/>
    <n v="44"/>
    <n v="45347"/>
    <s v="04:04:13"/>
    <n v="4"/>
    <n v="706.89"/>
    <n v="0.1"/>
    <n v="636.20100000000002"/>
    <n v="680.20100000000002"/>
    <x v="64"/>
    <s v="BeforeTime"/>
    <n v="2"/>
    <n v="50"/>
  </r>
  <r>
    <x v="0"/>
    <s v="Anne"/>
    <s v="Oconnell"/>
    <x v="0"/>
    <n v="37"/>
    <x v="0"/>
    <x v="0"/>
    <s v="anne.oconnell@outlook.com"/>
    <s v="2850 Matthew Ford, North Yolandachester, FL 67488"/>
    <x v="182"/>
    <x v="162"/>
    <s v="21:06:59"/>
    <x v="37"/>
    <n v="133.62"/>
    <n v="5"/>
    <x v="2"/>
    <n v="7"/>
    <n v="58"/>
    <n v="45098"/>
    <s v="00:33:10"/>
    <n v="3"/>
    <n v="668.1"/>
    <n v="0"/>
    <n v="668.1"/>
    <n v="668.1"/>
    <x v="0"/>
    <s v="BeforeTime"/>
    <n v="6"/>
    <n v="50"/>
  </r>
  <r>
    <x v="47"/>
    <s v="Mitchell"/>
    <s v="Parker"/>
    <x v="47"/>
    <n v="39"/>
    <x v="2"/>
    <x v="1"/>
    <s v="mitchell.parker@yahoo.com"/>
    <s v="PSC 3316, Box 9303, APO AE 29513"/>
    <x v="183"/>
    <x v="163"/>
    <s v="14:49:31"/>
    <x v="33"/>
    <n v="421.7"/>
    <n v="2"/>
    <x v="0"/>
    <n v="5"/>
    <n v="45"/>
    <n v="45653"/>
    <s v="04:10:37"/>
    <n v="2"/>
    <n v="843.4"/>
    <n v="0.08"/>
    <n v="775.928"/>
    <n v="820.928"/>
    <x v="47"/>
    <s v="BeforeTime"/>
    <n v="12"/>
    <n v="50"/>
  </r>
  <r>
    <x v="15"/>
    <s v="Mallory"/>
    <s v="Mitchell"/>
    <x v="15"/>
    <n v="42"/>
    <x v="1"/>
    <x v="6"/>
    <s v="mallory.mitchell@yahoo.com"/>
    <s v="710 Anthony Wall Suite 137, East Davidstad, NV 61494"/>
    <x v="184"/>
    <x v="164"/>
    <s v="19:40:44"/>
    <x v="26"/>
    <n v="372.62"/>
    <n v="1"/>
    <x v="1"/>
    <n v="3"/>
    <n v="35"/>
    <n v="45458"/>
    <s v="16:30:13"/>
    <n v="3"/>
    <n v="372.62"/>
    <n v="0.15"/>
    <n v="316.72699999999998"/>
    <n v="351.72699999999998"/>
    <x v="15"/>
    <s v="InTime"/>
    <n v="6"/>
    <n v="50"/>
  </r>
  <r>
    <x v="52"/>
    <s v="Brandon"/>
    <s v="Cruz"/>
    <x v="52"/>
    <n v="32"/>
    <x v="2"/>
    <x v="3"/>
    <s v="brandon.cruz@gmail.com"/>
    <s v="9296 Villanueva Branch, East Kevin, CO 93912"/>
    <x v="185"/>
    <x v="164"/>
    <s v="16:25:28"/>
    <x v="5"/>
    <n v="363.64"/>
    <n v="3"/>
    <x v="2"/>
    <n v="3"/>
    <n v="70"/>
    <n v="45461"/>
    <s v="13:33:22"/>
    <n v="6"/>
    <n v="1090.92"/>
    <n v="0"/>
    <n v="1090.92"/>
    <n v="1090.92"/>
    <x v="52"/>
    <s v="Late"/>
    <n v="6"/>
    <n v="50"/>
  </r>
  <r>
    <x v="4"/>
    <s v="Christine"/>
    <s v="West"/>
    <x v="4"/>
    <n v="53"/>
    <x v="2"/>
    <x v="2"/>
    <s v="christine.west@gmail.com"/>
    <s v="Unit 1433 Box 0246, DPO AP 94952"/>
    <x v="186"/>
    <x v="153"/>
    <s v="05:57:45"/>
    <x v="4"/>
    <n v="330.11"/>
    <n v="4"/>
    <x v="3"/>
    <n v="4"/>
    <n v="47"/>
    <n v="45566"/>
    <s v="08:04:55"/>
    <n v="5"/>
    <n v="1320.44"/>
    <n v="0.2"/>
    <n v="1056.3520000000001"/>
    <n v="1103.3520000000001"/>
    <x v="4"/>
    <s v="Late"/>
    <n v="9"/>
    <n v="50"/>
  </r>
  <r>
    <x v="28"/>
    <s v="Jenny"/>
    <s v="Estrada"/>
    <x v="28"/>
    <n v="45"/>
    <x v="0"/>
    <x v="1"/>
    <s v="jenny.estrada@yahoo.com"/>
    <s v="792 Carlos Islands, West David, CT 16522"/>
    <x v="187"/>
    <x v="165"/>
    <s v="13:16:36"/>
    <x v="48"/>
    <n v="107.47"/>
    <n v="1"/>
    <x v="4"/>
    <n v="5"/>
    <n v="56"/>
    <n v="45104"/>
    <s v="23:44:01"/>
    <n v="5"/>
    <n v="107.47"/>
    <n v="0.1"/>
    <n v="96.722999999999999"/>
    <n v="152.72300000000001"/>
    <x v="28"/>
    <s v="InTime"/>
    <n v="6"/>
    <n v="50"/>
  </r>
  <r>
    <x v="13"/>
    <s v="Erin"/>
    <s v="Miller"/>
    <x v="13"/>
    <n v="46"/>
    <x v="0"/>
    <x v="6"/>
    <s v="erin.miller@gmail.com"/>
    <s v="65972 Peterson Route, Port Andrewfurt, SD 32892"/>
    <x v="188"/>
    <x v="67"/>
    <s v="07:44:52"/>
    <x v="17"/>
    <n v="126.19"/>
    <n v="1"/>
    <x v="3"/>
    <n v="5"/>
    <n v="68"/>
    <n v="45588"/>
    <s v="00:28:50"/>
    <n v="2"/>
    <n v="126.19"/>
    <n v="0.2"/>
    <n v="100.952"/>
    <n v="168.952"/>
    <x v="13"/>
    <s v="BeforeTime"/>
    <n v="10"/>
    <n v="50"/>
  </r>
  <r>
    <x v="59"/>
    <s v="Beth"/>
    <s v="Mason"/>
    <x v="59"/>
    <n v="45"/>
    <x v="2"/>
    <x v="3"/>
    <s v="beth.mason@outlook.com"/>
    <s v="58998 Sherry Haven, East Richard, FL 90775"/>
    <x v="189"/>
    <x v="166"/>
    <s v="12:51:15"/>
    <x v="45"/>
    <n v="381.73"/>
    <n v="2"/>
    <x v="2"/>
    <n v="5"/>
    <n v="38"/>
    <n v="45066"/>
    <s v="23:34:55"/>
    <n v="6"/>
    <n v="763.46"/>
    <n v="0"/>
    <n v="763.46"/>
    <n v="763.46"/>
    <x v="59"/>
    <s v="Late"/>
    <n v="5"/>
    <n v="50"/>
  </r>
  <r>
    <x v="45"/>
    <s v="Debra"/>
    <s v="Hayes"/>
    <x v="45"/>
    <n v="33"/>
    <x v="0"/>
    <x v="6"/>
    <s v="debra.hayes@yahoo.com"/>
    <s v="4601 Miller Lock, Williamsbury, IA 10943"/>
    <x v="190"/>
    <x v="167"/>
    <s v="22:55:27"/>
    <x v="47"/>
    <n v="292.14999999999998"/>
    <n v="5"/>
    <x v="4"/>
    <n v="6"/>
    <n v="68"/>
    <n v="45071"/>
    <s v="22:37:23"/>
    <n v="2"/>
    <n v="1460.75"/>
    <n v="0.1"/>
    <n v="1314.675"/>
    <n v="1382.675"/>
    <x v="45"/>
    <s v="BeforeTime"/>
    <n v="5"/>
    <n v="50"/>
  </r>
  <r>
    <x v="47"/>
    <s v="Mitchell"/>
    <s v="Parker"/>
    <x v="47"/>
    <n v="39"/>
    <x v="2"/>
    <x v="1"/>
    <s v="mitchell.parker@yahoo.com"/>
    <s v="PSC 3316, Box 9303, APO AE 29513"/>
    <x v="191"/>
    <x v="168"/>
    <s v="01:31:08"/>
    <x v="34"/>
    <n v="136.30000000000001"/>
    <n v="3"/>
    <x v="1"/>
    <n v="6"/>
    <n v="42"/>
    <n v="45043"/>
    <s v="14:39:46"/>
    <n v="7"/>
    <n v="408.90000000000003"/>
    <n v="0.15"/>
    <n v="347.56500000000005"/>
    <n v="389.56500000000005"/>
    <x v="47"/>
    <s v="Late"/>
    <n v="4"/>
    <n v="50"/>
  </r>
  <r>
    <x v="58"/>
    <s v="Amy"/>
    <s v="Ellis"/>
    <x v="58"/>
    <n v="44"/>
    <x v="2"/>
    <x v="3"/>
    <s v="amy.ellis@gmail.com"/>
    <s v="217 Scott Ville, Christophermouth, NH 83776"/>
    <x v="192"/>
    <x v="169"/>
    <s v="15:02:28"/>
    <x v="39"/>
    <n v="403.03"/>
    <n v="3"/>
    <x v="1"/>
    <n v="4"/>
    <n v="67"/>
    <n v="45213"/>
    <s v="04:23:57"/>
    <n v="5"/>
    <n v="1209.0899999999999"/>
    <n v="0.15"/>
    <n v="1027.7265"/>
    <n v="1094.7265"/>
    <x v="58"/>
    <s v="Late"/>
    <n v="10"/>
    <n v="50"/>
  </r>
  <r>
    <x v="40"/>
    <s v="Mary"/>
    <s v="Knight"/>
    <x v="40"/>
    <n v="28"/>
    <x v="2"/>
    <x v="2"/>
    <s v="mary.knight@yahoo.com"/>
    <s v="907 Kimberly Hill, Murrayfort, NH 88384"/>
    <x v="193"/>
    <x v="170"/>
    <s v="06:54:02"/>
    <x v="40"/>
    <n v="445.81"/>
    <n v="2"/>
    <x v="2"/>
    <n v="7"/>
    <n v="67"/>
    <n v="45242"/>
    <s v="12:39:46"/>
    <n v="1"/>
    <n v="891.62"/>
    <n v="0"/>
    <n v="891.62"/>
    <n v="891.62"/>
    <x v="40"/>
    <s v="BeforeTime"/>
    <n v="11"/>
    <n v="50"/>
  </r>
  <r>
    <x v="77"/>
    <s v="Christine"/>
    <s v="Aguilar"/>
    <x v="77"/>
    <n v="46"/>
    <x v="0"/>
    <x v="0"/>
    <s v="christine.aguilar@gmail.com"/>
    <s v="3284 Martin Neck, Lopezville, NY 69154"/>
    <x v="194"/>
    <x v="154"/>
    <s v="08:20:59"/>
    <x v="23"/>
    <n v="129.75"/>
    <n v="5"/>
    <x v="3"/>
    <n v="6"/>
    <n v="38"/>
    <n v="45057"/>
    <s v="17:38:42"/>
    <n v="6"/>
    <n v="648.75"/>
    <n v="0.2"/>
    <n v="519"/>
    <n v="557"/>
    <x v="77"/>
    <s v="InTime"/>
    <n v="5"/>
    <n v="50"/>
  </r>
  <r>
    <x v="49"/>
    <s v="Sarah"/>
    <s v="Butler"/>
    <x v="49"/>
    <n v="64"/>
    <x v="0"/>
    <x v="0"/>
    <s v="sarah.butler@rediffmail.com"/>
    <s v="14131 Edwin Shore Apt. 190, Deniseberg, MD 90905"/>
    <x v="195"/>
    <x v="9"/>
    <s v="14:00:27"/>
    <x v="49"/>
    <n v="33.49"/>
    <n v="3"/>
    <x v="1"/>
    <n v="2"/>
    <n v="62"/>
    <n v="45284"/>
    <s v="12:31:34"/>
    <n v="2"/>
    <n v="100.47"/>
    <n v="0.15"/>
    <n v="85.399500000000003"/>
    <n v="147.39949999999999"/>
    <x v="49"/>
    <s v="InTime"/>
    <n v="12"/>
    <n v="50"/>
  </r>
  <r>
    <x v="52"/>
    <s v="Brandon"/>
    <s v="Cruz"/>
    <x v="52"/>
    <n v="32"/>
    <x v="2"/>
    <x v="3"/>
    <s v="brandon.cruz@gmail.com"/>
    <s v="9296 Villanueva Branch, East Kevin, CO 93912"/>
    <x v="196"/>
    <x v="117"/>
    <s v="15:26:43"/>
    <x v="4"/>
    <n v="330.11"/>
    <n v="4"/>
    <x v="3"/>
    <n v="2"/>
    <n v="69"/>
    <n v="45695"/>
    <s v="23:02:25"/>
    <n v="6"/>
    <n v="1320.44"/>
    <n v="0.2"/>
    <n v="1056.3520000000001"/>
    <n v="1125.3520000000001"/>
    <x v="52"/>
    <s v="Late"/>
    <n v="2"/>
    <n v="50"/>
  </r>
  <r>
    <x v="37"/>
    <s v="Alexandra"/>
    <s v="Smith"/>
    <x v="37"/>
    <n v="70"/>
    <x v="0"/>
    <x v="0"/>
    <s v="alexandra.smith@rediffmail.com"/>
    <s v="48611 Clark Village, West Anne, GA 92865"/>
    <x v="197"/>
    <x v="144"/>
    <s v="22:25:26"/>
    <x v="2"/>
    <n v="202.54"/>
    <n v="5"/>
    <x v="1"/>
    <n v="1"/>
    <n v="47"/>
    <n v="45051"/>
    <s v="20:52:06"/>
    <n v="6"/>
    <n v="1012.6999999999999"/>
    <n v="0.15"/>
    <n v="860.79499999999996"/>
    <n v="907.79499999999996"/>
    <x v="37"/>
    <s v="Late"/>
    <n v="4"/>
    <n v="50"/>
  </r>
  <r>
    <x v="54"/>
    <s v="Ashley"/>
    <s v="Romero"/>
    <x v="54"/>
    <n v="35"/>
    <x v="0"/>
    <x v="0"/>
    <s v="ashley.romero@yahoo.com"/>
    <s v="547 Kerry Expressway, Lake Amanda, AR 20321"/>
    <x v="198"/>
    <x v="171"/>
    <s v="00:02:50"/>
    <x v="1"/>
    <n v="166.28"/>
    <n v="4"/>
    <x v="4"/>
    <n v="4"/>
    <n v="44"/>
    <n v="45257"/>
    <s v="20:49:10"/>
    <n v="4"/>
    <n v="665.12"/>
    <n v="0.1"/>
    <n v="598.60799999999995"/>
    <n v="642.60799999999995"/>
    <x v="54"/>
    <s v="InTime"/>
    <n v="11"/>
    <n v="50"/>
  </r>
  <r>
    <x v="40"/>
    <s v="Mary"/>
    <s v="Knight"/>
    <x v="40"/>
    <n v="28"/>
    <x v="2"/>
    <x v="2"/>
    <s v="mary.knight@yahoo.com"/>
    <s v="907 Kimberly Hill, Murrayfort, NH 88384"/>
    <x v="199"/>
    <x v="172"/>
    <s v="22:46:23"/>
    <x v="47"/>
    <n v="292.14999999999998"/>
    <n v="2"/>
    <x v="1"/>
    <n v="4"/>
    <n v="58"/>
    <n v="45526"/>
    <s v="08:30:57"/>
    <n v="3"/>
    <n v="584.29999999999995"/>
    <n v="0.15"/>
    <n v="496.65499999999997"/>
    <n v="554.65499999999997"/>
    <x v="40"/>
    <s v="BeforeTime"/>
    <n v="8"/>
    <n v="50"/>
  </r>
  <r>
    <x v="77"/>
    <s v="Christine"/>
    <s v="Aguilar"/>
    <x v="77"/>
    <n v="46"/>
    <x v="0"/>
    <x v="0"/>
    <s v="christine.aguilar@gmail.com"/>
    <s v="3284 Martin Neck, Lopezville, NY 69154"/>
    <x v="200"/>
    <x v="173"/>
    <s v="08:00:47"/>
    <x v="12"/>
    <n v="272.51"/>
    <n v="4"/>
    <x v="2"/>
    <n v="7"/>
    <n v="38"/>
    <n v="45482"/>
    <s v="17:20:58"/>
    <n v="1"/>
    <n v="1090.04"/>
    <n v="0"/>
    <n v="1090.04"/>
    <n v="1090.04"/>
    <x v="77"/>
    <s v="BeforeTime"/>
    <n v="7"/>
    <n v="50"/>
  </r>
  <r>
    <x v="28"/>
    <s v="Jenny"/>
    <s v="Estrada"/>
    <x v="28"/>
    <n v="45"/>
    <x v="0"/>
    <x v="1"/>
    <s v="jenny.estrada@yahoo.com"/>
    <s v="792 Carlos Islands, West David, CT 16522"/>
    <x v="201"/>
    <x v="15"/>
    <s v="09:33:35"/>
    <x v="21"/>
    <n v="157.63999999999999"/>
    <n v="3"/>
    <x v="3"/>
    <n v="2"/>
    <n v="47"/>
    <n v="45085"/>
    <s v="13:06:14"/>
    <n v="6"/>
    <n v="472.91999999999996"/>
    <n v="0.2"/>
    <n v="378.33599999999996"/>
    <n v="425.33599999999996"/>
    <x v="28"/>
    <s v="Late"/>
    <n v="6"/>
    <n v="50"/>
  </r>
  <r>
    <x v="27"/>
    <s v="Valerie"/>
    <s v="Carr"/>
    <x v="27"/>
    <n v="26"/>
    <x v="2"/>
    <x v="6"/>
    <s v="valerie.carr@rediffmail.com"/>
    <s v="981 Emily Stream, South Brianna, CO 98063"/>
    <x v="202"/>
    <x v="174"/>
    <s v="00:13:11"/>
    <x v="20"/>
    <n v="62.42"/>
    <n v="3"/>
    <x v="1"/>
    <n v="5"/>
    <n v="62"/>
    <n v="45058"/>
    <s v="18:31:17"/>
    <n v="5"/>
    <n v="187.26"/>
    <n v="0.15"/>
    <n v="159.17099999999999"/>
    <n v="221.17099999999999"/>
    <x v="27"/>
    <s v="InTime"/>
    <n v="5"/>
    <n v="50"/>
  </r>
  <r>
    <x v="50"/>
    <s v="Katherine"/>
    <s v="Weber"/>
    <x v="50"/>
    <n v="42"/>
    <x v="2"/>
    <x v="2"/>
    <s v="katherine.weber@outlook.com"/>
    <s v="04887 Kimberly Union Apt. 645, Port Laura, IL 97219"/>
    <x v="203"/>
    <x v="69"/>
    <s v="20:01:38"/>
    <x v="5"/>
    <n v="363.64"/>
    <n v="3"/>
    <x v="0"/>
    <n v="5"/>
    <n v="53"/>
    <n v="45502"/>
    <s v="12:58:48"/>
    <n v="7"/>
    <n v="1090.92"/>
    <n v="0.08"/>
    <n v="1003.6464000000001"/>
    <n v="1056.6464000000001"/>
    <x v="50"/>
    <s v="Late"/>
    <n v="7"/>
    <n v="50"/>
  </r>
  <r>
    <x v="53"/>
    <s v="Jodi"/>
    <s v="Whitney"/>
    <x v="53"/>
    <n v="33"/>
    <x v="2"/>
    <x v="6"/>
    <s v="jodi.whitney@yahoo.com"/>
    <s v="72876 Lara Key Suite 383, Gutierrezton, OR 71683"/>
    <x v="204"/>
    <x v="22"/>
    <s v="06:33:55"/>
    <x v="38"/>
    <n v="477.52"/>
    <n v="4"/>
    <x v="3"/>
    <n v="5"/>
    <n v="55"/>
    <n v="45127"/>
    <s v="13:05:17"/>
    <n v="2"/>
    <n v="1910.08"/>
    <n v="0.2"/>
    <n v="1528.0639999999999"/>
    <n v="1583.0639999999999"/>
    <x v="53"/>
    <s v="BeforeTime"/>
    <n v="7"/>
    <n v="50"/>
  </r>
  <r>
    <x v="78"/>
    <s v="Mark"/>
    <s v="Summers"/>
    <x v="78"/>
    <n v="55"/>
    <x v="1"/>
    <x v="5"/>
    <s v="mark.summers@outlook.com"/>
    <s v="08413 Lynch Parkway, Calderonstad, NV 32697"/>
    <x v="205"/>
    <x v="34"/>
    <s v="19:46:32"/>
    <x v="17"/>
    <n v="126.19"/>
    <n v="2"/>
    <x v="2"/>
    <n v="5"/>
    <n v="59"/>
    <n v="45174"/>
    <s v="23:22:12"/>
    <n v="6"/>
    <n v="252.38"/>
    <n v="0"/>
    <n v="252.38"/>
    <n v="252.38"/>
    <x v="78"/>
    <s v="Late"/>
    <n v="8"/>
    <n v="50"/>
  </r>
  <r>
    <x v="66"/>
    <s v="Melissa"/>
    <s v="Levy"/>
    <x v="66"/>
    <n v="30"/>
    <x v="0"/>
    <x v="5"/>
    <s v="melissa.levy@rediffmail.com"/>
    <s v="3303 Kennedy Springs Suite 830, East Amybury, MI 95595"/>
    <x v="206"/>
    <x v="175"/>
    <s v="20:47:44"/>
    <x v="32"/>
    <n v="87.09"/>
    <n v="1"/>
    <x v="4"/>
    <n v="1"/>
    <n v="61"/>
    <n v="45321"/>
    <s v="00:16:22"/>
    <n v="1"/>
    <n v="87.09"/>
    <n v="0.1"/>
    <n v="78.381"/>
    <n v="139.381"/>
    <x v="66"/>
    <s v="InTime"/>
    <n v="1"/>
    <n v="50"/>
  </r>
  <r>
    <x v="36"/>
    <s v="Jason"/>
    <s v="Lopez"/>
    <x v="36"/>
    <n v="40"/>
    <x v="2"/>
    <x v="6"/>
    <s v="jason.lopez@outlook.com"/>
    <s v="934 Levine View, Brentport, NE 38210"/>
    <x v="207"/>
    <x v="176"/>
    <s v="14:37:23"/>
    <x v="44"/>
    <n v="110.95"/>
    <n v="3"/>
    <x v="4"/>
    <n v="6"/>
    <n v="65"/>
    <n v="45079"/>
    <s v="01:58:28"/>
    <n v="5"/>
    <n v="332.85"/>
    <n v="0.1"/>
    <n v="299.565"/>
    <n v="364.565"/>
    <x v="36"/>
    <s v="BeforeTime"/>
    <n v="5"/>
    <n v="50"/>
  </r>
  <r>
    <x v="58"/>
    <s v="Amy"/>
    <s v="Ellis"/>
    <x v="58"/>
    <n v="44"/>
    <x v="2"/>
    <x v="3"/>
    <s v="amy.ellis@gmail.com"/>
    <s v="217 Scott Ville, Christophermouth, NH 83776"/>
    <x v="208"/>
    <x v="177"/>
    <s v="00:08:51"/>
    <x v="49"/>
    <n v="33.49"/>
    <n v="1"/>
    <x v="0"/>
    <n v="2"/>
    <n v="67"/>
    <n v="45286"/>
    <s v="10:47:50"/>
    <n v="1"/>
    <n v="33.49"/>
    <n v="0.08"/>
    <n v="30.8108"/>
    <n v="97.8108"/>
    <x v="58"/>
    <s v="BeforeTime"/>
    <n v="12"/>
    <n v="50"/>
  </r>
  <r>
    <x v="39"/>
    <s v="Amanda"/>
    <s v="Howard"/>
    <x v="39"/>
    <n v="52"/>
    <x v="2"/>
    <x v="7"/>
    <s v="amanda.howard@outlook.com"/>
    <s v="56908 Sydney Park Suite 632, West Anthonyport, NC 15954"/>
    <x v="209"/>
    <x v="178"/>
    <s v="09:31:27"/>
    <x v="36"/>
    <n v="425.59"/>
    <n v="3"/>
    <x v="0"/>
    <n v="7"/>
    <n v="68"/>
    <n v="45005"/>
    <s v="22:18:21"/>
    <n v="4"/>
    <n v="1276.77"/>
    <n v="0.08"/>
    <n v="1174.6284000000001"/>
    <n v="1242.6284000000001"/>
    <x v="39"/>
    <s v="BeforeTime"/>
    <n v="3"/>
    <n v="50"/>
  </r>
  <r>
    <x v="78"/>
    <s v="Mark"/>
    <s v="Summers"/>
    <x v="78"/>
    <n v="55"/>
    <x v="1"/>
    <x v="5"/>
    <s v="mark.summers@outlook.com"/>
    <s v="08413 Lynch Parkway, Calderonstad, NV 32697"/>
    <x v="210"/>
    <x v="31"/>
    <s v="09:46:43"/>
    <x v="35"/>
    <n v="441.03"/>
    <n v="5"/>
    <x v="1"/>
    <n v="3"/>
    <n v="37"/>
    <n v="45044"/>
    <s v="06:31:08"/>
    <n v="5"/>
    <n v="2205.1499999999996"/>
    <n v="0.15"/>
    <n v="1874.3774999999996"/>
    <n v="1911.3774999999996"/>
    <x v="78"/>
    <s v="Late"/>
    <n v="4"/>
    <n v="50"/>
  </r>
  <r>
    <x v="51"/>
    <s v="Jason"/>
    <s v="Nguyen"/>
    <x v="51"/>
    <n v="51"/>
    <x v="2"/>
    <x v="4"/>
    <s v="jason.nguyen@yahoo.com"/>
    <s v="7112 Travis Glens Suite 790, Crystalland, WV 38373"/>
    <x v="211"/>
    <x v="179"/>
    <s v="21:17:39"/>
    <x v="23"/>
    <n v="129.75"/>
    <n v="3"/>
    <x v="1"/>
    <n v="5"/>
    <n v="37"/>
    <n v="45341"/>
    <s v="06:07:50"/>
    <n v="2"/>
    <n v="389.25"/>
    <n v="0.15"/>
    <n v="330.86250000000001"/>
    <n v="367.86250000000001"/>
    <x v="51"/>
    <s v="BeforeTime"/>
    <n v="2"/>
    <n v="50"/>
  </r>
  <r>
    <x v="79"/>
    <s v="Gary"/>
    <s v="Huff"/>
    <x v="79"/>
    <n v="18"/>
    <x v="0"/>
    <x v="2"/>
    <s v="gary.huff@gmail.com"/>
    <s v="58608 Alexander Terrace, South Bryan, SC 85541"/>
    <x v="212"/>
    <x v="180"/>
    <s v="12:28:28"/>
    <x v="42"/>
    <n v="235.63"/>
    <n v="1"/>
    <x v="0"/>
    <n v="6"/>
    <n v="58"/>
    <n v="45354"/>
    <s v="12:21:43"/>
    <n v="5"/>
    <n v="235.63"/>
    <n v="0.08"/>
    <n v="216.77959999999999"/>
    <n v="274.77959999999996"/>
    <x v="79"/>
    <s v="BeforeTime"/>
    <n v="2"/>
    <n v="50"/>
  </r>
  <r>
    <x v="14"/>
    <s v="Gina"/>
    <s v="Moreno"/>
    <x v="14"/>
    <n v="36"/>
    <x v="2"/>
    <x v="4"/>
    <s v="gina.moreno@rediffmail.com"/>
    <s v="USS Murray, FPO AP 66559"/>
    <x v="213"/>
    <x v="181"/>
    <s v="03:29:39"/>
    <x v="34"/>
    <n v="136.30000000000001"/>
    <n v="2"/>
    <x v="3"/>
    <n v="7"/>
    <n v="51"/>
    <n v="45550"/>
    <s v="23:33:34"/>
    <n v="1"/>
    <n v="272.60000000000002"/>
    <n v="0.2"/>
    <n v="218.08"/>
    <n v="269.08000000000004"/>
    <x v="14"/>
    <s v="BeforeTime"/>
    <n v="9"/>
    <n v="50"/>
  </r>
  <r>
    <x v="46"/>
    <s v="Brittany"/>
    <s v="Stewart"/>
    <x v="46"/>
    <n v="68"/>
    <x v="2"/>
    <x v="7"/>
    <s v="brittany.stewart@gmail.com"/>
    <s v="6250 David Loaf Suite 561, North Pamelaberg, WV 63652"/>
    <x v="214"/>
    <x v="182"/>
    <s v="18:27:23"/>
    <x v="48"/>
    <n v="107.47"/>
    <n v="4"/>
    <x v="3"/>
    <n v="5"/>
    <n v="51"/>
    <n v="45115"/>
    <s v="12:42:53"/>
    <n v="3"/>
    <n v="429.88"/>
    <n v="0.2"/>
    <n v="343.904"/>
    <n v="394.904"/>
    <x v="46"/>
    <s v="BeforeTime"/>
    <n v="7"/>
    <n v="50"/>
  </r>
  <r>
    <x v="75"/>
    <s v="Rachael"/>
    <s v="Robinson"/>
    <x v="75"/>
    <n v="24"/>
    <x v="2"/>
    <x v="7"/>
    <s v="rachael.robinson@rediffmail.com"/>
    <s v="0889 Brady Points, Port Meganhaven, NM 26553"/>
    <x v="215"/>
    <x v="183"/>
    <s v="14:41:09"/>
    <x v="6"/>
    <n v="275.44"/>
    <n v="2"/>
    <x v="0"/>
    <n v="2"/>
    <n v="36"/>
    <n v="45276"/>
    <s v="07:56:25"/>
    <n v="5"/>
    <n v="550.88"/>
    <n v="0.08"/>
    <n v="506.80959999999999"/>
    <n v="542.80960000000005"/>
    <x v="75"/>
    <s v="Late"/>
    <n v="12"/>
    <n v="50"/>
  </r>
  <r>
    <x v="69"/>
    <s v="Lindsey"/>
    <s v="Byrd"/>
    <x v="69"/>
    <n v="32"/>
    <x v="0"/>
    <x v="5"/>
    <s v="lindsey.byrd@rediffmail.com"/>
    <s v="USCGC Harper, FPO AA 38349"/>
    <x v="216"/>
    <x v="10"/>
    <s v="11:50:19"/>
    <x v="48"/>
    <n v="107.47"/>
    <n v="2"/>
    <x v="1"/>
    <n v="5"/>
    <n v="55"/>
    <n v="45592"/>
    <s v="11:48:40"/>
    <n v="4"/>
    <n v="214.94"/>
    <n v="0.15"/>
    <n v="182.69900000000001"/>
    <n v="237.69900000000001"/>
    <x v="69"/>
    <s v="BeforeTime"/>
    <n v="10"/>
    <n v="50"/>
  </r>
  <r>
    <x v="3"/>
    <s v="Angela"/>
    <s v="Horne"/>
    <x v="3"/>
    <n v="49"/>
    <x v="2"/>
    <x v="0"/>
    <s v="angela.horne@outlook.com"/>
    <s v="USNV Mueller, FPO AP 54648"/>
    <x v="217"/>
    <x v="184"/>
    <s v="10:24:24"/>
    <x v="22"/>
    <n v="158.53"/>
    <n v="5"/>
    <x v="0"/>
    <n v="2"/>
    <n v="64"/>
    <n v="45582"/>
    <s v="20:08:57"/>
    <n v="4"/>
    <n v="792.65"/>
    <n v="0.08"/>
    <n v="729.23799999999994"/>
    <n v="793.23799999999994"/>
    <x v="3"/>
    <s v="Late"/>
    <n v="10"/>
    <n v="50"/>
  </r>
  <r>
    <x v="18"/>
    <s v="Christian"/>
    <s v="Clayton"/>
    <x v="18"/>
    <n v="39"/>
    <x v="1"/>
    <x v="5"/>
    <s v="christian.clayton@yahoo.com"/>
    <s v="065 Madison Way, Smithstad, CT 68011"/>
    <x v="218"/>
    <x v="185"/>
    <s v="23:35:16"/>
    <x v="5"/>
    <n v="363.64"/>
    <n v="2"/>
    <x v="3"/>
    <n v="6"/>
    <n v="37"/>
    <n v="45544"/>
    <s v="01:46:46"/>
    <n v="3"/>
    <n v="727.28"/>
    <n v="0.2"/>
    <n v="581.82399999999996"/>
    <n v="618.82399999999996"/>
    <x v="18"/>
    <s v="BeforeTime"/>
    <n v="9"/>
    <n v="50"/>
  </r>
  <r>
    <x v="30"/>
    <s v="Julie"/>
    <s v="Meyer"/>
    <x v="30"/>
    <n v="23"/>
    <x v="0"/>
    <x v="0"/>
    <s v="julie.meyer@yahoo.com"/>
    <s v="17381 Smith Ramp Suite 398, Courtneyville, AL 17756"/>
    <x v="219"/>
    <x v="86"/>
    <s v="04:53:37"/>
    <x v="34"/>
    <n v="136.30000000000001"/>
    <n v="2"/>
    <x v="4"/>
    <n v="3"/>
    <n v="47"/>
    <n v="45511"/>
    <s v="07:56:46"/>
    <n v="7"/>
    <n v="272.60000000000002"/>
    <n v="0.1"/>
    <n v="245.34000000000003"/>
    <n v="292.34000000000003"/>
    <x v="30"/>
    <s v="Late"/>
    <n v="7"/>
    <n v="50"/>
  </r>
  <r>
    <x v="78"/>
    <s v="Mark"/>
    <s v="Summers"/>
    <x v="78"/>
    <n v="55"/>
    <x v="1"/>
    <x v="5"/>
    <s v="mark.summers@outlook.com"/>
    <s v="08413 Lynch Parkway, Calderonstad, NV 32697"/>
    <x v="220"/>
    <x v="186"/>
    <s v="21:25:23"/>
    <x v="30"/>
    <n v="369.03"/>
    <n v="3"/>
    <x v="3"/>
    <n v="2"/>
    <n v="65"/>
    <n v="45412"/>
    <s v="15:58:45"/>
    <n v="4"/>
    <n v="1107.0899999999999"/>
    <n v="0.2"/>
    <n v="885.67199999999991"/>
    <n v="950.67199999999991"/>
    <x v="78"/>
    <s v="Late"/>
    <n v="4"/>
    <n v="50"/>
  </r>
  <r>
    <x v="23"/>
    <s v="Taylor"/>
    <s v="Davis"/>
    <x v="23"/>
    <n v="54"/>
    <x v="1"/>
    <x v="0"/>
    <s v="taylor.davis@yahoo.com"/>
    <s v="USCGC Simmons, FPO AA 60167"/>
    <x v="221"/>
    <x v="187"/>
    <s v="18:03:08"/>
    <x v="45"/>
    <n v="381.73"/>
    <n v="2"/>
    <x v="1"/>
    <n v="3"/>
    <n v="70"/>
    <n v="45112"/>
    <s v="10:45:58"/>
    <n v="7"/>
    <n v="763.46"/>
    <n v="0.15"/>
    <n v="648.94100000000003"/>
    <n v="718.94100000000003"/>
    <x v="23"/>
    <s v="Late"/>
    <n v="6"/>
    <n v="50"/>
  </r>
  <r>
    <x v="59"/>
    <s v="Beth"/>
    <s v="Mason"/>
    <x v="59"/>
    <n v="45"/>
    <x v="2"/>
    <x v="3"/>
    <s v="beth.mason@outlook.com"/>
    <s v="58998 Sherry Haven, East Richard, FL 90775"/>
    <x v="222"/>
    <x v="131"/>
    <s v="02:55:39"/>
    <x v="33"/>
    <n v="421.7"/>
    <n v="3"/>
    <x v="4"/>
    <n v="6"/>
    <n v="38"/>
    <n v="45680"/>
    <s v="13:12:04"/>
    <n v="3"/>
    <n v="1265.0999999999999"/>
    <n v="0.1"/>
    <n v="1138.5899999999999"/>
    <n v="1176.5899999999999"/>
    <x v="59"/>
    <s v="BeforeTime"/>
    <n v="1"/>
    <n v="50"/>
  </r>
  <r>
    <x v="78"/>
    <s v="Mark"/>
    <s v="Summers"/>
    <x v="78"/>
    <n v="55"/>
    <x v="1"/>
    <x v="5"/>
    <s v="mark.summers@outlook.com"/>
    <s v="08413 Lynch Parkway, Calderonstad, NV 32697"/>
    <x v="223"/>
    <x v="112"/>
    <s v="23:25:51"/>
    <x v="4"/>
    <n v="330.11"/>
    <n v="3"/>
    <x v="0"/>
    <n v="2"/>
    <n v="40"/>
    <n v="45191"/>
    <s v="09:03:16"/>
    <n v="5"/>
    <n v="990.33"/>
    <n v="0.08"/>
    <n v="911.10360000000003"/>
    <n v="951.10360000000003"/>
    <x v="78"/>
    <s v="Late"/>
    <n v="9"/>
    <n v="50"/>
  </r>
  <r>
    <x v="27"/>
    <s v="Valerie"/>
    <s v="Carr"/>
    <x v="27"/>
    <n v="26"/>
    <x v="2"/>
    <x v="6"/>
    <s v="valerie.carr@rediffmail.com"/>
    <s v="981 Emily Stream, South Brianna, CO 98063"/>
    <x v="224"/>
    <x v="127"/>
    <s v="05:28:12"/>
    <x v="26"/>
    <n v="372.62"/>
    <n v="1"/>
    <x v="4"/>
    <n v="4"/>
    <n v="36"/>
    <n v="45541"/>
    <s v="09:29:13"/>
    <n v="4"/>
    <n v="372.62"/>
    <n v="0.1"/>
    <n v="335.358"/>
    <n v="371.358"/>
    <x v="27"/>
    <s v="InTime"/>
    <n v="9"/>
    <n v="50"/>
  </r>
  <r>
    <x v="79"/>
    <s v="Gary"/>
    <s v="Huff"/>
    <x v="79"/>
    <n v="18"/>
    <x v="0"/>
    <x v="2"/>
    <s v="gary.huff@gmail.com"/>
    <s v="58608 Alexander Terrace, South Bryan, SC 85541"/>
    <x v="225"/>
    <x v="188"/>
    <s v="16:44:13"/>
    <x v="24"/>
    <n v="481.48"/>
    <n v="3"/>
    <x v="4"/>
    <n v="2"/>
    <n v="42"/>
    <n v="45221"/>
    <s v="23:19:19"/>
    <n v="4"/>
    <n v="1444.44"/>
    <n v="0.1"/>
    <n v="1299.9960000000001"/>
    <n v="1341.9960000000001"/>
    <x v="79"/>
    <s v="Late"/>
    <n v="10"/>
    <n v="50"/>
  </r>
  <r>
    <x v="15"/>
    <s v="Mallory"/>
    <s v="Mitchell"/>
    <x v="15"/>
    <n v="42"/>
    <x v="1"/>
    <x v="6"/>
    <s v="mallory.mitchell@yahoo.com"/>
    <s v="710 Anthony Wall Suite 137, East Davidstad, NV 61494"/>
    <x v="226"/>
    <x v="84"/>
    <s v="17:52:44"/>
    <x v="0"/>
    <n v="308.88"/>
    <n v="1"/>
    <x v="1"/>
    <n v="3"/>
    <n v="54"/>
    <n v="45556"/>
    <s v="14:18:48"/>
    <n v="1"/>
    <n v="308.88"/>
    <n v="0.15"/>
    <n v="262.548"/>
    <n v="316.548"/>
    <x v="15"/>
    <s v="BeforeTime"/>
    <n v="9"/>
    <n v="50"/>
  </r>
  <r>
    <x v="0"/>
    <s v="Anne"/>
    <s v="Oconnell"/>
    <x v="0"/>
    <n v="37"/>
    <x v="0"/>
    <x v="0"/>
    <s v="anne.oconnell@outlook.com"/>
    <s v="2850 Matthew Ford, North Yolandachester, FL 67488"/>
    <x v="227"/>
    <x v="189"/>
    <s v="22:31:31"/>
    <x v="16"/>
    <n v="132.97"/>
    <n v="4"/>
    <x v="4"/>
    <n v="3"/>
    <n v="43"/>
    <n v="45163"/>
    <s v="17:01:58"/>
    <n v="1"/>
    <n v="531.88"/>
    <n v="0.1"/>
    <n v="478.69200000000001"/>
    <n v="521.69200000000001"/>
    <x v="0"/>
    <s v="BeforeTime"/>
    <n v="8"/>
    <n v="50"/>
  </r>
  <r>
    <x v="20"/>
    <s v="John"/>
    <s v="Herrera"/>
    <x v="20"/>
    <n v="64"/>
    <x v="1"/>
    <x v="1"/>
    <s v="john.herrera@outlook.com"/>
    <s v="61263 Jacob Isle, Amandatown, TN 34321"/>
    <x v="228"/>
    <x v="87"/>
    <s v="18:43:17"/>
    <x v="26"/>
    <n v="372.62"/>
    <n v="4"/>
    <x v="0"/>
    <n v="1"/>
    <n v="45"/>
    <n v="45492"/>
    <s v="07:02:28"/>
    <n v="4"/>
    <n v="1490.48"/>
    <n v="0.08"/>
    <n v="1371.2416000000001"/>
    <n v="1416.2416000000001"/>
    <x v="20"/>
    <s v="Late"/>
    <n v="7"/>
    <n v="50"/>
  </r>
  <r>
    <x v="44"/>
    <s v="Lori"/>
    <s v="Cook"/>
    <x v="44"/>
    <n v="18"/>
    <x v="1"/>
    <x v="1"/>
    <s v="lori.cook@rediffmail.com"/>
    <s v="86837 Bell Meadows, North Jasonshire, UT 51354"/>
    <x v="229"/>
    <x v="190"/>
    <s v="09:55:21"/>
    <x v="17"/>
    <n v="126.19"/>
    <n v="5"/>
    <x v="4"/>
    <n v="4"/>
    <n v="47"/>
    <n v="45280"/>
    <s v="22:38:31"/>
    <n v="7"/>
    <n v="630.95000000000005"/>
    <n v="0.1"/>
    <n v="567.85500000000002"/>
    <n v="614.85500000000002"/>
    <x v="44"/>
    <s v="Late"/>
    <n v="12"/>
    <n v="50"/>
  </r>
  <r>
    <x v="79"/>
    <s v="Gary"/>
    <s v="Huff"/>
    <x v="79"/>
    <n v="18"/>
    <x v="0"/>
    <x v="2"/>
    <s v="gary.huff@gmail.com"/>
    <s v="58608 Alexander Terrace, South Bryan, SC 85541"/>
    <x v="230"/>
    <x v="191"/>
    <s v="06:47:14"/>
    <x v="39"/>
    <n v="403.03"/>
    <n v="2"/>
    <x v="1"/>
    <n v="7"/>
    <n v="45"/>
    <n v="45118"/>
    <s v="05:46:18"/>
    <n v="1"/>
    <n v="806.06"/>
    <n v="0.15"/>
    <n v="685.15099999999995"/>
    <n v="730.15099999999995"/>
    <x v="79"/>
    <s v="BeforeTime"/>
    <n v="7"/>
    <n v="50"/>
  </r>
  <r>
    <x v="79"/>
    <s v="Gary"/>
    <s v="Huff"/>
    <x v="79"/>
    <n v="18"/>
    <x v="0"/>
    <x v="2"/>
    <s v="gary.huff@gmail.com"/>
    <s v="58608 Alexander Terrace, South Bryan, SC 85541"/>
    <x v="231"/>
    <x v="192"/>
    <s v="22:41:22"/>
    <x v="21"/>
    <n v="157.63999999999999"/>
    <n v="2"/>
    <x v="1"/>
    <n v="5"/>
    <n v="64"/>
    <n v="45395"/>
    <s v="03:01:00"/>
    <n v="3"/>
    <n v="315.27999999999997"/>
    <n v="0.15"/>
    <n v="267.988"/>
    <n v="331.988"/>
    <x v="79"/>
    <s v="BeforeTime"/>
    <n v="4"/>
    <n v="50"/>
  </r>
  <r>
    <x v="80"/>
    <s v="Mike"/>
    <s v="Carter"/>
    <x v="80"/>
    <n v="59"/>
    <x v="2"/>
    <x v="6"/>
    <s v="mike.carter@rediffmail.com"/>
    <s v="3971 Ortiz Fields, Lake Jackfort, IA 97132"/>
    <x v="232"/>
    <x v="135"/>
    <s v="08:35:05"/>
    <x v="19"/>
    <n v="128.13999999999999"/>
    <n v="1"/>
    <x v="4"/>
    <n v="7"/>
    <n v="52"/>
    <n v="45254"/>
    <s v="09:50:44"/>
    <n v="3"/>
    <n v="128.13999999999999"/>
    <n v="0.1"/>
    <n v="115.32599999999999"/>
    <n v="167.32599999999999"/>
    <x v="80"/>
    <s v="BeforeTime"/>
    <n v="11"/>
    <n v="50"/>
  </r>
  <r>
    <x v="24"/>
    <s v="Lauren"/>
    <s v="Long"/>
    <x v="24"/>
    <n v="44"/>
    <x v="0"/>
    <x v="7"/>
    <s v="lauren.long@gmail.com"/>
    <s v="258 Michael Brooks Suite 363, Arnoldview, PA 49438"/>
    <x v="233"/>
    <x v="193"/>
    <s v="06:30:57"/>
    <x v="8"/>
    <n v="257.06"/>
    <n v="3"/>
    <x v="2"/>
    <n v="5"/>
    <n v="63"/>
    <n v="45354"/>
    <s v="08:01:14"/>
    <n v="6"/>
    <n v="771.18000000000006"/>
    <n v="0"/>
    <n v="771.18000000000006"/>
    <n v="771.18000000000006"/>
    <x v="24"/>
    <s v="Late"/>
    <n v="2"/>
    <n v="50"/>
  </r>
  <r>
    <x v="53"/>
    <s v="Jodi"/>
    <s v="Whitney"/>
    <x v="53"/>
    <n v="33"/>
    <x v="2"/>
    <x v="6"/>
    <s v="jodi.whitney@yahoo.com"/>
    <s v="72876 Lara Key Suite 383, Gutierrezton, OR 71683"/>
    <x v="234"/>
    <x v="194"/>
    <s v="09:01:24"/>
    <x v="12"/>
    <n v="272.51"/>
    <n v="2"/>
    <x v="4"/>
    <n v="4"/>
    <n v="48"/>
    <n v="45264"/>
    <s v="18:41:50"/>
    <n v="7"/>
    <n v="545.02"/>
    <n v="0.1"/>
    <n v="490.51799999999997"/>
    <n v="538.51800000000003"/>
    <x v="53"/>
    <s v="Late"/>
    <n v="11"/>
    <n v="50"/>
  </r>
  <r>
    <x v="24"/>
    <s v="Lauren"/>
    <s v="Long"/>
    <x v="24"/>
    <n v="44"/>
    <x v="0"/>
    <x v="7"/>
    <s v="lauren.long@gmail.com"/>
    <s v="258 Michael Brooks Suite 363, Arnoldview, PA 49438"/>
    <x v="235"/>
    <x v="195"/>
    <s v="10:38:44"/>
    <x v="5"/>
    <n v="363.64"/>
    <n v="3"/>
    <x v="1"/>
    <n v="1"/>
    <n v="47"/>
    <n v="45395"/>
    <s v="15:48:50"/>
    <n v="5"/>
    <n v="1090.92"/>
    <n v="0.15"/>
    <n v="927.28200000000004"/>
    <n v="974.28200000000004"/>
    <x v="24"/>
    <s v="Late"/>
    <n v="4"/>
    <n v="50"/>
  </r>
  <r>
    <x v="55"/>
    <s v="William"/>
    <s v="Mann"/>
    <x v="55"/>
    <n v="21"/>
    <x v="0"/>
    <x v="1"/>
    <s v="william.mann@yahoo.com"/>
    <s v="849 Tran Wells, New Lindsayville, WI 22669"/>
    <x v="236"/>
    <x v="184"/>
    <s v="08:44:39"/>
    <x v="5"/>
    <n v="363.64"/>
    <n v="3"/>
    <x v="3"/>
    <n v="6"/>
    <n v="64"/>
    <n v="45585"/>
    <s v="13:35:45"/>
    <n v="7"/>
    <n v="1090.92"/>
    <n v="0.2"/>
    <n v="872.7360000000001"/>
    <n v="936.7360000000001"/>
    <x v="55"/>
    <s v="Late"/>
    <n v="10"/>
    <n v="50"/>
  </r>
  <r>
    <x v="58"/>
    <s v="Amy"/>
    <s v="Ellis"/>
    <x v="58"/>
    <n v="44"/>
    <x v="2"/>
    <x v="3"/>
    <s v="amy.ellis@gmail.com"/>
    <s v="217 Scott Ville, Christophermouth, NH 83776"/>
    <x v="237"/>
    <x v="196"/>
    <s v="10:10:51"/>
    <x v="42"/>
    <n v="235.63"/>
    <n v="5"/>
    <x v="3"/>
    <n v="6"/>
    <n v="63"/>
    <n v="45114"/>
    <s v="02:58:17"/>
    <n v="5"/>
    <n v="1178.1500000000001"/>
    <n v="0.2"/>
    <n v="942.5200000000001"/>
    <n v="1005.5200000000001"/>
    <x v="58"/>
    <s v="BeforeTime"/>
    <n v="7"/>
    <n v="50"/>
  </r>
  <r>
    <x v="81"/>
    <s v="Thomas"/>
    <s v="Owens"/>
    <x v="81"/>
    <n v="34"/>
    <x v="2"/>
    <x v="7"/>
    <s v="thomas.owens@outlook.com"/>
    <s v="43920 Shaffer Valley Suite 531, South Jerry, MD 67120"/>
    <x v="238"/>
    <x v="81"/>
    <s v="06:46:28"/>
    <x v="37"/>
    <n v="133.62"/>
    <n v="1"/>
    <x v="0"/>
    <n v="1"/>
    <n v="57"/>
    <n v="45602"/>
    <s v="11:47:41"/>
    <n v="7"/>
    <n v="133.62"/>
    <n v="0.08"/>
    <n v="122.93040000000001"/>
    <n v="179.93040000000002"/>
    <x v="81"/>
    <s v="Late"/>
    <n v="10"/>
    <n v="50"/>
  </r>
  <r>
    <x v="26"/>
    <s v="Heather"/>
    <s v="Schneider"/>
    <x v="26"/>
    <n v="48"/>
    <x v="1"/>
    <x v="3"/>
    <s v="heather.schneider@outlook.com"/>
    <s v="57940 Susan Creek Apt. 541, Port Aliciamouth, OR 90221"/>
    <x v="239"/>
    <x v="197"/>
    <s v="22:27:32"/>
    <x v="18"/>
    <n v="282.63"/>
    <n v="4"/>
    <x v="4"/>
    <n v="1"/>
    <n v="60"/>
    <n v="45618"/>
    <s v="22:31:13"/>
    <n v="2"/>
    <n v="1130.52"/>
    <n v="0.1"/>
    <n v="1017.468"/>
    <n v="1077.4679999999998"/>
    <x v="26"/>
    <s v="Late"/>
    <n v="11"/>
    <n v="50"/>
  </r>
  <r>
    <x v="28"/>
    <s v="Jenny"/>
    <s v="Estrada"/>
    <x v="28"/>
    <n v="45"/>
    <x v="0"/>
    <x v="1"/>
    <s v="jenny.estrada@yahoo.com"/>
    <s v="792 Carlos Islands, West David, CT 16522"/>
    <x v="240"/>
    <x v="183"/>
    <s v="18:42:20"/>
    <x v="1"/>
    <n v="166.28"/>
    <n v="3"/>
    <x v="4"/>
    <n v="6"/>
    <n v="59"/>
    <n v="45275"/>
    <s v="00:21:21"/>
    <n v="4"/>
    <n v="498.84000000000003"/>
    <n v="0.1"/>
    <n v="448.95600000000002"/>
    <n v="507.95600000000002"/>
    <x v="28"/>
    <s v="BeforeTime"/>
    <n v="12"/>
    <n v="50"/>
  </r>
  <r>
    <x v="69"/>
    <s v="Lindsey"/>
    <s v="Byrd"/>
    <x v="69"/>
    <n v="32"/>
    <x v="0"/>
    <x v="5"/>
    <s v="lindsey.byrd@rediffmail.com"/>
    <s v="USCGC Harper, FPO AA 38349"/>
    <x v="241"/>
    <x v="191"/>
    <s v="22:07:35"/>
    <x v="36"/>
    <n v="425.59"/>
    <n v="5"/>
    <x v="0"/>
    <n v="7"/>
    <n v="57"/>
    <n v="45124"/>
    <s v="03:39:43"/>
    <n v="7"/>
    <n v="2127.9499999999998"/>
    <n v="0.08"/>
    <n v="1957.7139999999999"/>
    <n v="2014.7139999999999"/>
    <x v="69"/>
    <s v="InTime"/>
    <n v="7"/>
    <n v="50"/>
  </r>
  <r>
    <x v="46"/>
    <s v="Brittany"/>
    <s v="Stewart"/>
    <x v="46"/>
    <n v="68"/>
    <x v="2"/>
    <x v="7"/>
    <s v="brittany.stewart@gmail.com"/>
    <s v="6250 David Loaf Suite 561, North Pamelaberg, WV 63652"/>
    <x v="242"/>
    <x v="198"/>
    <s v="07:28:42"/>
    <x v="5"/>
    <n v="363.64"/>
    <n v="5"/>
    <x v="4"/>
    <n v="7"/>
    <n v="60"/>
    <n v="45419"/>
    <s v="12:34:57"/>
    <n v="2"/>
    <n v="1818.1999999999998"/>
    <n v="0.1"/>
    <n v="1636.3799999999999"/>
    <n v="1696.3799999999999"/>
    <x v="46"/>
    <s v="BeforeTime"/>
    <n v="5"/>
    <n v="50"/>
  </r>
  <r>
    <x v="82"/>
    <s v="Brendan"/>
    <s v="Kelly"/>
    <x v="82"/>
    <n v="50"/>
    <x v="2"/>
    <x v="6"/>
    <s v="brendan.kelly@rediffmail.com"/>
    <s v="688 Donald Oval Suite 089, Shepardport, CA 50844"/>
    <x v="243"/>
    <x v="199"/>
    <s v="14:01:51"/>
    <x v="39"/>
    <n v="403.03"/>
    <n v="5"/>
    <x v="3"/>
    <n v="2"/>
    <n v="52"/>
    <n v="45475"/>
    <s v="23:41:13"/>
    <n v="5"/>
    <n v="2015.1499999999999"/>
    <n v="0.2"/>
    <n v="1612.12"/>
    <n v="1664.12"/>
    <x v="82"/>
    <s v="Late"/>
    <n v="6"/>
    <n v="50"/>
  </r>
  <r>
    <x v="50"/>
    <s v="Katherine"/>
    <s v="Weber"/>
    <x v="50"/>
    <n v="42"/>
    <x v="2"/>
    <x v="2"/>
    <s v="katherine.weber@outlook.com"/>
    <s v="04887 Kimberly Union Apt. 645, Port Laura, IL 97219"/>
    <x v="244"/>
    <x v="200"/>
    <s v="20:50:23"/>
    <x v="30"/>
    <n v="369.03"/>
    <n v="1"/>
    <x v="3"/>
    <n v="6"/>
    <n v="38"/>
    <n v="44974"/>
    <s v="01:51:44"/>
    <n v="6"/>
    <n v="369.03"/>
    <n v="0.2"/>
    <n v="295.22399999999999"/>
    <n v="333.22399999999999"/>
    <x v="50"/>
    <s v="InTime"/>
    <n v="2"/>
    <n v="50"/>
  </r>
  <r>
    <x v="83"/>
    <s v="Jessica"/>
    <s v="Ruiz"/>
    <x v="83"/>
    <n v="19"/>
    <x v="1"/>
    <x v="2"/>
    <s v="jessica.ruiz@rediffmail.com"/>
    <s v="02370 Laura Station Suite 309, Brandonville, DE 18875"/>
    <x v="245"/>
    <x v="201"/>
    <s v="08:30:48"/>
    <x v="33"/>
    <n v="421.7"/>
    <n v="5"/>
    <x v="4"/>
    <n v="6"/>
    <n v="61"/>
    <n v="45457"/>
    <s v="01:26:28"/>
    <n v="4"/>
    <n v="2108.5"/>
    <n v="0.1"/>
    <n v="1897.65"/>
    <n v="1958.65"/>
    <x v="83"/>
    <s v="BeforeTime"/>
    <n v="6"/>
    <n v="50"/>
  </r>
  <r>
    <x v="78"/>
    <s v="Mark"/>
    <s v="Summers"/>
    <x v="78"/>
    <n v="55"/>
    <x v="1"/>
    <x v="5"/>
    <s v="mark.summers@outlook.com"/>
    <s v="08413 Lynch Parkway, Calderonstad, NV 32697"/>
    <x v="246"/>
    <x v="202"/>
    <s v="05:34:02"/>
    <x v="45"/>
    <n v="381.73"/>
    <n v="4"/>
    <x v="0"/>
    <n v="2"/>
    <n v="58"/>
    <n v="45613"/>
    <s v="15:11:50"/>
    <n v="5"/>
    <n v="1526.92"/>
    <n v="0.08"/>
    <n v="1404.7664"/>
    <n v="1462.7664"/>
    <x v="78"/>
    <s v="Late"/>
    <n v="11"/>
    <n v="50"/>
  </r>
  <r>
    <x v="65"/>
    <s v="Lisa"/>
    <s v="Miller"/>
    <x v="65"/>
    <n v="70"/>
    <x v="1"/>
    <x v="3"/>
    <s v="lisa.miller@gmail.com"/>
    <s v="89748 Campbell Drive, South Tannerland, WI 13143"/>
    <x v="247"/>
    <x v="203"/>
    <s v="22:30:30"/>
    <x v="9"/>
    <n v="175.93"/>
    <n v="2"/>
    <x v="4"/>
    <n v="7"/>
    <n v="61"/>
    <n v="45391"/>
    <s v="23:12:23"/>
    <n v="5"/>
    <n v="351.86"/>
    <n v="0.1"/>
    <n v="316.67400000000004"/>
    <n v="377.67400000000004"/>
    <x v="65"/>
    <s v="BeforeTime"/>
    <n v="4"/>
    <n v="50"/>
  </r>
  <r>
    <x v="38"/>
    <s v="John"/>
    <s v="Ramirez"/>
    <x v="38"/>
    <n v="28"/>
    <x v="2"/>
    <x v="4"/>
    <s v="john.ramirez@outlook.com"/>
    <s v="02797 Martin Landing, South Michelle, VT 98781"/>
    <x v="248"/>
    <x v="65"/>
    <s v="06:13:30"/>
    <x v="45"/>
    <n v="381.73"/>
    <n v="2"/>
    <x v="1"/>
    <n v="2"/>
    <n v="68"/>
    <n v="45329"/>
    <s v="00:33:32"/>
    <n v="7"/>
    <n v="763.46"/>
    <n v="0.15"/>
    <n v="648.94100000000003"/>
    <n v="716.94100000000003"/>
    <x v="38"/>
    <s v="Late"/>
    <n v="1"/>
    <n v="50"/>
  </r>
  <r>
    <x v="84"/>
    <s v="Hannah"/>
    <s v="Gutierrez"/>
    <x v="84"/>
    <n v="55"/>
    <x v="1"/>
    <x v="5"/>
    <s v="hannah.gutierrez@yahoo.com"/>
    <s v="2420 David Manors, Jessicaland, CT 41698"/>
    <x v="249"/>
    <x v="199"/>
    <s v="14:11:09"/>
    <x v="35"/>
    <n v="441.03"/>
    <n v="3"/>
    <x v="2"/>
    <n v="4"/>
    <n v="47"/>
    <n v="45473"/>
    <s v="00:33:26"/>
    <n v="3"/>
    <n v="1323.09"/>
    <n v="0"/>
    <n v="1323.09"/>
    <n v="1323.09"/>
    <x v="84"/>
    <s v="BeforeTime"/>
    <n v="6"/>
    <n v="50"/>
  </r>
  <r>
    <x v="85"/>
    <s v="Angela"/>
    <s v="Casey"/>
    <x v="85"/>
    <n v="40"/>
    <x v="0"/>
    <x v="2"/>
    <s v="angela.casey@gmail.com"/>
    <s v="089 Farley Terrace, Thomashaven, MT 56607"/>
    <x v="250"/>
    <x v="204"/>
    <s v="22:46:20"/>
    <x v="34"/>
    <n v="136.30000000000001"/>
    <n v="2"/>
    <x v="0"/>
    <n v="6"/>
    <n v="58"/>
    <n v="45533"/>
    <s v="15:31:26"/>
    <n v="2"/>
    <n v="272.60000000000002"/>
    <n v="0.08"/>
    <n v="250.79200000000003"/>
    <n v="308.79200000000003"/>
    <x v="85"/>
    <s v="BeforeTime"/>
    <n v="8"/>
    <n v="50"/>
  </r>
  <r>
    <x v="53"/>
    <s v="Jodi"/>
    <s v="Whitney"/>
    <x v="53"/>
    <n v="33"/>
    <x v="2"/>
    <x v="6"/>
    <s v="jodi.whitney@yahoo.com"/>
    <s v="72876 Lara Key Suite 383, Gutierrezton, OR 71683"/>
    <x v="251"/>
    <x v="205"/>
    <s v="03:47:08"/>
    <x v="39"/>
    <n v="403.03"/>
    <n v="3"/>
    <x v="1"/>
    <n v="5"/>
    <n v="44"/>
    <n v="45384"/>
    <s v="03:23:26"/>
    <n v="1"/>
    <n v="1209.0899999999999"/>
    <n v="0.15"/>
    <n v="1027.7265"/>
    <n v="1071.7265"/>
    <x v="53"/>
    <s v="BeforeTime"/>
    <n v="4"/>
    <n v="50"/>
  </r>
  <r>
    <x v="76"/>
    <s v="Natasha"/>
    <s v="Michael"/>
    <x v="76"/>
    <n v="49"/>
    <x v="0"/>
    <x v="1"/>
    <s v="natasha.michael@gmail.com"/>
    <s v="78992 Justin Estates Suite 226, Floresberg, NM 40797"/>
    <x v="252"/>
    <x v="206"/>
    <s v="07:21:30"/>
    <x v="45"/>
    <n v="381.73"/>
    <n v="5"/>
    <x v="0"/>
    <n v="7"/>
    <n v="45"/>
    <n v="45236"/>
    <s v="09:57:13"/>
    <n v="3"/>
    <n v="1908.65"/>
    <n v="0.08"/>
    <n v="1755.9580000000001"/>
    <n v="1800.9580000000001"/>
    <x v="76"/>
    <s v="BeforeTime"/>
    <n v="11"/>
    <n v="50"/>
  </r>
  <r>
    <x v="75"/>
    <s v="Rachael"/>
    <s v="Robinson"/>
    <x v="75"/>
    <n v="24"/>
    <x v="2"/>
    <x v="7"/>
    <s v="rachael.robinson@rediffmail.com"/>
    <s v="0889 Brady Points, Port Meganhaven, NM 26553"/>
    <x v="253"/>
    <x v="207"/>
    <s v="16:49:20"/>
    <x v="45"/>
    <n v="381.73"/>
    <n v="1"/>
    <x v="0"/>
    <n v="3"/>
    <n v="36"/>
    <n v="45675"/>
    <s v="22:40:50"/>
    <n v="7"/>
    <n v="381.73"/>
    <n v="0.08"/>
    <n v="351.19159999999999"/>
    <n v="387.19159999999999"/>
    <x v="75"/>
    <s v="Late"/>
    <n v="1"/>
    <n v="50"/>
  </r>
  <r>
    <x v="43"/>
    <s v="Rebecca"/>
    <s v="Figueroa"/>
    <x v="43"/>
    <n v="63"/>
    <x v="0"/>
    <x v="4"/>
    <s v="rebecca.figueroa@outlook.com"/>
    <s v="3959 Bell Dale, North Jacob, LA 07934"/>
    <x v="254"/>
    <x v="160"/>
    <s v="16:59:25"/>
    <x v="36"/>
    <n v="425.59"/>
    <n v="1"/>
    <x v="3"/>
    <n v="7"/>
    <n v="40"/>
    <n v="45460"/>
    <s v="13:29:40"/>
    <n v="3"/>
    <n v="425.59"/>
    <n v="0.2"/>
    <n v="340.47199999999998"/>
    <n v="380.47199999999998"/>
    <x v="43"/>
    <s v="BeforeTime"/>
    <n v="6"/>
    <n v="50"/>
  </r>
  <r>
    <x v="24"/>
    <s v="Lauren"/>
    <s v="Long"/>
    <x v="24"/>
    <n v="44"/>
    <x v="0"/>
    <x v="7"/>
    <s v="lauren.long@gmail.com"/>
    <s v="258 Michael Brooks Suite 363, Arnoldview, PA 49438"/>
    <x v="255"/>
    <x v="208"/>
    <s v="06:15:44"/>
    <x v="24"/>
    <n v="481.48"/>
    <n v="4"/>
    <x v="1"/>
    <n v="4"/>
    <n v="67"/>
    <n v="45665"/>
    <s v="09:11:07"/>
    <n v="6"/>
    <n v="1925.92"/>
    <n v="0.15"/>
    <n v="1637.0320000000002"/>
    <n v="1704.0320000000002"/>
    <x v="24"/>
    <s v="Late"/>
    <n v="1"/>
    <n v="50"/>
  </r>
  <r>
    <x v="12"/>
    <s v="Joshua"/>
    <s v="Campbell"/>
    <x v="12"/>
    <n v="24"/>
    <x v="0"/>
    <x v="5"/>
    <s v="joshua.campbell@gmail.com"/>
    <s v="70426 Lindsey Overpass Apt. 030, Jessicafurt, AR 46269"/>
    <x v="256"/>
    <x v="209"/>
    <s v="17:29:54"/>
    <x v="33"/>
    <n v="421.7"/>
    <n v="2"/>
    <x v="4"/>
    <n v="2"/>
    <n v="54"/>
    <n v="45514"/>
    <s v="07:27:00"/>
    <n v="2"/>
    <n v="843.4"/>
    <n v="0.1"/>
    <n v="759.06"/>
    <n v="813.06"/>
    <x v="12"/>
    <s v="InTime"/>
    <n v="8"/>
    <n v="50"/>
  </r>
  <r>
    <x v="27"/>
    <s v="Valerie"/>
    <s v="Carr"/>
    <x v="27"/>
    <n v="26"/>
    <x v="2"/>
    <x v="6"/>
    <s v="valerie.carr@rediffmail.com"/>
    <s v="981 Emily Stream, South Brianna, CO 98063"/>
    <x v="257"/>
    <x v="210"/>
    <s v="05:25:01"/>
    <x v="44"/>
    <n v="110.95"/>
    <n v="3"/>
    <x v="2"/>
    <n v="5"/>
    <n v="47"/>
    <n v="45399"/>
    <s v="02:19:52"/>
    <n v="6"/>
    <n v="332.85"/>
    <n v="0"/>
    <n v="332.85"/>
    <n v="332.85"/>
    <x v="27"/>
    <s v="Late"/>
    <n v="4"/>
    <n v="50"/>
  </r>
  <r>
    <x v="49"/>
    <s v="Sarah"/>
    <s v="Butler"/>
    <x v="49"/>
    <n v="64"/>
    <x v="0"/>
    <x v="0"/>
    <s v="sarah.butler@rediffmail.com"/>
    <s v="14131 Edwin Shore Apt. 190, Deniseberg, MD 90905"/>
    <x v="258"/>
    <x v="211"/>
    <s v="00:49:15"/>
    <x v="18"/>
    <n v="282.63"/>
    <n v="4"/>
    <x v="4"/>
    <n v="3"/>
    <n v="52"/>
    <n v="45191"/>
    <s v="07:05:22"/>
    <n v="3"/>
    <n v="1130.52"/>
    <n v="0.1"/>
    <n v="1017.468"/>
    <n v="1069.4679999999998"/>
    <x v="49"/>
    <s v="InTime"/>
    <n v="9"/>
    <n v="50"/>
  </r>
  <r>
    <x v="73"/>
    <s v="Susan"/>
    <s v="Thompson"/>
    <x v="73"/>
    <n v="37"/>
    <x v="2"/>
    <x v="7"/>
    <s v="susan.thompson@outlook.com"/>
    <s v="47821 William Station, East Ashleymouth, FL 20562"/>
    <x v="259"/>
    <x v="111"/>
    <s v="10:13:34"/>
    <x v="22"/>
    <n v="158.53"/>
    <n v="3"/>
    <x v="4"/>
    <n v="3"/>
    <n v="63"/>
    <n v="45336"/>
    <s v="00:06:39"/>
    <n v="1"/>
    <n v="475.59000000000003"/>
    <n v="0.1"/>
    <n v="428.03100000000001"/>
    <n v="491.03100000000001"/>
    <x v="73"/>
    <s v="BeforeTime"/>
    <n v="2"/>
    <n v="50"/>
  </r>
  <r>
    <x v="78"/>
    <s v="Mark"/>
    <s v="Summers"/>
    <x v="78"/>
    <n v="55"/>
    <x v="1"/>
    <x v="5"/>
    <s v="mark.summers@outlook.com"/>
    <s v="08413 Lynch Parkway, Calderonstad, NV 32697"/>
    <x v="260"/>
    <x v="212"/>
    <s v="22:48:36"/>
    <x v="20"/>
    <n v="62.42"/>
    <n v="3"/>
    <x v="0"/>
    <n v="3"/>
    <n v="37"/>
    <n v="45031"/>
    <s v="11:30:05"/>
    <n v="5"/>
    <n v="187.26"/>
    <n v="0.08"/>
    <n v="172.2792"/>
    <n v="209.2792"/>
    <x v="78"/>
    <s v="Late"/>
    <n v="4"/>
    <n v="50"/>
  </r>
  <r>
    <x v="27"/>
    <s v="Valerie"/>
    <s v="Carr"/>
    <x v="27"/>
    <n v="26"/>
    <x v="2"/>
    <x v="6"/>
    <s v="valerie.carr@rediffmail.com"/>
    <s v="981 Emily Stream, South Brianna, CO 98063"/>
    <x v="261"/>
    <x v="213"/>
    <s v="03:37:20"/>
    <x v="42"/>
    <n v="235.63"/>
    <n v="2"/>
    <x v="1"/>
    <n v="4"/>
    <n v="44"/>
    <n v="45458"/>
    <s v="08:01:11"/>
    <n v="4"/>
    <n v="471.26"/>
    <n v="0.15"/>
    <n v="400.57100000000003"/>
    <n v="444.57100000000003"/>
    <x v="27"/>
    <s v="InTime"/>
    <n v="6"/>
    <n v="50"/>
  </r>
  <r>
    <x v="24"/>
    <s v="Lauren"/>
    <s v="Long"/>
    <x v="24"/>
    <n v="44"/>
    <x v="0"/>
    <x v="7"/>
    <s v="lauren.long@gmail.com"/>
    <s v="258 Michael Brooks Suite 363, Arnoldview, PA 49438"/>
    <x v="262"/>
    <x v="214"/>
    <s v="23:47:53"/>
    <x v="21"/>
    <n v="157.63999999999999"/>
    <n v="2"/>
    <x v="0"/>
    <n v="1"/>
    <n v="56"/>
    <n v="45552"/>
    <s v="00:49:45"/>
    <n v="5"/>
    <n v="315.27999999999997"/>
    <n v="0.08"/>
    <n v="290.05759999999998"/>
    <n v="346.05759999999998"/>
    <x v="24"/>
    <s v="Late"/>
    <n v="9"/>
    <n v="50"/>
  </r>
  <r>
    <x v="22"/>
    <s v="Ashley"/>
    <s v="Rose"/>
    <x v="22"/>
    <n v="60"/>
    <x v="2"/>
    <x v="0"/>
    <s v="ashley.rose@gmail.com"/>
    <s v="424 Nichols Curve Suite 177, Lake Brianview, TX 17289"/>
    <x v="263"/>
    <x v="215"/>
    <s v="15:54:45"/>
    <x v="26"/>
    <n v="372.62"/>
    <n v="4"/>
    <x v="1"/>
    <n v="2"/>
    <n v="42"/>
    <n v="45001"/>
    <s v="19:22:50"/>
    <n v="5"/>
    <n v="1490.48"/>
    <n v="0.15"/>
    <n v="1266.9079999999999"/>
    <n v="1308.9079999999999"/>
    <x v="22"/>
    <s v="Late"/>
    <n v="3"/>
    <n v="50"/>
  </r>
  <r>
    <x v="82"/>
    <s v="Brendan"/>
    <s v="Kelly"/>
    <x v="82"/>
    <n v="50"/>
    <x v="2"/>
    <x v="6"/>
    <s v="brendan.kelly@rediffmail.com"/>
    <s v="688 Donald Oval Suite 089, Shepardport, CA 50844"/>
    <x v="264"/>
    <x v="216"/>
    <s v="21:10:06"/>
    <x v="39"/>
    <n v="403.03"/>
    <n v="2"/>
    <x v="3"/>
    <n v="3"/>
    <n v="61"/>
    <n v="45677"/>
    <s v="08:42:57"/>
    <n v="5"/>
    <n v="806.06"/>
    <n v="0.2"/>
    <n v="644.84799999999996"/>
    <n v="705.84799999999996"/>
    <x v="82"/>
    <s v="Late"/>
    <n v="1"/>
    <n v="50"/>
  </r>
  <r>
    <x v="18"/>
    <s v="Christian"/>
    <s v="Clayton"/>
    <x v="18"/>
    <n v="39"/>
    <x v="1"/>
    <x v="5"/>
    <s v="christian.clayton@yahoo.com"/>
    <s v="065 Madison Way, Smithstad, CT 68011"/>
    <x v="265"/>
    <x v="217"/>
    <s v="17:39:16"/>
    <x v="14"/>
    <n v="20.7"/>
    <n v="3"/>
    <x v="2"/>
    <n v="1"/>
    <n v="67"/>
    <n v="45372"/>
    <s v="05:28:25"/>
    <n v="6"/>
    <n v="62.099999999999994"/>
    <n v="0"/>
    <n v="62.099999999999994"/>
    <n v="62.099999999999994"/>
    <x v="18"/>
    <s v="Late"/>
    <n v="3"/>
    <n v="50"/>
  </r>
  <r>
    <x v="15"/>
    <s v="Mallory"/>
    <s v="Mitchell"/>
    <x v="15"/>
    <n v="42"/>
    <x v="1"/>
    <x v="6"/>
    <s v="mallory.mitchell@yahoo.com"/>
    <s v="710 Anthony Wall Suite 137, East Davidstad, NV 61494"/>
    <x v="266"/>
    <x v="185"/>
    <s v="21:59:14"/>
    <x v="34"/>
    <n v="136.30000000000001"/>
    <n v="2"/>
    <x v="3"/>
    <n v="2"/>
    <n v="45"/>
    <n v="45546"/>
    <s v="00:34:58"/>
    <n v="5"/>
    <n v="272.60000000000002"/>
    <n v="0.2"/>
    <n v="218.08"/>
    <n v="263.08000000000004"/>
    <x v="15"/>
    <s v="Late"/>
    <n v="9"/>
    <n v="50"/>
  </r>
  <r>
    <x v="63"/>
    <s v="Gregory"/>
    <s v="Lee"/>
    <x v="63"/>
    <n v="26"/>
    <x v="2"/>
    <x v="2"/>
    <s v="gregory.lee@rediffmail.com"/>
    <s v="619 Parker Turnpike Apt. 025, West Brucehaven, ID 48437"/>
    <x v="267"/>
    <x v="30"/>
    <s v="21:47:08"/>
    <x v="44"/>
    <n v="110.95"/>
    <n v="2"/>
    <x v="3"/>
    <n v="3"/>
    <n v="36"/>
    <n v="45394"/>
    <s v="12:42:34"/>
    <n v="5"/>
    <n v="221.9"/>
    <n v="0.2"/>
    <n v="177.52"/>
    <n v="213.52"/>
    <x v="63"/>
    <s v="Late"/>
    <n v="4"/>
    <n v="50"/>
  </r>
  <r>
    <x v="20"/>
    <s v="John"/>
    <s v="Herrera"/>
    <x v="20"/>
    <n v="64"/>
    <x v="1"/>
    <x v="1"/>
    <s v="john.herrera@outlook.com"/>
    <s v="61263 Jacob Isle, Amandatown, TN 34321"/>
    <x v="268"/>
    <x v="218"/>
    <s v="00:57:26"/>
    <x v="26"/>
    <n v="372.62"/>
    <n v="3"/>
    <x v="2"/>
    <n v="5"/>
    <n v="54"/>
    <n v="45352"/>
    <s v="23:16:52"/>
    <n v="1"/>
    <n v="1117.8600000000001"/>
    <n v="0"/>
    <n v="1117.8600000000001"/>
    <n v="1117.8600000000001"/>
    <x v="20"/>
    <s v="BeforeTime"/>
    <n v="2"/>
    <n v="50"/>
  </r>
  <r>
    <x v="86"/>
    <s v="Megan"/>
    <s v="Hunt"/>
    <x v="86"/>
    <n v="63"/>
    <x v="0"/>
    <x v="6"/>
    <s v="megan.hunt@rediffmail.com"/>
    <s v="03765 Velazquez Knoll Suite 478, Richardshire, UT 17200"/>
    <x v="269"/>
    <x v="219"/>
    <s v="21:16:04"/>
    <x v="21"/>
    <n v="157.63999999999999"/>
    <n v="2"/>
    <x v="0"/>
    <n v="4"/>
    <n v="61"/>
    <n v="45090"/>
    <s v="10:41:25"/>
    <n v="7"/>
    <n v="315.27999999999997"/>
    <n v="0.08"/>
    <n v="290.05759999999998"/>
    <n v="351.05759999999998"/>
    <x v="86"/>
    <s v="Late"/>
    <n v="6"/>
    <n v="50"/>
  </r>
  <r>
    <x v="83"/>
    <s v="Jessica"/>
    <s v="Ruiz"/>
    <x v="83"/>
    <n v="19"/>
    <x v="1"/>
    <x v="2"/>
    <s v="jessica.ruiz@rediffmail.com"/>
    <s v="02370 Laura Station Suite 309, Brandonville, DE 18875"/>
    <x v="270"/>
    <x v="12"/>
    <s v="20:03:28"/>
    <x v="10"/>
    <n v="190.1"/>
    <n v="3"/>
    <x v="0"/>
    <n v="4"/>
    <n v="63"/>
    <n v="45002"/>
    <s v="11:16:12"/>
    <n v="5"/>
    <n v="570.29999999999995"/>
    <n v="0.08"/>
    <n v="524.67599999999993"/>
    <n v="587.67599999999993"/>
    <x v="83"/>
    <s v="Late"/>
    <n v="3"/>
    <n v="50"/>
  </r>
  <r>
    <x v="87"/>
    <s v="Jared"/>
    <s v="Horn"/>
    <x v="87"/>
    <n v="43"/>
    <x v="0"/>
    <x v="4"/>
    <s v="jared.horn@outlook.com"/>
    <s v="43325 Barbara Tunnel, Port James, LA 16246"/>
    <x v="271"/>
    <x v="220"/>
    <s v="15:38:50"/>
    <x v="48"/>
    <n v="107.47"/>
    <n v="1"/>
    <x v="0"/>
    <n v="4"/>
    <n v="36"/>
    <n v="45430"/>
    <s v="12:50:53"/>
    <n v="2"/>
    <n v="107.47"/>
    <n v="0.08"/>
    <n v="98.872399999999999"/>
    <n v="134.8724"/>
    <x v="87"/>
    <s v="BeforeTime"/>
    <n v="5"/>
    <n v="50"/>
  </r>
  <r>
    <x v="35"/>
    <s v="Aaron"/>
    <s v="Thompson"/>
    <x v="35"/>
    <n v="47"/>
    <x v="1"/>
    <x v="3"/>
    <s v="aaron.thompson@gmail.com"/>
    <s v="PSC 0550, Box 2737, APO AE 75772"/>
    <x v="272"/>
    <x v="221"/>
    <s v="03:13:28"/>
    <x v="9"/>
    <n v="175.93"/>
    <n v="3"/>
    <x v="2"/>
    <n v="3"/>
    <n v="58"/>
    <n v="45017"/>
    <s v="07:58:28"/>
    <n v="5"/>
    <n v="527.79"/>
    <n v="0"/>
    <n v="527.79"/>
    <n v="527.79"/>
    <x v="35"/>
    <s v="Late"/>
    <n v="3"/>
    <n v="50"/>
  </r>
  <r>
    <x v="82"/>
    <s v="Brendan"/>
    <s v="Kelly"/>
    <x v="82"/>
    <n v="50"/>
    <x v="2"/>
    <x v="6"/>
    <s v="brendan.kelly@rediffmail.com"/>
    <s v="688 Donald Oval Suite 089, Shepardport, CA 50844"/>
    <x v="273"/>
    <x v="173"/>
    <s v="12:54:20"/>
    <x v="43"/>
    <n v="424.82"/>
    <n v="3"/>
    <x v="2"/>
    <n v="3"/>
    <n v="42"/>
    <n v="45482"/>
    <s v="17:32:38"/>
    <n v="1"/>
    <n v="1274.46"/>
    <n v="0"/>
    <n v="1274.46"/>
    <n v="1274.46"/>
    <x v="82"/>
    <s v="BeforeTime"/>
    <n v="7"/>
    <n v="50"/>
  </r>
  <r>
    <x v="88"/>
    <s v="Veronica"/>
    <s v="Lopez"/>
    <x v="88"/>
    <n v="18"/>
    <x v="1"/>
    <x v="7"/>
    <s v="veronica.lopez@gmail.com"/>
    <s v="660 Karen Station Apt. 887, Allenside, ID 03170"/>
    <x v="274"/>
    <x v="222"/>
    <s v="15:59:36"/>
    <x v="24"/>
    <n v="481.48"/>
    <n v="4"/>
    <x v="2"/>
    <n v="2"/>
    <n v="61"/>
    <n v="45338"/>
    <s v="07:38:19"/>
    <n v="6"/>
    <n v="1925.92"/>
    <n v="0"/>
    <n v="1925.92"/>
    <n v="1925.92"/>
    <x v="88"/>
    <s v="Late"/>
    <n v="2"/>
    <n v="50"/>
  </r>
  <r>
    <x v="82"/>
    <s v="Brendan"/>
    <s v="Kelly"/>
    <x v="82"/>
    <n v="50"/>
    <x v="2"/>
    <x v="6"/>
    <s v="brendan.kelly@rediffmail.com"/>
    <s v="688 Donald Oval Suite 089, Shepardport, CA 50844"/>
    <x v="275"/>
    <x v="52"/>
    <s v="19:52:34"/>
    <x v="13"/>
    <n v="104.18"/>
    <n v="1"/>
    <x v="0"/>
    <n v="1"/>
    <n v="48"/>
    <n v="45603"/>
    <s v="07:40:09"/>
    <n v="4"/>
    <n v="104.18"/>
    <n v="0.08"/>
    <n v="95.845600000000005"/>
    <n v="143.84559999999999"/>
    <x v="82"/>
    <s v="Late"/>
    <n v="11"/>
    <n v="50"/>
  </r>
  <r>
    <x v="89"/>
    <s v="Sarah"/>
    <s v="Benson"/>
    <x v="89"/>
    <n v="40"/>
    <x v="2"/>
    <x v="7"/>
    <s v="sarah.benson@outlook.com"/>
    <s v="5399 Hayes Well, West Pennystad, IL 93798"/>
    <x v="276"/>
    <x v="223"/>
    <s v="20:27:13"/>
    <x v="36"/>
    <n v="425.59"/>
    <n v="2"/>
    <x v="0"/>
    <n v="3"/>
    <n v="47"/>
    <n v="45423"/>
    <s v="22:27:12"/>
    <n v="1"/>
    <n v="851.18"/>
    <n v="0.08"/>
    <n v="783.0856"/>
    <n v="830.0856"/>
    <x v="89"/>
    <s v="BeforeTime"/>
    <n v="5"/>
    <n v="50"/>
  </r>
  <r>
    <x v="83"/>
    <s v="Jessica"/>
    <s v="Ruiz"/>
    <x v="83"/>
    <n v="19"/>
    <x v="1"/>
    <x v="2"/>
    <s v="jessica.ruiz@rediffmail.com"/>
    <s v="02370 Laura Station Suite 309, Brandonville, DE 18875"/>
    <x v="277"/>
    <x v="224"/>
    <s v="04:24:31"/>
    <x v="15"/>
    <n v="461.07"/>
    <n v="4"/>
    <x v="2"/>
    <n v="6"/>
    <n v="46"/>
    <n v="45022"/>
    <s v="06:44:34"/>
    <n v="5"/>
    <n v="1844.28"/>
    <n v="0"/>
    <n v="1844.28"/>
    <n v="1844.28"/>
    <x v="83"/>
    <s v="BeforeTime"/>
    <n v="4"/>
    <n v="50"/>
  </r>
  <r>
    <x v="11"/>
    <s v="Amy"/>
    <s v="Reid"/>
    <x v="11"/>
    <n v="44"/>
    <x v="1"/>
    <x v="3"/>
    <s v="amy.reid@rediffmail.com"/>
    <s v="6262 Simpson Village, North Danielle, RI 76074"/>
    <x v="278"/>
    <x v="223"/>
    <s v="05:26:44"/>
    <x v="20"/>
    <n v="62.42"/>
    <n v="4"/>
    <x v="1"/>
    <n v="1"/>
    <n v="67"/>
    <n v="45426"/>
    <s v="06:17:48"/>
    <n v="4"/>
    <n v="249.68"/>
    <n v="0.15"/>
    <n v="212.22800000000001"/>
    <n v="279.22800000000001"/>
    <x v="11"/>
    <s v="Late"/>
    <n v="5"/>
    <n v="50"/>
  </r>
  <r>
    <x v="1"/>
    <s v="Anthony"/>
    <s v="Thomas"/>
    <x v="1"/>
    <n v="53"/>
    <x v="1"/>
    <x v="1"/>
    <s v="anthony.thomas@rediffmail.com"/>
    <s v="931 Christopher Ways Suite 833, North Michelle, IN 53484"/>
    <x v="279"/>
    <x v="112"/>
    <s v="13:33:00"/>
    <x v="8"/>
    <n v="257.06"/>
    <n v="1"/>
    <x v="3"/>
    <n v="5"/>
    <n v="64"/>
    <n v="45188"/>
    <s v="16:40:47"/>
    <n v="2"/>
    <n v="257.06"/>
    <n v="0.2"/>
    <n v="205.648"/>
    <n v="269.64800000000002"/>
    <x v="1"/>
    <s v="BeforeTime"/>
    <n v="9"/>
    <n v="50"/>
  </r>
  <r>
    <x v="53"/>
    <s v="Jodi"/>
    <s v="Whitney"/>
    <x v="53"/>
    <n v="33"/>
    <x v="2"/>
    <x v="6"/>
    <s v="jodi.whitney@yahoo.com"/>
    <s v="72876 Lara Key Suite 383, Gutierrezton, OR 71683"/>
    <x v="280"/>
    <x v="131"/>
    <s v="22:42:24"/>
    <x v="12"/>
    <n v="272.51"/>
    <n v="4"/>
    <x v="3"/>
    <n v="6"/>
    <n v="39"/>
    <n v="45679"/>
    <s v="19:19:52"/>
    <n v="2"/>
    <n v="1090.04"/>
    <n v="0.2"/>
    <n v="872.03199999999993"/>
    <n v="911.03199999999993"/>
    <x v="53"/>
    <s v="BeforeTime"/>
    <n v="1"/>
    <n v="50"/>
  </r>
  <r>
    <x v="21"/>
    <s v="Angela"/>
    <s v="Evans"/>
    <x v="21"/>
    <n v="52"/>
    <x v="2"/>
    <x v="1"/>
    <s v="angela.evans@outlook.com"/>
    <s v="16031 David Mountain Suite 431, Susanborough, PA 01910"/>
    <x v="281"/>
    <x v="36"/>
    <s v="07:28:15"/>
    <x v="39"/>
    <n v="403.03"/>
    <n v="2"/>
    <x v="0"/>
    <n v="4"/>
    <n v="70"/>
    <n v="45246"/>
    <s v="12:59:43"/>
    <n v="4"/>
    <n v="806.06"/>
    <n v="0.08"/>
    <n v="741.5752"/>
    <n v="811.5752"/>
    <x v="21"/>
    <s v="InTime"/>
    <n v="11"/>
    <n v="50"/>
  </r>
  <r>
    <x v="83"/>
    <s v="Jessica"/>
    <s v="Ruiz"/>
    <x v="83"/>
    <n v="19"/>
    <x v="1"/>
    <x v="2"/>
    <s v="jessica.ruiz@rediffmail.com"/>
    <s v="02370 Laura Station Suite 309, Brandonville, DE 18875"/>
    <x v="282"/>
    <x v="225"/>
    <s v="05:37:56"/>
    <x v="15"/>
    <n v="461.07"/>
    <n v="3"/>
    <x v="4"/>
    <n v="1"/>
    <n v="61"/>
    <n v="45202"/>
    <s v="15:40:22"/>
    <n v="1"/>
    <n v="1383.21"/>
    <n v="0.1"/>
    <n v="1244.8890000000001"/>
    <n v="1305.8890000000001"/>
    <x v="83"/>
    <s v="InTime"/>
    <n v="10"/>
    <n v="50"/>
  </r>
  <r>
    <x v="82"/>
    <s v="Brendan"/>
    <s v="Kelly"/>
    <x v="82"/>
    <n v="50"/>
    <x v="2"/>
    <x v="6"/>
    <s v="brendan.kelly@rediffmail.com"/>
    <s v="688 Donald Oval Suite 089, Shepardport, CA 50844"/>
    <x v="283"/>
    <x v="226"/>
    <s v="20:10:43"/>
    <x v="35"/>
    <n v="441.03"/>
    <n v="3"/>
    <x v="3"/>
    <n v="4"/>
    <n v="40"/>
    <n v="45528"/>
    <s v="08:44:22"/>
    <n v="6"/>
    <n v="1323.09"/>
    <n v="0.2"/>
    <n v="1058.472"/>
    <n v="1098.472"/>
    <x v="82"/>
    <s v="Late"/>
    <n v="8"/>
    <n v="50"/>
  </r>
  <r>
    <x v="10"/>
    <s v="Kara"/>
    <s v="Brennan"/>
    <x v="10"/>
    <n v="25"/>
    <x v="2"/>
    <x v="4"/>
    <s v="kara.brennan@outlook.com"/>
    <s v="2174 Thomas Avenue, Maciasborough, NJ 41465"/>
    <x v="284"/>
    <x v="227"/>
    <s v="12:34:36"/>
    <x v="9"/>
    <n v="175.93"/>
    <n v="4"/>
    <x v="3"/>
    <n v="6"/>
    <n v="45"/>
    <n v="45097"/>
    <s v="10:14:17"/>
    <n v="7"/>
    <n v="703.72"/>
    <n v="0.2"/>
    <n v="562.976"/>
    <n v="607.976"/>
    <x v="10"/>
    <s v="Late"/>
    <n v="6"/>
    <n v="50"/>
  </r>
  <r>
    <x v="83"/>
    <s v="Jessica"/>
    <s v="Ruiz"/>
    <x v="83"/>
    <n v="19"/>
    <x v="1"/>
    <x v="2"/>
    <s v="jessica.ruiz@rediffmail.com"/>
    <s v="02370 Laura Station Suite 309, Brandonville, DE 18875"/>
    <x v="285"/>
    <x v="228"/>
    <s v="05:06:18"/>
    <x v="30"/>
    <n v="369.03"/>
    <n v="3"/>
    <x v="0"/>
    <n v="6"/>
    <n v="50"/>
    <n v="45052"/>
    <s v="20:00:01"/>
    <n v="3"/>
    <n v="1107.0899999999999"/>
    <n v="0.08"/>
    <n v="1018.5228"/>
    <n v="1068.5228"/>
    <x v="83"/>
    <s v="BeforeTime"/>
    <n v="5"/>
    <n v="50"/>
  </r>
  <r>
    <x v="64"/>
    <s v="Bruce"/>
    <s v="Allen"/>
    <x v="64"/>
    <n v="32"/>
    <x v="1"/>
    <x v="0"/>
    <s v="bruce.allen@rediffmail.com"/>
    <s v="2417 Brown Ford, West Timothyside, RI 45629"/>
    <x v="286"/>
    <x v="229"/>
    <s v="14:47:52"/>
    <x v="24"/>
    <n v="481.48"/>
    <n v="2"/>
    <x v="3"/>
    <n v="3"/>
    <n v="58"/>
    <n v="45683"/>
    <s v="17:06:11"/>
    <n v="7"/>
    <n v="962.96"/>
    <n v="0.2"/>
    <n v="770.36800000000005"/>
    <n v="828.36800000000005"/>
    <x v="64"/>
    <s v="Late"/>
    <n v="1"/>
    <n v="50"/>
  </r>
  <r>
    <x v="76"/>
    <s v="Natasha"/>
    <s v="Michael"/>
    <x v="76"/>
    <n v="49"/>
    <x v="0"/>
    <x v="1"/>
    <s v="natasha.michael@gmail.com"/>
    <s v="78992 Justin Estates Suite 226, Floresberg, NM 40797"/>
    <x v="287"/>
    <x v="230"/>
    <s v="20:27:42"/>
    <x v="36"/>
    <n v="425.59"/>
    <n v="3"/>
    <x v="0"/>
    <n v="6"/>
    <n v="55"/>
    <n v="45099"/>
    <s v="10:15:00"/>
    <n v="7"/>
    <n v="1276.77"/>
    <n v="0.08"/>
    <n v="1174.6284000000001"/>
    <n v="1229.6284000000001"/>
    <x v="76"/>
    <s v="Late"/>
    <n v="6"/>
    <n v="50"/>
  </r>
  <r>
    <x v="30"/>
    <s v="Julie"/>
    <s v="Meyer"/>
    <x v="30"/>
    <n v="23"/>
    <x v="0"/>
    <x v="0"/>
    <s v="julie.meyer@yahoo.com"/>
    <s v="17381 Smith Ramp Suite 398, Courtneyville, AL 17756"/>
    <x v="288"/>
    <x v="208"/>
    <s v="13:24:08"/>
    <x v="49"/>
    <n v="33.49"/>
    <n v="2"/>
    <x v="0"/>
    <n v="2"/>
    <n v="45"/>
    <n v="45660"/>
    <s v="07:39:38"/>
    <n v="1"/>
    <n v="66.98"/>
    <n v="0.08"/>
    <n v="61.621600000000001"/>
    <n v="106.6216"/>
    <x v="30"/>
    <s v="BeforeTime"/>
    <n v="1"/>
    <n v="50"/>
  </r>
  <r>
    <x v="47"/>
    <s v="Mitchell"/>
    <s v="Parker"/>
    <x v="47"/>
    <n v="39"/>
    <x v="2"/>
    <x v="1"/>
    <s v="mitchell.parker@yahoo.com"/>
    <s v="PSC 3316, Box 9303, APO AE 29513"/>
    <x v="289"/>
    <x v="231"/>
    <s v="09:58:35"/>
    <x v="3"/>
    <n v="405"/>
    <n v="4"/>
    <x v="4"/>
    <n v="7"/>
    <n v="70"/>
    <n v="45029"/>
    <s v="14:02:18"/>
    <n v="5"/>
    <n v="1620"/>
    <n v="0.1"/>
    <n v="1458"/>
    <n v="1528"/>
    <x v="47"/>
    <s v="BeforeTime"/>
    <n v="4"/>
    <n v="50"/>
  </r>
  <r>
    <x v="37"/>
    <s v="Alexandra"/>
    <s v="Smith"/>
    <x v="37"/>
    <n v="70"/>
    <x v="0"/>
    <x v="0"/>
    <s v="alexandra.smith@rediffmail.com"/>
    <s v="48611 Clark Village, West Anne, GA 92865"/>
    <x v="290"/>
    <x v="164"/>
    <s v="06:20:30"/>
    <x v="24"/>
    <n v="481.48"/>
    <n v="3"/>
    <x v="3"/>
    <n v="5"/>
    <n v="49"/>
    <n v="45462"/>
    <s v="20:45:00"/>
    <n v="7"/>
    <n v="1444.44"/>
    <n v="0.2"/>
    <n v="1155.5520000000001"/>
    <n v="1204.5520000000001"/>
    <x v="37"/>
    <s v="Late"/>
    <n v="6"/>
    <n v="50"/>
  </r>
  <r>
    <x v="36"/>
    <s v="Jason"/>
    <s v="Lopez"/>
    <x v="36"/>
    <n v="40"/>
    <x v="2"/>
    <x v="6"/>
    <s v="jason.lopez@outlook.com"/>
    <s v="934 Levine View, Brentport, NE 38210"/>
    <x v="291"/>
    <x v="232"/>
    <s v="17:53:01"/>
    <x v="37"/>
    <n v="133.62"/>
    <n v="2"/>
    <x v="4"/>
    <n v="4"/>
    <n v="36"/>
    <n v="45059"/>
    <s v="05:26:03"/>
    <n v="1"/>
    <n v="267.24"/>
    <n v="0.1"/>
    <n v="240.51600000000002"/>
    <n v="276.51600000000002"/>
    <x v="36"/>
    <s v="BeforeTime"/>
    <n v="5"/>
    <n v="50"/>
  </r>
  <r>
    <x v="78"/>
    <s v="Mark"/>
    <s v="Summers"/>
    <x v="78"/>
    <n v="55"/>
    <x v="1"/>
    <x v="5"/>
    <s v="mark.summers@outlook.com"/>
    <s v="08413 Lynch Parkway, Calderonstad, NV 32697"/>
    <x v="292"/>
    <x v="233"/>
    <s v="03:43:05"/>
    <x v="20"/>
    <n v="62.42"/>
    <n v="4"/>
    <x v="4"/>
    <n v="6"/>
    <n v="43"/>
    <n v="45420"/>
    <s v="17:57:56"/>
    <n v="6"/>
    <n v="249.68"/>
    <n v="0.1"/>
    <n v="224.71199999999999"/>
    <n v="267.71199999999999"/>
    <x v="78"/>
    <s v="InTime"/>
    <n v="5"/>
    <n v="50"/>
  </r>
  <r>
    <x v="80"/>
    <s v="Mike"/>
    <s v="Carter"/>
    <x v="80"/>
    <n v="59"/>
    <x v="2"/>
    <x v="6"/>
    <s v="mike.carter@rediffmail.com"/>
    <s v="3971 Ortiz Fields, Lake Jackfort, IA 97132"/>
    <x v="293"/>
    <x v="234"/>
    <s v="02:56:56"/>
    <x v="27"/>
    <n v="496.59"/>
    <n v="2"/>
    <x v="0"/>
    <n v="3"/>
    <n v="55"/>
    <n v="45528"/>
    <s v="11:28:09"/>
    <n v="1"/>
    <n v="993.18"/>
    <n v="0.08"/>
    <n v="913.72559999999999"/>
    <n v="968.72559999999999"/>
    <x v="80"/>
    <s v="BeforeTime"/>
    <n v="8"/>
    <n v="50"/>
  </r>
  <r>
    <x v="50"/>
    <s v="Katherine"/>
    <s v="Weber"/>
    <x v="50"/>
    <n v="42"/>
    <x v="2"/>
    <x v="2"/>
    <s v="katherine.weber@outlook.com"/>
    <s v="04887 Kimberly Union Apt. 645, Port Laura, IL 97219"/>
    <x v="294"/>
    <x v="206"/>
    <s v="04:29:06"/>
    <x v="28"/>
    <n v="431.44"/>
    <n v="4"/>
    <x v="2"/>
    <n v="3"/>
    <n v="65"/>
    <n v="45239"/>
    <s v="22:44:53"/>
    <n v="6"/>
    <n v="1725.76"/>
    <n v="0"/>
    <n v="1725.76"/>
    <n v="1725.76"/>
    <x v="50"/>
    <s v="Late"/>
    <n v="11"/>
    <n v="50"/>
  </r>
  <r>
    <x v="35"/>
    <s v="Aaron"/>
    <s v="Thompson"/>
    <x v="35"/>
    <n v="47"/>
    <x v="1"/>
    <x v="3"/>
    <s v="aaron.thompson@gmail.com"/>
    <s v="PSC 0550, Box 2737, APO AE 75772"/>
    <x v="295"/>
    <x v="149"/>
    <s v="10:04:49"/>
    <x v="43"/>
    <n v="424.82"/>
    <n v="2"/>
    <x v="2"/>
    <n v="2"/>
    <n v="57"/>
    <n v="45520"/>
    <s v="22:07:13"/>
    <n v="7"/>
    <n v="849.64"/>
    <n v="0"/>
    <n v="849.64"/>
    <n v="849.64"/>
    <x v="35"/>
    <s v="Late"/>
    <n v="8"/>
    <n v="50"/>
  </r>
  <r>
    <x v="78"/>
    <s v="Mark"/>
    <s v="Summers"/>
    <x v="78"/>
    <n v="55"/>
    <x v="1"/>
    <x v="5"/>
    <s v="mark.summers@outlook.com"/>
    <s v="08413 Lynch Parkway, Calderonstad, NV 32697"/>
    <x v="296"/>
    <x v="68"/>
    <s v="23:44:50"/>
    <x v="33"/>
    <n v="421.7"/>
    <n v="3"/>
    <x v="0"/>
    <n v="5"/>
    <n v="54"/>
    <n v="45571"/>
    <s v="04:23:25"/>
    <n v="4"/>
    <n v="1265.0999999999999"/>
    <n v="0.08"/>
    <n v="1163.8919999999998"/>
    <n v="1217.8919999999998"/>
    <x v="78"/>
    <s v="BeforeTime"/>
    <n v="10"/>
    <n v="50"/>
  </r>
  <r>
    <x v="84"/>
    <s v="Hannah"/>
    <s v="Gutierrez"/>
    <x v="84"/>
    <n v="55"/>
    <x v="1"/>
    <x v="5"/>
    <s v="hannah.gutierrez@yahoo.com"/>
    <s v="2420 David Manors, Jessicaland, CT 41698"/>
    <x v="297"/>
    <x v="235"/>
    <s v="17:40:16"/>
    <x v="26"/>
    <n v="372.62"/>
    <n v="1"/>
    <x v="4"/>
    <n v="5"/>
    <n v="45"/>
    <n v="45164"/>
    <s v="19:38:50"/>
    <n v="7"/>
    <n v="372.62"/>
    <n v="0.1"/>
    <n v="335.358"/>
    <n v="380.358"/>
    <x v="84"/>
    <s v="Late"/>
    <n v="8"/>
    <n v="50"/>
  </r>
  <r>
    <x v="82"/>
    <s v="Brendan"/>
    <s v="Kelly"/>
    <x v="82"/>
    <n v="50"/>
    <x v="2"/>
    <x v="6"/>
    <s v="brendan.kelly@rediffmail.com"/>
    <s v="688 Donald Oval Suite 089, Shepardport, CA 50844"/>
    <x v="298"/>
    <x v="40"/>
    <s v="09:51:24"/>
    <x v="13"/>
    <n v="104.18"/>
    <n v="1"/>
    <x v="0"/>
    <n v="3"/>
    <n v="60"/>
    <n v="45563"/>
    <s v="00:10:27"/>
    <n v="6"/>
    <n v="104.18"/>
    <n v="0.08"/>
    <n v="95.845600000000005"/>
    <n v="155.84559999999999"/>
    <x v="82"/>
    <s v="Late"/>
    <n v="9"/>
    <n v="50"/>
  </r>
  <r>
    <x v="72"/>
    <s v="Leslie"/>
    <s v="Montgomery"/>
    <x v="72"/>
    <n v="26"/>
    <x v="1"/>
    <x v="5"/>
    <s v="leslie.montgomery@gmail.com"/>
    <s v="135 Teresa Oval Apt. 825, East Katherineport, WY 13714"/>
    <x v="299"/>
    <x v="236"/>
    <s v="05:56:42"/>
    <x v="9"/>
    <n v="175.93"/>
    <n v="2"/>
    <x v="0"/>
    <n v="5"/>
    <n v="49"/>
    <n v="45106"/>
    <s v="03:42:23"/>
    <n v="2"/>
    <n v="351.86"/>
    <n v="0.08"/>
    <n v="323.71120000000002"/>
    <n v="372.71120000000002"/>
    <x v="72"/>
    <s v="BeforeTime"/>
    <n v="6"/>
    <n v="50"/>
  </r>
  <r>
    <x v="79"/>
    <s v="Gary"/>
    <s v="Huff"/>
    <x v="79"/>
    <n v="18"/>
    <x v="0"/>
    <x v="2"/>
    <s v="gary.huff@gmail.com"/>
    <s v="58608 Alexander Terrace, South Bryan, SC 85541"/>
    <x v="300"/>
    <x v="237"/>
    <s v="06:33:59"/>
    <x v="20"/>
    <n v="62.42"/>
    <n v="1"/>
    <x v="0"/>
    <n v="3"/>
    <n v="46"/>
    <n v="45565"/>
    <s v="13:29:05"/>
    <n v="2"/>
    <n v="62.42"/>
    <n v="0.08"/>
    <n v="57.426400000000001"/>
    <n v="103.4264"/>
    <x v="79"/>
    <s v="BeforeTime"/>
    <n v="9"/>
    <n v="50"/>
  </r>
  <r>
    <x v="39"/>
    <s v="Amanda"/>
    <s v="Howard"/>
    <x v="39"/>
    <n v="52"/>
    <x v="2"/>
    <x v="7"/>
    <s v="amanda.howard@outlook.com"/>
    <s v="56908 Sydney Park Suite 632, West Anthonyport, NC 15954"/>
    <x v="301"/>
    <x v="238"/>
    <s v="01:23:40"/>
    <x v="14"/>
    <n v="20.7"/>
    <n v="2"/>
    <x v="0"/>
    <n v="7"/>
    <n v="39"/>
    <n v="45286"/>
    <s v="19:01:55"/>
    <n v="7"/>
    <n v="41.4"/>
    <n v="0.08"/>
    <n v="38.088000000000001"/>
    <n v="77.087999999999994"/>
    <x v="39"/>
    <s v="InTime"/>
    <n v="12"/>
    <n v="50"/>
  </r>
  <r>
    <x v="12"/>
    <s v="Joshua"/>
    <s v="Campbell"/>
    <x v="12"/>
    <n v="24"/>
    <x v="0"/>
    <x v="5"/>
    <s v="joshua.campbell@gmail.com"/>
    <s v="70426 Lindsey Overpass Apt. 030, Jessicafurt, AR 46269"/>
    <x v="302"/>
    <x v="239"/>
    <s v="18:29:39"/>
    <x v="10"/>
    <n v="190.1"/>
    <n v="1"/>
    <x v="3"/>
    <n v="3"/>
    <n v="63"/>
    <n v="45207"/>
    <s v="02:01:44"/>
    <n v="1"/>
    <n v="190.1"/>
    <n v="0.2"/>
    <n v="152.07999999999998"/>
    <n v="215.07999999999998"/>
    <x v="12"/>
    <s v="BeforeTime"/>
    <n v="10"/>
    <n v="50"/>
  </r>
  <r>
    <x v="81"/>
    <s v="Thomas"/>
    <s v="Owens"/>
    <x v="81"/>
    <n v="34"/>
    <x v="2"/>
    <x v="7"/>
    <s v="thomas.owens@outlook.com"/>
    <s v="43920 Shaffer Valley Suite 531, South Jerry, MD 67120"/>
    <x v="303"/>
    <x v="240"/>
    <s v="13:33:06"/>
    <x v="22"/>
    <n v="158.53"/>
    <n v="3"/>
    <x v="3"/>
    <n v="6"/>
    <n v="38"/>
    <n v="45331"/>
    <s v="04:01:49"/>
    <n v="7"/>
    <n v="475.59000000000003"/>
    <n v="0.2"/>
    <n v="380.47200000000004"/>
    <n v="418.47200000000004"/>
    <x v="81"/>
    <s v="Late"/>
    <n v="2"/>
    <n v="50"/>
  </r>
  <r>
    <x v="83"/>
    <s v="Jessica"/>
    <s v="Ruiz"/>
    <x v="83"/>
    <n v="19"/>
    <x v="1"/>
    <x v="2"/>
    <s v="jessica.ruiz@rediffmail.com"/>
    <s v="02370 Laura Station Suite 309, Brandonville, DE 18875"/>
    <x v="304"/>
    <x v="241"/>
    <s v="15:56:55"/>
    <x v="29"/>
    <n v="44.5"/>
    <n v="1"/>
    <x v="4"/>
    <n v="4"/>
    <n v="49"/>
    <n v="45278"/>
    <s v="18:16:24"/>
    <n v="6"/>
    <n v="44.5"/>
    <n v="0.1"/>
    <n v="40.049999999999997"/>
    <n v="89.05"/>
    <x v="83"/>
    <s v="Late"/>
    <n v="12"/>
    <n v="50"/>
  </r>
  <r>
    <x v="29"/>
    <s v="Courtney"/>
    <s v="Parker"/>
    <x v="29"/>
    <n v="29"/>
    <x v="2"/>
    <x v="3"/>
    <s v="courtney.parker@yahoo.com"/>
    <s v="087 Jacqueline Rue Apt. 694, East Tasha, SC 04859"/>
    <x v="305"/>
    <x v="197"/>
    <s v="14:57:23"/>
    <x v="23"/>
    <n v="129.75"/>
    <n v="2"/>
    <x v="2"/>
    <n v="4"/>
    <n v="53"/>
    <n v="45620"/>
    <s v="09:49:51"/>
    <n v="4"/>
    <n v="259.5"/>
    <n v="0"/>
    <n v="259.5"/>
    <n v="259.5"/>
    <x v="29"/>
    <s v="InTime"/>
    <n v="11"/>
    <n v="50"/>
  </r>
  <r>
    <x v="78"/>
    <s v="Mark"/>
    <s v="Summers"/>
    <x v="78"/>
    <n v="55"/>
    <x v="1"/>
    <x v="5"/>
    <s v="mark.summers@outlook.com"/>
    <s v="08413 Lynch Parkway, Calderonstad, NV 32697"/>
    <x v="306"/>
    <x v="240"/>
    <s v="19:33:36"/>
    <x v="9"/>
    <n v="175.93"/>
    <n v="2"/>
    <x v="2"/>
    <n v="6"/>
    <n v="50"/>
    <n v="45325"/>
    <s v="06:30:50"/>
    <n v="1"/>
    <n v="351.86"/>
    <n v="0"/>
    <n v="351.86"/>
    <n v="351.86"/>
    <x v="78"/>
    <s v="BeforeTime"/>
    <n v="2"/>
    <n v="50"/>
  </r>
  <r>
    <x v="73"/>
    <s v="Susan"/>
    <s v="Thompson"/>
    <x v="73"/>
    <n v="37"/>
    <x v="2"/>
    <x v="7"/>
    <s v="susan.thompson@outlook.com"/>
    <s v="47821 William Station, East Ashleymouth, FL 20562"/>
    <x v="307"/>
    <x v="242"/>
    <s v="17:53:46"/>
    <x v="33"/>
    <n v="421.7"/>
    <n v="5"/>
    <x v="1"/>
    <n v="2"/>
    <n v="56"/>
    <n v="45674"/>
    <s v="18:13:08"/>
    <n v="3"/>
    <n v="2108.5"/>
    <n v="0.15"/>
    <n v="1792.2249999999999"/>
    <n v="1848.2249999999999"/>
    <x v="73"/>
    <s v="Late"/>
    <n v="1"/>
    <n v="50"/>
  </r>
  <r>
    <x v="55"/>
    <s v="William"/>
    <s v="Mann"/>
    <x v="55"/>
    <n v="21"/>
    <x v="0"/>
    <x v="1"/>
    <s v="william.mann@yahoo.com"/>
    <s v="849 Tran Wells, New Lindsayville, WI 22669"/>
    <x v="308"/>
    <x v="243"/>
    <s v="13:40:58"/>
    <x v="40"/>
    <n v="445.81"/>
    <n v="1"/>
    <x v="3"/>
    <n v="7"/>
    <n v="41"/>
    <n v="45071"/>
    <s v="02:14:28"/>
    <n v="7"/>
    <n v="445.81"/>
    <n v="0.2"/>
    <n v="356.64800000000002"/>
    <n v="397.64800000000002"/>
    <x v="55"/>
    <s v="InTime"/>
    <n v="5"/>
    <n v="50"/>
  </r>
  <r>
    <x v="61"/>
    <s v="Troy"/>
    <s v="Gomez"/>
    <x v="61"/>
    <n v="68"/>
    <x v="0"/>
    <x v="7"/>
    <s v="troy.gomez@outlook.com"/>
    <s v="7510 Jose Knolls, Candicechester, LA 62815"/>
    <x v="309"/>
    <x v="244"/>
    <s v="04:49:20"/>
    <x v="36"/>
    <n v="425.59"/>
    <n v="2"/>
    <x v="2"/>
    <n v="2"/>
    <n v="67"/>
    <n v="44977"/>
    <s v="16:13:35"/>
    <n v="4"/>
    <n v="851.18"/>
    <n v="0"/>
    <n v="851.18"/>
    <n v="851.18"/>
    <x v="61"/>
    <s v="Late"/>
    <n v="2"/>
    <n v="50"/>
  </r>
  <r>
    <x v="32"/>
    <s v="Robert"/>
    <s v="Castillo"/>
    <x v="32"/>
    <n v="32"/>
    <x v="1"/>
    <x v="6"/>
    <s v="robert.castillo@gmail.com"/>
    <s v="7143 Brandon Skyway Suite 899, Tylerton, IA 21756"/>
    <x v="310"/>
    <x v="245"/>
    <s v="16:34:44"/>
    <x v="36"/>
    <n v="425.59"/>
    <n v="1"/>
    <x v="0"/>
    <n v="1"/>
    <n v="62"/>
    <n v="45518"/>
    <s v="16:28:56"/>
    <n v="3"/>
    <n v="425.59"/>
    <n v="0.08"/>
    <n v="391.5428"/>
    <n v="453.5428"/>
    <x v="32"/>
    <s v="Late"/>
    <n v="8"/>
    <n v="50"/>
  </r>
  <r>
    <x v="78"/>
    <s v="Mark"/>
    <s v="Summers"/>
    <x v="78"/>
    <n v="55"/>
    <x v="1"/>
    <x v="5"/>
    <s v="mark.summers@outlook.com"/>
    <s v="08413 Lynch Parkway, Calderonstad, NV 32697"/>
    <x v="311"/>
    <x v="246"/>
    <s v="04:12:20"/>
    <x v="19"/>
    <n v="128.13999999999999"/>
    <n v="1"/>
    <x v="4"/>
    <n v="1"/>
    <n v="39"/>
    <n v="44982"/>
    <s v="01:46:13"/>
    <n v="6"/>
    <n v="128.13999999999999"/>
    <n v="0.1"/>
    <n v="115.32599999999999"/>
    <n v="154.32599999999999"/>
    <x v="78"/>
    <s v="Late"/>
    <n v="2"/>
    <n v="50"/>
  </r>
  <r>
    <x v="82"/>
    <s v="Brendan"/>
    <s v="Kelly"/>
    <x v="82"/>
    <n v="50"/>
    <x v="2"/>
    <x v="6"/>
    <s v="brendan.kelly@rediffmail.com"/>
    <s v="688 Donald Oval Suite 089, Shepardport, CA 50844"/>
    <x v="312"/>
    <x v="247"/>
    <s v="20:53:04"/>
    <x v="42"/>
    <n v="235.63"/>
    <n v="1"/>
    <x v="3"/>
    <n v="7"/>
    <n v="46"/>
    <n v="45689"/>
    <s v="00:48:16"/>
    <n v="5"/>
    <n v="235.63"/>
    <n v="0.2"/>
    <n v="188.50399999999999"/>
    <n v="234.50399999999999"/>
    <x v="82"/>
    <s v="BeforeTime"/>
    <n v="1"/>
    <n v="50"/>
  </r>
  <r>
    <x v="90"/>
    <s v="Lauren"/>
    <s v="Lane"/>
    <x v="90"/>
    <n v="30"/>
    <x v="0"/>
    <x v="7"/>
    <s v="lauren.lane@gmail.com"/>
    <s v="56985 Sergio Extensions, Port Albert, CO 02898"/>
    <x v="313"/>
    <x v="248"/>
    <s v="05:27:44"/>
    <x v="21"/>
    <n v="157.63999999999999"/>
    <n v="2"/>
    <x v="3"/>
    <n v="1"/>
    <n v="57"/>
    <n v="45401"/>
    <s v="21:00:17"/>
    <n v="1"/>
    <n v="315.27999999999997"/>
    <n v="0.2"/>
    <n v="252.22399999999999"/>
    <n v="309.22399999999999"/>
    <x v="90"/>
    <s v="InTime"/>
    <n v="4"/>
    <n v="50"/>
  </r>
  <r>
    <x v="74"/>
    <s v="Amy"/>
    <s v="Griffin"/>
    <x v="74"/>
    <n v="29"/>
    <x v="0"/>
    <x v="1"/>
    <s v="amy.griffin@rediffmail.com"/>
    <s v="07350 Aaron Meadow Suite 138, Kiaraberg, AL 79545"/>
    <x v="314"/>
    <x v="125"/>
    <s v="06:35:14"/>
    <x v="16"/>
    <n v="132.97"/>
    <n v="3"/>
    <x v="1"/>
    <n v="3"/>
    <n v="36"/>
    <n v="45110"/>
    <s v="23:36:21"/>
    <n v="2"/>
    <n v="398.90999999999997"/>
    <n v="0.15"/>
    <n v="339.07349999999997"/>
    <n v="375.07349999999997"/>
    <x v="74"/>
    <s v="BeforeTime"/>
    <n v="7"/>
    <n v="50"/>
  </r>
  <r>
    <x v="32"/>
    <s v="Robert"/>
    <s v="Castillo"/>
    <x v="32"/>
    <n v="32"/>
    <x v="1"/>
    <x v="6"/>
    <s v="robert.castillo@gmail.com"/>
    <s v="7143 Brandon Skyway Suite 899, Tylerton, IA 21756"/>
    <x v="315"/>
    <x v="249"/>
    <s v="20:14:30"/>
    <x v="24"/>
    <n v="481.48"/>
    <n v="1"/>
    <x v="1"/>
    <n v="4"/>
    <n v="67"/>
    <n v="45150"/>
    <s v="12:31:00"/>
    <n v="7"/>
    <n v="481.48"/>
    <n v="0.15"/>
    <n v="409.25800000000004"/>
    <n v="476.25800000000004"/>
    <x v="32"/>
    <s v="Late"/>
    <n v="8"/>
    <n v="50"/>
  </r>
  <r>
    <x v="10"/>
    <s v="Kara"/>
    <s v="Brennan"/>
    <x v="10"/>
    <n v="25"/>
    <x v="2"/>
    <x v="4"/>
    <s v="kara.brennan@outlook.com"/>
    <s v="2174 Thomas Avenue, Maciasborough, NJ 41465"/>
    <x v="316"/>
    <x v="250"/>
    <s v="06:46:07"/>
    <x v="24"/>
    <n v="481.48"/>
    <n v="2"/>
    <x v="4"/>
    <n v="7"/>
    <n v="66"/>
    <n v="45218"/>
    <s v="19:17:45"/>
    <n v="7"/>
    <n v="962.96"/>
    <n v="0.1"/>
    <n v="866.66399999999999"/>
    <n v="932.66399999999999"/>
    <x v="10"/>
    <s v="InTime"/>
    <n v="10"/>
    <n v="50"/>
  </r>
  <r>
    <x v="91"/>
    <s v="William"/>
    <s v="Richmond"/>
    <x v="91"/>
    <n v="57"/>
    <x v="2"/>
    <x v="4"/>
    <s v="william.richmond@outlook.com"/>
    <s v="4021 Brown Orchard Apt. 026, Christinahaven, OK 18499"/>
    <x v="317"/>
    <x v="251"/>
    <s v="23:19:47"/>
    <x v="22"/>
    <n v="158.53"/>
    <n v="5"/>
    <x v="3"/>
    <n v="1"/>
    <n v="46"/>
    <n v="45151"/>
    <s v="16:06:37"/>
    <n v="4"/>
    <n v="792.65"/>
    <n v="0.2"/>
    <n v="634.12"/>
    <n v="680.12"/>
    <x v="91"/>
    <s v="Late"/>
    <n v="8"/>
    <n v="50"/>
  </r>
  <r>
    <x v="87"/>
    <s v="Jared"/>
    <s v="Horn"/>
    <x v="87"/>
    <n v="43"/>
    <x v="0"/>
    <x v="4"/>
    <s v="jared.horn@outlook.com"/>
    <s v="43325 Barbara Tunnel, Port James, LA 16246"/>
    <x v="318"/>
    <x v="252"/>
    <s v="12:50:48"/>
    <x v="12"/>
    <n v="272.51"/>
    <n v="2"/>
    <x v="3"/>
    <n v="5"/>
    <n v="37"/>
    <n v="45640"/>
    <s v="19:56:33"/>
    <n v="3"/>
    <n v="545.02"/>
    <n v="0.2"/>
    <n v="436.01599999999996"/>
    <n v="473.01599999999996"/>
    <x v="87"/>
    <s v="BeforeTime"/>
    <n v="12"/>
    <n v="50"/>
  </r>
  <r>
    <x v="82"/>
    <s v="Brendan"/>
    <s v="Kelly"/>
    <x v="82"/>
    <n v="50"/>
    <x v="2"/>
    <x v="6"/>
    <s v="brendan.kelly@rediffmail.com"/>
    <s v="688 Donald Oval Suite 089, Shepardport, CA 50844"/>
    <x v="319"/>
    <x v="38"/>
    <s v="21:08:26"/>
    <x v="13"/>
    <n v="104.18"/>
    <n v="2"/>
    <x v="1"/>
    <n v="5"/>
    <n v="65"/>
    <n v="45657"/>
    <s v="09:20:03"/>
    <n v="1"/>
    <n v="208.36"/>
    <n v="0.15"/>
    <n v="177.10600000000002"/>
    <n v="242.10600000000002"/>
    <x v="82"/>
    <s v="BeforeTime"/>
    <n v="12"/>
    <n v="50"/>
  </r>
  <r>
    <x v="13"/>
    <s v="Erin"/>
    <s v="Miller"/>
    <x v="13"/>
    <n v="46"/>
    <x v="0"/>
    <x v="6"/>
    <s v="erin.miller@gmail.com"/>
    <s v="65972 Peterson Route, Port Andrewfurt, SD 32892"/>
    <x v="320"/>
    <x v="253"/>
    <s v="10:50:30"/>
    <x v="46"/>
    <n v="20"/>
    <n v="2"/>
    <x v="4"/>
    <n v="3"/>
    <n v="38"/>
    <n v="45485"/>
    <s v="16:59:14"/>
    <n v="6"/>
    <n v="40"/>
    <n v="0.1"/>
    <n v="36"/>
    <n v="74"/>
    <x v="13"/>
    <s v="Late"/>
    <n v="7"/>
    <n v="50"/>
  </r>
  <r>
    <x v="40"/>
    <s v="Mary"/>
    <s v="Knight"/>
    <x v="40"/>
    <n v="28"/>
    <x v="2"/>
    <x v="2"/>
    <s v="mary.knight@yahoo.com"/>
    <s v="907 Kimberly Hill, Murrayfort, NH 88384"/>
    <x v="321"/>
    <x v="254"/>
    <s v="11:53:55"/>
    <x v="43"/>
    <n v="424.82"/>
    <n v="1"/>
    <x v="0"/>
    <n v="5"/>
    <n v="49"/>
    <n v="45508"/>
    <s v="00:56:01"/>
    <n v="7"/>
    <n v="424.82"/>
    <n v="0.08"/>
    <n v="390.83440000000002"/>
    <n v="439.83440000000002"/>
    <x v="40"/>
    <s v="Late"/>
    <n v="7"/>
    <n v="50"/>
  </r>
  <r>
    <x v="86"/>
    <s v="Megan"/>
    <s v="Hunt"/>
    <x v="86"/>
    <n v="63"/>
    <x v="0"/>
    <x v="6"/>
    <s v="megan.hunt@rediffmail.com"/>
    <s v="03765 Velazquez Knoll Suite 478, Richardshire, UT 17200"/>
    <x v="322"/>
    <x v="255"/>
    <s v="04:03:12"/>
    <x v="11"/>
    <n v="220.27"/>
    <n v="5"/>
    <x v="3"/>
    <n v="6"/>
    <n v="57"/>
    <n v="45109"/>
    <s v="13:27:06"/>
    <n v="2"/>
    <n v="1101.3500000000001"/>
    <n v="0.2"/>
    <n v="881.08000000000015"/>
    <n v="938.08000000000015"/>
    <x v="86"/>
    <s v="BeforeTime"/>
    <n v="6"/>
    <n v="50"/>
  </r>
  <r>
    <x v="36"/>
    <s v="Jason"/>
    <s v="Lopez"/>
    <x v="36"/>
    <n v="40"/>
    <x v="2"/>
    <x v="6"/>
    <s v="jason.lopez@outlook.com"/>
    <s v="934 Levine View, Brentport, NE 38210"/>
    <x v="323"/>
    <x v="234"/>
    <s v="19:44:28"/>
    <x v="36"/>
    <n v="425.59"/>
    <n v="5"/>
    <x v="2"/>
    <n v="4"/>
    <n v="43"/>
    <n v="45531"/>
    <s v="02:51:48"/>
    <n v="4"/>
    <n v="2127.9499999999998"/>
    <n v="0"/>
    <n v="2127.9499999999998"/>
    <n v="2127.9499999999998"/>
    <x v="36"/>
    <s v="InTime"/>
    <n v="8"/>
    <n v="50"/>
  </r>
  <r>
    <x v="90"/>
    <s v="Lauren"/>
    <s v="Lane"/>
    <x v="90"/>
    <n v="30"/>
    <x v="0"/>
    <x v="7"/>
    <s v="lauren.lane@gmail.com"/>
    <s v="56985 Sergio Extensions, Port Albert, CO 02898"/>
    <x v="324"/>
    <x v="256"/>
    <s v="12:38:37"/>
    <x v="7"/>
    <n v="48.45"/>
    <n v="3"/>
    <x v="4"/>
    <n v="2"/>
    <n v="63"/>
    <n v="45422"/>
    <s v="19:14:57"/>
    <n v="2"/>
    <n v="145.35000000000002"/>
    <n v="0.1"/>
    <n v="130.81500000000003"/>
    <n v="193.81500000000003"/>
    <x v="90"/>
    <s v="InTime"/>
    <n v="5"/>
    <n v="50"/>
  </r>
  <r>
    <x v="84"/>
    <s v="Hannah"/>
    <s v="Gutierrez"/>
    <x v="84"/>
    <n v="55"/>
    <x v="1"/>
    <x v="5"/>
    <s v="hannah.gutierrez@yahoo.com"/>
    <s v="2420 David Manors, Jessicaland, CT 41698"/>
    <x v="325"/>
    <x v="112"/>
    <s v="14:52:37"/>
    <x v="13"/>
    <n v="104.18"/>
    <n v="2"/>
    <x v="0"/>
    <n v="4"/>
    <n v="43"/>
    <n v="45190"/>
    <s v="09:59:33"/>
    <n v="4"/>
    <n v="208.36"/>
    <n v="0.08"/>
    <n v="191.69120000000001"/>
    <n v="234.69120000000001"/>
    <x v="84"/>
    <s v="InTime"/>
    <n v="9"/>
    <n v="50"/>
  </r>
  <r>
    <x v="85"/>
    <s v="Angela"/>
    <s v="Casey"/>
    <x v="85"/>
    <n v="40"/>
    <x v="0"/>
    <x v="2"/>
    <s v="angela.casey@gmail.com"/>
    <s v="089 Farley Terrace, Thomashaven, MT 56607"/>
    <x v="326"/>
    <x v="257"/>
    <s v="08:43:40"/>
    <x v="40"/>
    <n v="445.81"/>
    <n v="1"/>
    <x v="2"/>
    <n v="1"/>
    <n v="51"/>
    <n v="45198"/>
    <s v="05:13:28"/>
    <n v="3"/>
    <n v="445.81"/>
    <n v="0"/>
    <n v="445.81"/>
    <n v="445.81"/>
    <x v="85"/>
    <s v="Late"/>
    <n v="9"/>
    <n v="50"/>
  </r>
  <r>
    <x v="89"/>
    <s v="Sarah"/>
    <s v="Benson"/>
    <x v="89"/>
    <n v="40"/>
    <x v="2"/>
    <x v="7"/>
    <s v="sarah.benson@outlook.com"/>
    <s v="5399 Hayes Well, West Pennystad, IL 93798"/>
    <x v="327"/>
    <x v="258"/>
    <s v="03:11:02"/>
    <x v="16"/>
    <n v="132.97"/>
    <n v="2"/>
    <x v="4"/>
    <n v="6"/>
    <n v="69"/>
    <n v="45578"/>
    <s v="19:39:57"/>
    <n v="5"/>
    <n v="265.94"/>
    <n v="0.1"/>
    <n v="239.346"/>
    <n v="308.346"/>
    <x v="89"/>
    <s v="BeforeTime"/>
    <n v="10"/>
    <n v="50"/>
  </r>
  <r>
    <x v="84"/>
    <s v="Hannah"/>
    <s v="Gutierrez"/>
    <x v="84"/>
    <n v="55"/>
    <x v="1"/>
    <x v="5"/>
    <s v="hannah.gutierrez@yahoo.com"/>
    <s v="2420 David Manors, Jessicaland, CT 41698"/>
    <x v="328"/>
    <x v="259"/>
    <s v="17:17:44"/>
    <x v="33"/>
    <n v="421.7"/>
    <n v="4"/>
    <x v="0"/>
    <n v="5"/>
    <n v="55"/>
    <n v="45389"/>
    <s v="11:45:52"/>
    <n v="5"/>
    <n v="1686.8"/>
    <n v="0.08"/>
    <n v="1551.856"/>
    <n v="1606.856"/>
    <x v="84"/>
    <s v="InTime"/>
    <n v="4"/>
    <n v="50"/>
  </r>
  <r>
    <x v="84"/>
    <s v="Hannah"/>
    <s v="Gutierrez"/>
    <x v="84"/>
    <n v="55"/>
    <x v="1"/>
    <x v="5"/>
    <s v="hannah.gutierrez@yahoo.com"/>
    <s v="2420 David Manors, Jessicaland, CT 41698"/>
    <x v="329"/>
    <x v="260"/>
    <s v="17:27:56"/>
    <x v="38"/>
    <n v="477.52"/>
    <n v="1"/>
    <x v="2"/>
    <n v="7"/>
    <n v="48"/>
    <n v="45393"/>
    <s v="05:22:25"/>
    <n v="5"/>
    <n v="477.52"/>
    <n v="0"/>
    <n v="477.52"/>
    <n v="477.52"/>
    <x v="84"/>
    <s v="BeforeTime"/>
    <n v="4"/>
    <n v="50"/>
  </r>
  <r>
    <x v="43"/>
    <s v="Rebecca"/>
    <s v="Figueroa"/>
    <x v="43"/>
    <n v="63"/>
    <x v="0"/>
    <x v="4"/>
    <s v="rebecca.figueroa@outlook.com"/>
    <s v="3959 Bell Dale, North Jacob, LA 07934"/>
    <x v="330"/>
    <x v="261"/>
    <s v="03:23:04"/>
    <x v="46"/>
    <n v="20"/>
    <n v="2"/>
    <x v="2"/>
    <n v="5"/>
    <n v="55"/>
    <n v="45629"/>
    <s v="05:02:16"/>
    <n v="6"/>
    <n v="40"/>
    <n v="0"/>
    <n v="40"/>
    <n v="40"/>
    <x v="43"/>
    <s v="Late"/>
    <n v="11"/>
    <n v="50"/>
  </r>
  <r>
    <x v="22"/>
    <s v="Ashley"/>
    <s v="Rose"/>
    <x v="22"/>
    <n v="60"/>
    <x v="2"/>
    <x v="0"/>
    <s v="ashley.rose@gmail.com"/>
    <s v="424 Nichols Curve Suite 177, Lake Brianview, TX 17289"/>
    <x v="331"/>
    <x v="11"/>
    <s v="08:45:23"/>
    <x v="42"/>
    <n v="235.63"/>
    <n v="1"/>
    <x v="4"/>
    <n v="1"/>
    <n v="38"/>
    <n v="45504"/>
    <s v="15:13:07"/>
    <n v="6"/>
    <n v="235.63"/>
    <n v="0.1"/>
    <n v="212.06700000000001"/>
    <n v="250.06700000000001"/>
    <x v="22"/>
    <s v="Late"/>
    <n v="7"/>
    <n v="50"/>
  </r>
  <r>
    <x v="82"/>
    <s v="Brendan"/>
    <s v="Kelly"/>
    <x v="82"/>
    <n v="50"/>
    <x v="2"/>
    <x v="6"/>
    <s v="brendan.kelly@rediffmail.com"/>
    <s v="688 Donald Oval Suite 089, Shepardport, CA 50844"/>
    <x v="332"/>
    <x v="262"/>
    <s v="08:36:31"/>
    <x v="49"/>
    <n v="33.49"/>
    <n v="4"/>
    <x v="1"/>
    <n v="4"/>
    <n v="67"/>
    <n v="45294"/>
    <s v="19:33:15"/>
    <n v="5"/>
    <n v="133.96"/>
    <n v="0.15"/>
    <n v="113.86600000000001"/>
    <n v="180.86600000000001"/>
    <x v="82"/>
    <s v="Late"/>
    <n v="12"/>
    <n v="50"/>
  </r>
  <r>
    <x v="30"/>
    <s v="Julie"/>
    <s v="Meyer"/>
    <x v="30"/>
    <n v="23"/>
    <x v="0"/>
    <x v="0"/>
    <s v="julie.meyer@yahoo.com"/>
    <s v="17381 Smith Ramp Suite 398, Courtneyville, AL 17756"/>
    <x v="333"/>
    <x v="183"/>
    <s v="21:53:54"/>
    <x v="34"/>
    <n v="136.30000000000001"/>
    <n v="4"/>
    <x v="4"/>
    <n v="1"/>
    <n v="35"/>
    <n v="45275"/>
    <s v="23:00:06"/>
    <n v="4"/>
    <n v="545.20000000000005"/>
    <n v="0.1"/>
    <n v="490.68000000000006"/>
    <n v="525.68000000000006"/>
    <x v="30"/>
    <s v="Late"/>
    <n v="12"/>
    <n v="50"/>
  </r>
  <r>
    <x v="76"/>
    <s v="Natasha"/>
    <s v="Michael"/>
    <x v="76"/>
    <n v="49"/>
    <x v="0"/>
    <x v="1"/>
    <s v="natasha.michael@gmail.com"/>
    <s v="78992 Justin Estates Suite 226, Floresberg, NM 40797"/>
    <x v="334"/>
    <x v="263"/>
    <s v="10:58:30"/>
    <x v="18"/>
    <n v="282.63"/>
    <n v="4"/>
    <x v="4"/>
    <n v="1"/>
    <n v="48"/>
    <n v="45125"/>
    <s v="13:36:46"/>
    <n v="3"/>
    <n v="1130.52"/>
    <n v="0.1"/>
    <n v="1017.468"/>
    <n v="1065.4679999999998"/>
    <x v="76"/>
    <s v="Late"/>
    <n v="7"/>
    <n v="50"/>
  </r>
  <r>
    <x v="72"/>
    <s v="Leslie"/>
    <s v="Montgomery"/>
    <x v="72"/>
    <n v="26"/>
    <x v="1"/>
    <x v="5"/>
    <s v="leslie.montgomery@gmail.com"/>
    <s v="135 Teresa Oval Apt. 825, East Katherineport, WY 13714"/>
    <x v="335"/>
    <x v="264"/>
    <s v="05:53:55"/>
    <x v="12"/>
    <n v="272.51"/>
    <n v="5"/>
    <x v="4"/>
    <n v="4"/>
    <n v="45"/>
    <n v="45630"/>
    <s v="02:00:46"/>
    <n v="3"/>
    <n v="1362.55"/>
    <n v="0.1"/>
    <n v="1226.2950000000001"/>
    <n v="1271.2950000000001"/>
    <x v="72"/>
    <s v="BeforeTime"/>
    <n v="12"/>
    <n v="50"/>
  </r>
  <r>
    <x v="71"/>
    <s v="James"/>
    <s v="Brown"/>
    <x v="71"/>
    <n v="60"/>
    <x v="0"/>
    <x v="4"/>
    <s v="james.brown@yahoo.com"/>
    <s v="221 Frey Crossing Suite 192, South Taylorland, HI 72875"/>
    <x v="336"/>
    <x v="174"/>
    <s v="11:51:15"/>
    <x v="6"/>
    <n v="275.44"/>
    <n v="2"/>
    <x v="1"/>
    <n v="4"/>
    <n v="54"/>
    <n v="45059"/>
    <s v="10:20:47"/>
    <n v="6"/>
    <n v="550.88"/>
    <n v="0.15"/>
    <n v="468.24799999999999"/>
    <n v="522.24800000000005"/>
    <x v="71"/>
    <s v="Late"/>
    <n v="5"/>
    <n v="50"/>
  </r>
  <r>
    <x v="33"/>
    <s v="Timothy"/>
    <s v="Hicks"/>
    <x v="33"/>
    <n v="31"/>
    <x v="2"/>
    <x v="4"/>
    <s v="timothy.hicks@gmail.com"/>
    <s v="140 Tracy Fields, Lake Cynthiaton, TX 57190"/>
    <x v="337"/>
    <x v="265"/>
    <s v="12:37:13"/>
    <x v="35"/>
    <n v="441.03"/>
    <n v="2"/>
    <x v="0"/>
    <n v="3"/>
    <n v="62"/>
    <n v="45151"/>
    <s v="14:41:40"/>
    <n v="3"/>
    <n v="882.06"/>
    <n v="0.08"/>
    <n v="811.49519999999995"/>
    <n v="873.49519999999995"/>
    <x v="33"/>
    <s v="InTime"/>
    <n v="8"/>
    <n v="50"/>
  </r>
  <r>
    <x v="36"/>
    <s v="Jason"/>
    <s v="Lopez"/>
    <x v="36"/>
    <n v="40"/>
    <x v="2"/>
    <x v="6"/>
    <s v="jason.lopez@outlook.com"/>
    <s v="934 Levine View, Brentport, NE 38210"/>
    <x v="338"/>
    <x v="177"/>
    <s v="14:59:43"/>
    <x v="23"/>
    <n v="129.75"/>
    <n v="2"/>
    <x v="1"/>
    <n v="1"/>
    <n v="62"/>
    <n v="45290"/>
    <s v="06:29:31"/>
    <n v="5"/>
    <n v="259.5"/>
    <n v="0.15"/>
    <n v="220.57499999999999"/>
    <n v="282.57499999999999"/>
    <x v="36"/>
    <s v="Late"/>
    <n v="12"/>
    <n v="50"/>
  </r>
  <r>
    <x v="88"/>
    <s v="Veronica"/>
    <s v="Lopez"/>
    <x v="88"/>
    <n v="18"/>
    <x v="1"/>
    <x v="7"/>
    <s v="veronica.lopez@gmail.com"/>
    <s v="660 Karen Station Apt. 887, Allenside, ID 03170"/>
    <x v="339"/>
    <x v="266"/>
    <s v="14:04:30"/>
    <x v="38"/>
    <n v="477.52"/>
    <n v="3"/>
    <x v="3"/>
    <n v="7"/>
    <n v="41"/>
    <n v="45686"/>
    <s v="02:17:23"/>
    <n v="4"/>
    <n v="1432.56"/>
    <n v="0.2"/>
    <n v="1146.048"/>
    <n v="1187.048"/>
    <x v="88"/>
    <s v="BeforeTime"/>
    <n v="1"/>
    <n v="50"/>
  </r>
  <r>
    <x v="48"/>
    <s v="Sharon"/>
    <s v="Thompson"/>
    <x v="48"/>
    <n v="57"/>
    <x v="1"/>
    <x v="7"/>
    <s v="sharon.thompson@yahoo.com"/>
    <s v="598 Jasmine Harbor, Turnerberg, SD 02371"/>
    <x v="340"/>
    <x v="201"/>
    <s v="19:09:08"/>
    <x v="48"/>
    <n v="107.47"/>
    <n v="3"/>
    <x v="4"/>
    <n v="4"/>
    <n v="59"/>
    <n v="45454"/>
    <s v="23:23:19"/>
    <n v="1"/>
    <n v="322.40999999999997"/>
    <n v="0.1"/>
    <n v="290.16899999999998"/>
    <n v="349.16899999999998"/>
    <x v="48"/>
    <s v="BeforeTime"/>
    <n v="6"/>
    <n v="50"/>
  </r>
  <r>
    <x v="68"/>
    <s v="Kristina"/>
    <s v="Haynes"/>
    <x v="68"/>
    <n v="27"/>
    <x v="0"/>
    <x v="1"/>
    <s v="kristina.haynes@yahoo.com"/>
    <s v="18295 Thomas River, Kochville, NH 80868"/>
    <x v="341"/>
    <x v="27"/>
    <s v="23:47:36"/>
    <x v="22"/>
    <n v="158.53"/>
    <n v="2"/>
    <x v="0"/>
    <n v="2"/>
    <n v="56"/>
    <n v="45187"/>
    <s v="04:39:51"/>
    <n v="2"/>
    <n v="317.06"/>
    <n v="0.08"/>
    <n v="291.6952"/>
    <n v="347.6952"/>
    <x v="68"/>
    <s v="InTime"/>
    <n v="9"/>
    <n v="50"/>
  </r>
  <r>
    <x v="90"/>
    <s v="Lauren"/>
    <s v="Lane"/>
    <x v="90"/>
    <n v="30"/>
    <x v="0"/>
    <x v="7"/>
    <s v="lauren.lane@gmail.com"/>
    <s v="56985 Sergio Extensions, Port Albert, CO 02898"/>
    <x v="342"/>
    <x v="267"/>
    <s v="09:05:02"/>
    <x v="35"/>
    <n v="441.03"/>
    <n v="2"/>
    <x v="2"/>
    <n v="4"/>
    <n v="55"/>
    <n v="45429"/>
    <s v="05:31:50"/>
    <n v="6"/>
    <n v="882.06"/>
    <n v="0"/>
    <n v="882.06"/>
    <n v="882.06"/>
    <x v="90"/>
    <s v="Late"/>
    <n v="5"/>
    <n v="50"/>
  </r>
  <r>
    <x v="67"/>
    <s v="Barbara"/>
    <s v="Fuller"/>
    <x v="67"/>
    <n v="43"/>
    <x v="2"/>
    <x v="5"/>
    <s v="barbara.fuller@rediffmail.com"/>
    <s v="134 Mcintosh Unions Suite 574, Lake Laura, DE 96577"/>
    <x v="343"/>
    <x v="16"/>
    <s v="09:15:42"/>
    <x v="32"/>
    <n v="87.09"/>
    <n v="5"/>
    <x v="2"/>
    <n v="7"/>
    <n v="56"/>
    <n v="44971"/>
    <s v="09:33:25"/>
    <n v="5"/>
    <n v="435.45000000000005"/>
    <n v="0"/>
    <n v="435.45000000000005"/>
    <n v="435.45000000000005"/>
    <x v="67"/>
    <s v="BeforeTime"/>
    <n v="2"/>
    <n v="50"/>
  </r>
  <r>
    <x v="21"/>
    <s v="Angela"/>
    <s v="Evans"/>
    <x v="21"/>
    <n v="52"/>
    <x v="2"/>
    <x v="1"/>
    <s v="angela.evans@outlook.com"/>
    <s v="16031 David Mountain Suite 431, Susanborough, PA 01910"/>
    <x v="344"/>
    <x v="268"/>
    <s v="16:29:18"/>
    <x v="13"/>
    <n v="104.18"/>
    <n v="4"/>
    <x v="2"/>
    <n v="3"/>
    <n v="40"/>
    <n v="45308"/>
    <s v="19:58:19"/>
    <n v="5"/>
    <n v="416.72"/>
    <n v="0"/>
    <n v="416.72"/>
    <n v="416.72"/>
    <x v="21"/>
    <s v="Late"/>
    <n v="1"/>
    <n v="50"/>
  </r>
  <r>
    <x v="50"/>
    <s v="Katherine"/>
    <s v="Weber"/>
    <x v="50"/>
    <n v="42"/>
    <x v="2"/>
    <x v="2"/>
    <s v="katherine.weber@outlook.com"/>
    <s v="04887 Kimberly Union Apt. 645, Port Laura, IL 97219"/>
    <x v="345"/>
    <x v="269"/>
    <s v="17:23:49"/>
    <x v="49"/>
    <n v="33.49"/>
    <n v="1"/>
    <x v="3"/>
    <n v="4"/>
    <n v="61"/>
    <n v="45668"/>
    <s v="01:46:13"/>
    <n v="2"/>
    <n v="33.49"/>
    <n v="0.2"/>
    <n v="26.792000000000002"/>
    <n v="87.792000000000002"/>
    <x v="50"/>
    <s v="BeforeTime"/>
    <n v="1"/>
    <n v="50"/>
  </r>
  <r>
    <x v="90"/>
    <s v="Lauren"/>
    <s v="Lane"/>
    <x v="90"/>
    <n v="30"/>
    <x v="0"/>
    <x v="7"/>
    <s v="lauren.lane@gmail.com"/>
    <s v="56985 Sergio Extensions, Port Albert, CO 02898"/>
    <x v="346"/>
    <x v="203"/>
    <s v="06:51:49"/>
    <x v="41"/>
    <n v="433.62"/>
    <n v="4"/>
    <x v="2"/>
    <n v="1"/>
    <n v="56"/>
    <n v="45392"/>
    <s v="08:40:53"/>
    <n v="6"/>
    <n v="1734.48"/>
    <n v="0"/>
    <n v="1734.48"/>
    <n v="1734.48"/>
    <x v="90"/>
    <s v="Late"/>
    <n v="4"/>
    <n v="50"/>
  </r>
  <r>
    <x v="81"/>
    <s v="Thomas"/>
    <s v="Owens"/>
    <x v="81"/>
    <n v="34"/>
    <x v="2"/>
    <x v="7"/>
    <s v="thomas.owens@outlook.com"/>
    <s v="43920 Shaffer Valley Suite 531, South Jerry, MD 67120"/>
    <x v="347"/>
    <x v="270"/>
    <s v="23:40:03"/>
    <x v="14"/>
    <n v="20.7"/>
    <n v="1"/>
    <x v="2"/>
    <n v="5"/>
    <n v="51"/>
    <n v="45086"/>
    <s v="09:33:08"/>
    <n v="1"/>
    <n v="20.7"/>
    <n v="0"/>
    <n v="20.7"/>
    <n v="20.7"/>
    <x v="81"/>
    <s v="BeforeTime"/>
    <n v="6"/>
    <n v="50"/>
  </r>
  <r>
    <x v="41"/>
    <s v="Marcus"/>
    <s v="Rogers"/>
    <x v="41"/>
    <n v="36"/>
    <x v="1"/>
    <x v="0"/>
    <s v="marcus.rogers@outlook.com"/>
    <s v="06912 Brown Pine Apt. 763, Teresamouth, HI 24377"/>
    <x v="348"/>
    <x v="271"/>
    <s v="00:41:18"/>
    <x v="35"/>
    <n v="441.03"/>
    <n v="2"/>
    <x v="4"/>
    <n v="4"/>
    <n v="60"/>
    <n v="45033"/>
    <s v="09:19:40"/>
    <n v="5"/>
    <n v="882.06"/>
    <n v="0.1"/>
    <n v="793.85399999999993"/>
    <n v="853.85399999999993"/>
    <x v="41"/>
    <s v="Late"/>
    <n v="4"/>
    <n v="50"/>
  </r>
  <r>
    <x v="82"/>
    <s v="Brendan"/>
    <s v="Kelly"/>
    <x v="82"/>
    <n v="50"/>
    <x v="2"/>
    <x v="6"/>
    <s v="brendan.kelly@rediffmail.com"/>
    <s v="688 Donald Oval Suite 089, Shepardport, CA 50844"/>
    <x v="349"/>
    <x v="89"/>
    <s v="23:27:24"/>
    <x v="41"/>
    <n v="433.62"/>
    <n v="2"/>
    <x v="2"/>
    <n v="1"/>
    <n v="46"/>
    <n v="45186"/>
    <s v="06:00:22"/>
    <n v="3"/>
    <n v="867.24"/>
    <n v="0"/>
    <n v="867.24"/>
    <n v="867.24"/>
    <x v="82"/>
    <s v="Late"/>
    <n v="9"/>
    <n v="50"/>
  </r>
  <r>
    <x v="18"/>
    <s v="Christian"/>
    <s v="Clayton"/>
    <x v="18"/>
    <n v="39"/>
    <x v="1"/>
    <x v="5"/>
    <s v="christian.clayton@yahoo.com"/>
    <s v="065 Madison Way, Smithstad, CT 68011"/>
    <x v="350"/>
    <x v="272"/>
    <s v="02:46:27"/>
    <x v="43"/>
    <n v="424.82"/>
    <n v="5"/>
    <x v="4"/>
    <n v="7"/>
    <n v="37"/>
    <n v="45393"/>
    <s v="06:40:47"/>
    <n v="6"/>
    <n v="2124.1"/>
    <n v="0.1"/>
    <n v="1911.6899999999998"/>
    <n v="1948.6899999999998"/>
    <x v="18"/>
    <s v="BeforeTime"/>
    <n v="4"/>
    <n v="50"/>
  </r>
  <r>
    <x v="60"/>
    <s v="Christy"/>
    <s v="Chang"/>
    <x v="60"/>
    <n v="38"/>
    <x v="1"/>
    <x v="7"/>
    <s v="christy.chang@outlook.com"/>
    <s v="4647 Hannah Centers, Rhodesburgh, NH 89363"/>
    <x v="351"/>
    <x v="273"/>
    <s v="06:59:53"/>
    <x v="41"/>
    <n v="433.62"/>
    <n v="3"/>
    <x v="4"/>
    <n v="2"/>
    <n v="39"/>
    <n v="45499"/>
    <s v="21:07:49"/>
    <n v="3"/>
    <n v="1300.8600000000001"/>
    <n v="0.1"/>
    <n v="1170.7740000000001"/>
    <n v="1209.7740000000001"/>
    <x v="60"/>
    <s v="Late"/>
    <n v="7"/>
    <n v="50"/>
  </r>
  <r>
    <x v="73"/>
    <s v="Susan"/>
    <s v="Thompson"/>
    <x v="73"/>
    <n v="37"/>
    <x v="2"/>
    <x v="7"/>
    <s v="susan.thompson@outlook.com"/>
    <s v="47821 William Station, East Ashleymouth, FL 20562"/>
    <x v="352"/>
    <x v="274"/>
    <s v="20:28:31"/>
    <x v="42"/>
    <n v="235.63"/>
    <n v="1"/>
    <x v="3"/>
    <n v="5"/>
    <n v="59"/>
    <n v="45192"/>
    <s v="22:26:18"/>
    <n v="5"/>
    <n v="235.63"/>
    <n v="0.2"/>
    <n v="188.50399999999999"/>
    <n v="247.50399999999999"/>
    <x v="73"/>
    <s v="InTime"/>
    <n v="9"/>
    <n v="50"/>
  </r>
  <r>
    <x v="89"/>
    <s v="Sarah"/>
    <s v="Benson"/>
    <x v="89"/>
    <n v="40"/>
    <x v="2"/>
    <x v="7"/>
    <s v="sarah.benson@outlook.com"/>
    <s v="5399 Hayes Well, West Pennystad, IL 93798"/>
    <x v="353"/>
    <x v="275"/>
    <s v="13:39:02"/>
    <x v="33"/>
    <n v="421.7"/>
    <n v="5"/>
    <x v="1"/>
    <n v="6"/>
    <n v="58"/>
    <n v="45197"/>
    <s v="06:39:28"/>
    <n v="7"/>
    <n v="2108.5"/>
    <n v="0.15"/>
    <n v="1792.2249999999999"/>
    <n v="1850.2249999999999"/>
    <x v="89"/>
    <s v="Late"/>
    <n v="9"/>
    <n v="50"/>
  </r>
  <r>
    <x v="48"/>
    <s v="Sharon"/>
    <s v="Thompson"/>
    <x v="48"/>
    <n v="57"/>
    <x v="1"/>
    <x v="7"/>
    <s v="sharon.thompson@yahoo.com"/>
    <s v="598 Jasmine Harbor, Turnerberg, SD 02371"/>
    <x v="354"/>
    <x v="253"/>
    <s v="09:27:52"/>
    <x v="25"/>
    <n v="77.84"/>
    <n v="4"/>
    <x v="3"/>
    <n v="2"/>
    <n v="59"/>
    <n v="45485"/>
    <s v="20:53:18"/>
    <n v="6"/>
    <n v="311.36"/>
    <n v="0.2"/>
    <n v="249.08800000000002"/>
    <n v="308.08800000000002"/>
    <x v="48"/>
    <s v="Late"/>
    <n v="7"/>
    <n v="50"/>
  </r>
  <r>
    <x v="84"/>
    <s v="Hannah"/>
    <s v="Gutierrez"/>
    <x v="84"/>
    <n v="55"/>
    <x v="1"/>
    <x v="5"/>
    <s v="hannah.gutierrez@yahoo.com"/>
    <s v="2420 David Manors, Jessicaland, CT 41698"/>
    <x v="355"/>
    <x v="276"/>
    <s v="04:59:13"/>
    <x v="32"/>
    <n v="87.09"/>
    <n v="2"/>
    <x v="1"/>
    <n v="3"/>
    <n v="62"/>
    <n v="44987"/>
    <s v="16:22:11"/>
    <n v="5"/>
    <n v="174.18"/>
    <n v="0.15"/>
    <n v="148.053"/>
    <n v="210.053"/>
    <x v="84"/>
    <s v="Late"/>
    <n v="2"/>
    <n v="50"/>
  </r>
  <r>
    <x v="87"/>
    <s v="Jared"/>
    <s v="Horn"/>
    <x v="87"/>
    <n v="43"/>
    <x v="0"/>
    <x v="4"/>
    <s v="jared.horn@outlook.com"/>
    <s v="43325 Barbara Tunnel, Port James, LA 16246"/>
    <x v="356"/>
    <x v="103"/>
    <s v="01:19:42"/>
    <x v="13"/>
    <n v="104.18"/>
    <n v="3"/>
    <x v="4"/>
    <n v="6"/>
    <n v="60"/>
    <n v="45398"/>
    <s v="01:52:14"/>
    <n v="1"/>
    <n v="312.54000000000002"/>
    <n v="0.1"/>
    <n v="281.286"/>
    <n v="341.286"/>
    <x v="87"/>
    <s v="BeforeTime"/>
    <n v="4"/>
    <n v="50"/>
  </r>
  <r>
    <x v="70"/>
    <s v="Edward"/>
    <s v="Black"/>
    <x v="70"/>
    <n v="42"/>
    <x v="0"/>
    <x v="2"/>
    <s v="edward.black@gmail.com"/>
    <s v="5879 Susan Via Apt. 886, Sandovalbury, WV 61449"/>
    <x v="357"/>
    <x v="277"/>
    <s v="05:54:36"/>
    <x v="48"/>
    <n v="107.47"/>
    <n v="3"/>
    <x v="2"/>
    <n v="4"/>
    <n v="63"/>
    <n v="45481"/>
    <s v="17:18:51"/>
    <n v="7"/>
    <n v="322.40999999999997"/>
    <n v="0"/>
    <n v="322.40999999999997"/>
    <n v="322.40999999999997"/>
    <x v="70"/>
    <s v="Late"/>
    <n v="7"/>
    <n v="50"/>
  </r>
  <r>
    <x v="78"/>
    <s v="Mark"/>
    <s v="Summers"/>
    <x v="78"/>
    <n v="55"/>
    <x v="1"/>
    <x v="5"/>
    <s v="mark.summers@outlook.com"/>
    <s v="08413 Lynch Parkway, Calderonstad, NV 32697"/>
    <x v="358"/>
    <x v="144"/>
    <s v="06:50:14"/>
    <x v="7"/>
    <n v="48.45"/>
    <n v="3"/>
    <x v="2"/>
    <n v="6"/>
    <n v="58"/>
    <n v="45046"/>
    <s v="13:55:34"/>
    <n v="1"/>
    <n v="145.35000000000002"/>
    <n v="0"/>
    <n v="145.35000000000002"/>
    <n v="145.35000000000002"/>
    <x v="78"/>
    <s v="BeforeTime"/>
    <n v="4"/>
    <n v="50"/>
  </r>
  <r>
    <x v="40"/>
    <s v="Mary"/>
    <s v="Knight"/>
    <x v="40"/>
    <n v="28"/>
    <x v="2"/>
    <x v="2"/>
    <s v="mary.knight@yahoo.com"/>
    <s v="907 Kimberly Hill, Murrayfort, NH 88384"/>
    <x v="359"/>
    <x v="278"/>
    <s v="11:52:12"/>
    <x v="8"/>
    <n v="257.06"/>
    <n v="4"/>
    <x v="4"/>
    <n v="6"/>
    <n v="69"/>
    <n v="45603"/>
    <s v="23:25:32"/>
    <n v="3"/>
    <n v="1028.24"/>
    <n v="0.1"/>
    <n v="925.41599999999994"/>
    <n v="994.41599999999994"/>
    <x v="40"/>
    <s v="BeforeTime"/>
    <n v="11"/>
    <n v="50"/>
  </r>
  <r>
    <x v="53"/>
    <s v="Jodi"/>
    <s v="Whitney"/>
    <x v="53"/>
    <n v="33"/>
    <x v="2"/>
    <x v="6"/>
    <s v="jodi.whitney@yahoo.com"/>
    <s v="72876 Lara Key Suite 383, Gutierrezton, OR 71683"/>
    <x v="360"/>
    <x v="279"/>
    <s v="19:37:21"/>
    <x v="39"/>
    <n v="403.03"/>
    <n v="4"/>
    <x v="4"/>
    <n v="7"/>
    <n v="65"/>
    <n v="45556"/>
    <s v="03:13:08"/>
    <n v="3"/>
    <n v="1612.12"/>
    <n v="0.1"/>
    <n v="1450.9079999999999"/>
    <n v="1515.9079999999999"/>
    <x v="53"/>
    <s v="BeforeTime"/>
    <n v="9"/>
    <n v="50"/>
  </r>
  <r>
    <x v="60"/>
    <s v="Christy"/>
    <s v="Chang"/>
    <x v="60"/>
    <n v="38"/>
    <x v="1"/>
    <x v="7"/>
    <s v="christy.chang@outlook.com"/>
    <s v="4647 Hannah Centers, Rhodesburgh, NH 89363"/>
    <x v="361"/>
    <x v="280"/>
    <s v="15:34:31"/>
    <x v="7"/>
    <n v="48.45"/>
    <n v="1"/>
    <x v="4"/>
    <n v="2"/>
    <n v="41"/>
    <n v="45062"/>
    <s v="10:35:02"/>
    <n v="3"/>
    <n v="48.45"/>
    <n v="0.1"/>
    <n v="43.605000000000004"/>
    <n v="84.605000000000004"/>
    <x v="60"/>
    <s v="Late"/>
    <n v="5"/>
    <n v="50"/>
  </r>
  <r>
    <x v="61"/>
    <s v="Troy"/>
    <s v="Gomez"/>
    <x v="61"/>
    <n v="68"/>
    <x v="0"/>
    <x v="7"/>
    <s v="troy.gomez@outlook.com"/>
    <s v="7510 Jose Knolls, Candicechester, LA 62815"/>
    <x v="362"/>
    <x v="281"/>
    <s v="14:35:45"/>
    <x v="29"/>
    <n v="44.5"/>
    <n v="5"/>
    <x v="4"/>
    <n v="4"/>
    <n v="55"/>
    <n v="45012"/>
    <s v="07:09:27"/>
    <n v="5"/>
    <n v="222.5"/>
    <n v="0.1"/>
    <n v="200.25"/>
    <n v="255.25"/>
    <x v="61"/>
    <s v="Late"/>
    <n v="3"/>
    <n v="50"/>
  </r>
  <r>
    <x v="92"/>
    <s v="Lauren"/>
    <s v="Crane"/>
    <x v="92"/>
    <n v="62"/>
    <x v="1"/>
    <x v="1"/>
    <s v="lauren.crane@yahoo.com"/>
    <s v="30313 Reyes Parkways Suite 392, Port Bradley, SC 24078"/>
    <x v="363"/>
    <x v="282"/>
    <s v="07:24:54"/>
    <x v="19"/>
    <n v="128.13999999999999"/>
    <n v="5"/>
    <x v="3"/>
    <n v="7"/>
    <n v="68"/>
    <n v="45685"/>
    <s v="03:15:28"/>
    <n v="7"/>
    <n v="640.69999999999993"/>
    <n v="0.2"/>
    <n v="512.55999999999995"/>
    <n v="580.55999999999995"/>
    <x v="92"/>
    <s v="InTime"/>
    <n v="1"/>
    <n v="50"/>
  </r>
  <r>
    <x v="67"/>
    <s v="Barbara"/>
    <s v="Fuller"/>
    <x v="67"/>
    <n v="43"/>
    <x v="2"/>
    <x v="5"/>
    <s v="barbara.fuller@rediffmail.com"/>
    <s v="134 Mcintosh Unions Suite 574, Lake Laura, DE 96577"/>
    <x v="364"/>
    <x v="283"/>
    <s v="06:00:55"/>
    <x v="30"/>
    <n v="369.03"/>
    <n v="2"/>
    <x v="4"/>
    <n v="6"/>
    <n v="55"/>
    <n v="44981"/>
    <s v="22:23:18"/>
    <n v="3"/>
    <n v="738.06"/>
    <n v="0.1"/>
    <n v="664.25399999999991"/>
    <n v="719.25399999999991"/>
    <x v="67"/>
    <s v="BeforeTime"/>
    <n v="2"/>
    <n v="50"/>
  </r>
  <r>
    <x v="84"/>
    <s v="Hannah"/>
    <s v="Gutierrez"/>
    <x v="84"/>
    <n v="55"/>
    <x v="1"/>
    <x v="5"/>
    <s v="hannah.gutierrez@yahoo.com"/>
    <s v="2420 David Manors, Jessicaland, CT 41698"/>
    <x v="365"/>
    <x v="284"/>
    <s v="05:46:53"/>
    <x v="8"/>
    <n v="257.06"/>
    <n v="1"/>
    <x v="3"/>
    <n v="4"/>
    <n v="42"/>
    <n v="45423"/>
    <s v="01:30:58"/>
    <n v="2"/>
    <n v="257.06"/>
    <n v="0.2"/>
    <n v="205.648"/>
    <n v="247.648"/>
    <x v="84"/>
    <s v="BeforeTime"/>
    <n v="5"/>
    <n v="50"/>
  </r>
  <r>
    <x v="17"/>
    <s v="Deborah"/>
    <s v="Bates"/>
    <x v="17"/>
    <n v="23"/>
    <x v="0"/>
    <x v="3"/>
    <s v="deborah.bates@yahoo.com"/>
    <s v="278 Kathy Estate, Saraville, OH 77292"/>
    <x v="366"/>
    <x v="285"/>
    <s v="08:34:53"/>
    <x v="47"/>
    <n v="292.14999999999998"/>
    <n v="3"/>
    <x v="2"/>
    <n v="3"/>
    <n v="51"/>
    <n v="45227"/>
    <s v="13:26:32"/>
    <n v="2"/>
    <n v="876.44999999999993"/>
    <n v="0"/>
    <n v="876.44999999999993"/>
    <n v="876.44999999999993"/>
    <x v="17"/>
    <s v="BeforeTime"/>
    <n v="10"/>
    <n v="50"/>
  </r>
  <r>
    <x v="85"/>
    <s v="Angela"/>
    <s v="Casey"/>
    <x v="85"/>
    <n v="40"/>
    <x v="0"/>
    <x v="2"/>
    <s v="angela.casey@gmail.com"/>
    <s v="089 Farley Terrace, Thomashaven, MT 56607"/>
    <x v="367"/>
    <x v="37"/>
    <s v="15:18:11"/>
    <x v="18"/>
    <n v="282.63"/>
    <n v="2"/>
    <x v="1"/>
    <n v="6"/>
    <n v="62"/>
    <n v="45194"/>
    <s v="23:05:05"/>
    <n v="1"/>
    <n v="565.26"/>
    <n v="0.15"/>
    <n v="480.471"/>
    <n v="542.471"/>
    <x v="85"/>
    <s v="BeforeTime"/>
    <n v="9"/>
    <n v="50"/>
  </r>
  <r>
    <x v="13"/>
    <s v="Erin"/>
    <s v="Miller"/>
    <x v="13"/>
    <n v="46"/>
    <x v="0"/>
    <x v="6"/>
    <s v="erin.miller@gmail.com"/>
    <s v="65972 Peterson Route, Port Andrewfurt, SD 32892"/>
    <x v="368"/>
    <x v="286"/>
    <s v="11:00:03"/>
    <x v="12"/>
    <n v="272.51"/>
    <n v="3"/>
    <x v="0"/>
    <n v="5"/>
    <n v="66"/>
    <n v="45479"/>
    <s v="15:17:48"/>
    <n v="6"/>
    <n v="817.53"/>
    <n v="0.08"/>
    <n v="752.12760000000003"/>
    <n v="818.12760000000003"/>
    <x v="13"/>
    <s v="Late"/>
    <n v="6"/>
    <n v="50"/>
  </r>
  <r>
    <x v="39"/>
    <s v="Amanda"/>
    <s v="Howard"/>
    <x v="39"/>
    <n v="52"/>
    <x v="2"/>
    <x v="7"/>
    <s v="amanda.howard@outlook.com"/>
    <s v="56908 Sydney Park Suite 632, West Anthonyport, NC 15954"/>
    <x v="369"/>
    <x v="287"/>
    <s v="08:26:50"/>
    <x v="4"/>
    <n v="330.11"/>
    <n v="2"/>
    <x v="2"/>
    <n v="3"/>
    <n v="55"/>
    <n v="44976"/>
    <s v="19:28:55"/>
    <n v="1"/>
    <n v="660.22"/>
    <n v="0"/>
    <n v="660.22"/>
    <n v="660.22"/>
    <x v="39"/>
    <s v="BeforeTime"/>
    <n v="2"/>
    <n v="50"/>
  </r>
  <r>
    <x v="12"/>
    <s v="Joshua"/>
    <s v="Campbell"/>
    <x v="12"/>
    <n v="24"/>
    <x v="0"/>
    <x v="5"/>
    <s v="joshua.campbell@gmail.com"/>
    <s v="70426 Lindsey Overpass Apt. 030, Jessicafurt, AR 46269"/>
    <x v="370"/>
    <x v="288"/>
    <s v="00:24:43"/>
    <x v="16"/>
    <n v="132.97"/>
    <n v="2"/>
    <x v="1"/>
    <n v="4"/>
    <n v="40"/>
    <n v="45487"/>
    <s v="08:45:35"/>
    <n v="2"/>
    <n v="265.94"/>
    <n v="0.15"/>
    <n v="226.04900000000001"/>
    <n v="266.04899999999998"/>
    <x v="12"/>
    <s v="BeforeTime"/>
    <n v="7"/>
    <n v="50"/>
  </r>
  <r>
    <x v="52"/>
    <s v="Brandon"/>
    <s v="Cruz"/>
    <x v="52"/>
    <n v="32"/>
    <x v="2"/>
    <x v="3"/>
    <s v="brandon.cruz@gmail.com"/>
    <s v="9296 Villanueva Branch, East Kevin, CO 93912"/>
    <x v="371"/>
    <x v="289"/>
    <s v="10:05:03"/>
    <x v="32"/>
    <n v="87.09"/>
    <n v="2"/>
    <x v="2"/>
    <n v="4"/>
    <n v="67"/>
    <n v="45010"/>
    <s v="10:06:44"/>
    <n v="4"/>
    <n v="174.18"/>
    <n v="0"/>
    <n v="174.18"/>
    <n v="174.18"/>
    <x v="52"/>
    <s v="InTime"/>
    <n v="3"/>
    <n v="50"/>
  </r>
  <r>
    <x v="30"/>
    <s v="Julie"/>
    <s v="Meyer"/>
    <x v="30"/>
    <n v="23"/>
    <x v="0"/>
    <x v="0"/>
    <s v="julie.meyer@yahoo.com"/>
    <s v="17381 Smith Ramp Suite 398, Courtneyville, AL 17756"/>
    <x v="372"/>
    <x v="290"/>
    <s v="04:19:31"/>
    <x v="48"/>
    <n v="107.47"/>
    <n v="5"/>
    <x v="0"/>
    <n v="4"/>
    <n v="37"/>
    <n v="45628"/>
    <s v="17:52:11"/>
    <n v="6"/>
    <n v="537.35"/>
    <n v="0.08"/>
    <n v="494.36200000000002"/>
    <n v="531.36200000000008"/>
    <x v="30"/>
    <s v="Late"/>
    <n v="11"/>
    <n v="50"/>
  </r>
  <r>
    <x v="66"/>
    <s v="Melissa"/>
    <s v="Levy"/>
    <x v="66"/>
    <n v="30"/>
    <x v="0"/>
    <x v="5"/>
    <s v="melissa.levy@rediffmail.com"/>
    <s v="3303 Kennedy Springs Suite 830, East Amybury, MI 95595"/>
    <x v="373"/>
    <x v="198"/>
    <s v="17:14:37"/>
    <x v="48"/>
    <n v="107.47"/>
    <n v="5"/>
    <x v="4"/>
    <n v="4"/>
    <n v="47"/>
    <n v="45424"/>
    <s v="12:54:21"/>
    <n v="7"/>
    <n v="537.35"/>
    <n v="0.1"/>
    <n v="483.61500000000001"/>
    <n v="530.61500000000001"/>
    <x v="66"/>
    <s v="Late"/>
    <n v="5"/>
    <n v="50"/>
  </r>
  <r>
    <x v="59"/>
    <s v="Beth"/>
    <s v="Mason"/>
    <x v="59"/>
    <n v="45"/>
    <x v="2"/>
    <x v="3"/>
    <s v="beth.mason@outlook.com"/>
    <s v="58998 Sherry Haven, East Richard, FL 90775"/>
    <x v="374"/>
    <x v="291"/>
    <s v="18:45:41"/>
    <x v="37"/>
    <n v="133.62"/>
    <n v="1"/>
    <x v="1"/>
    <n v="5"/>
    <n v="39"/>
    <n v="45451"/>
    <s v="21:20:42"/>
    <n v="5"/>
    <n v="133.62"/>
    <n v="0.15"/>
    <n v="113.577"/>
    <n v="152.577"/>
    <x v="59"/>
    <s v="InTime"/>
    <n v="6"/>
    <n v="50"/>
  </r>
  <r>
    <x v="40"/>
    <s v="Mary"/>
    <s v="Knight"/>
    <x v="40"/>
    <n v="28"/>
    <x v="2"/>
    <x v="2"/>
    <s v="mary.knight@yahoo.com"/>
    <s v="907 Kimberly Hill, Murrayfort, NH 88384"/>
    <x v="375"/>
    <x v="292"/>
    <s v="23:43:28"/>
    <x v="6"/>
    <n v="275.44"/>
    <n v="2"/>
    <x v="3"/>
    <n v="3"/>
    <n v="43"/>
    <n v="45251"/>
    <s v="12:35:16"/>
    <n v="4"/>
    <n v="550.88"/>
    <n v="0.2"/>
    <n v="440.70400000000001"/>
    <n v="483.70400000000001"/>
    <x v="40"/>
    <s v="Late"/>
    <n v="11"/>
    <n v="50"/>
  </r>
  <r>
    <x v="75"/>
    <s v="Rachael"/>
    <s v="Robinson"/>
    <x v="75"/>
    <n v="24"/>
    <x v="2"/>
    <x v="7"/>
    <s v="rachael.robinson@rediffmail.com"/>
    <s v="0889 Brady Points, Port Meganhaven, NM 26553"/>
    <x v="376"/>
    <x v="96"/>
    <s v="06:38:04"/>
    <x v="4"/>
    <n v="330.11"/>
    <n v="3"/>
    <x v="1"/>
    <n v="2"/>
    <n v="56"/>
    <n v="45117"/>
    <s v="08:13:41"/>
    <n v="4"/>
    <n v="990.33"/>
    <n v="0.15"/>
    <n v="841.78050000000007"/>
    <n v="897.78050000000007"/>
    <x v="75"/>
    <s v="Late"/>
    <n v="7"/>
    <n v="50"/>
  </r>
  <r>
    <x v="40"/>
    <s v="Mary"/>
    <s v="Knight"/>
    <x v="40"/>
    <n v="28"/>
    <x v="2"/>
    <x v="2"/>
    <s v="mary.knight@yahoo.com"/>
    <s v="907 Kimberly Hill, Murrayfort, NH 88384"/>
    <x v="377"/>
    <x v="85"/>
    <s v="12:27:25"/>
    <x v="12"/>
    <n v="272.51"/>
    <n v="3"/>
    <x v="0"/>
    <n v="6"/>
    <n v="44"/>
    <n v="45310"/>
    <s v="23:59:41"/>
    <n v="3"/>
    <n v="817.53"/>
    <n v="0.08"/>
    <n v="752.12760000000003"/>
    <n v="796.12760000000003"/>
    <x v="40"/>
    <s v="BeforeTime"/>
    <n v="1"/>
    <n v="50"/>
  </r>
  <r>
    <x v="63"/>
    <s v="Gregory"/>
    <s v="Lee"/>
    <x v="63"/>
    <n v="26"/>
    <x v="2"/>
    <x v="2"/>
    <s v="gregory.lee@rediffmail.com"/>
    <s v="619 Parker Turnpike Apt. 025, West Brucehaven, ID 48437"/>
    <x v="378"/>
    <x v="293"/>
    <s v="10:41:43"/>
    <x v="9"/>
    <n v="175.93"/>
    <n v="4"/>
    <x v="3"/>
    <n v="6"/>
    <n v="54"/>
    <n v="45240"/>
    <s v="19:20:26"/>
    <n v="2"/>
    <n v="703.72"/>
    <n v="0.2"/>
    <n v="562.976"/>
    <n v="616.976"/>
    <x v="63"/>
    <s v="BeforeTime"/>
    <n v="11"/>
    <n v="50"/>
  </r>
  <r>
    <x v="92"/>
    <s v="Lauren"/>
    <s v="Crane"/>
    <x v="92"/>
    <n v="62"/>
    <x v="1"/>
    <x v="1"/>
    <s v="lauren.crane@yahoo.com"/>
    <s v="30313 Reyes Parkways Suite 392, Port Bradley, SC 24078"/>
    <x v="379"/>
    <x v="7"/>
    <s v="09:19:53"/>
    <x v="30"/>
    <n v="369.03"/>
    <n v="3"/>
    <x v="0"/>
    <n v="6"/>
    <n v="57"/>
    <n v="45461"/>
    <s v="14:30:24"/>
    <n v="2"/>
    <n v="1107.0899999999999"/>
    <n v="0.08"/>
    <n v="1018.5228"/>
    <n v="1075.5228"/>
    <x v="92"/>
    <s v="BeforeTime"/>
    <n v="6"/>
    <n v="50"/>
  </r>
  <r>
    <x v="89"/>
    <s v="Sarah"/>
    <s v="Benson"/>
    <x v="89"/>
    <n v="40"/>
    <x v="2"/>
    <x v="7"/>
    <s v="sarah.benson@outlook.com"/>
    <s v="5399 Hayes Well, West Pennystad, IL 93798"/>
    <x v="380"/>
    <x v="8"/>
    <s v="11:38:36"/>
    <x v="26"/>
    <n v="372.62"/>
    <n v="2"/>
    <x v="3"/>
    <n v="2"/>
    <n v="47"/>
    <n v="45041"/>
    <s v="21:12:03"/>
    <n v="1"/>
    <n v="745.24"/>
    <n v="0.2"/>
    <n v="596.19200000000001"/>
    <n v="643.19200000000001"/>
    <x v="89"/>
    <s v="BeforeTime"/>
    <n v="4"/>
    <n v="50"/>
  </r>
  <r>
    <x v="31"/>
    <s v="Donna"/>
    <s v="Oneill"/>
    <x v="31"/>
    <n v="70"/>
    <x v="0"/>
    <x v="6"/>
    <s v="donna.oneill@yahoo.com"/>
    <s v="464 Carolyn Crest Suite 738, Lake Isaiah, CA 66153"/>
    <x v="381"/>
    <x v="294"/>
    <s v="10:33:52"/>
    <x v="29"/>
    <n v="44.5"/>
    <n v="1"/>
    <x v="2"/>
    <n v="1"/>
    <n v="37"/>
    <n v="45277"/>
    <s v="11:21:30"/>
    <n v="7"/>
    <n v="44.5"/>
    <n v="0"/>
    <n v="44.5"/>
    <n v="44.5"/>
    <x v="31"/>
    <s v="Late"/>
    <n v="12"/>
    <n v="50"/>
  </r>
  <r>
    <x v="45"/>
    <s v="Debra"/>
    <s v="Hayes"/>
    <x v="45"/>
    <n v="33"/>
    <x v="0"/>
    <x v="6"/>
    <s v="debra.hayes@yahoo.com"/>
    <s v="4601 Miller Lock, Williamsbury, IA 10943"/>
    <x v="382"/>
    <x v="166"/>
    <s v="22:42:39"/>
    <x v="21"/>
    <n v="157.63999999999999"/>
    <n v="1"/>
    <x v="4"/>
    <n v="7"/>
    <n v="48"/>
    <n v="45067"/>
    <s v="23:12:16"/>
    <n v="7"/>
    <n v="157.63999999999999"/>
    <n v="0.1"/>
    <n v="141.87599999999998"/>
    <n v="189.87599999999998"/>
    <x v="45"/>
    <s v="InTime"/>
    <n v="5"/>
    <n v="50"/>
  </r>
  <r>
    <x v="16"/>
    <s v="Traci"/>
    <s v="Jones"/>
    <x v="16"/>
    <n v="34"/>
    <x v="0"/>
    <x v="3"/>
    <s v="traci.jones@yahoo.com"/>
    <s v="4016 Ryan Passage, Collinsside, PA 88777"/>
    <x v="383"/>
    <x v="295"/>
    <s v="09:31:29"/>
    <x v="14"/>
    <n v="20.7"/>
    <n v="3"/>
    <x v="0"/>
    <n v="5"/>
    <n v="46"/>
    <n v="45245"/>
    <s v="07:20:39"/>
    <n v="2"/>
    <n v="62.099999999999994"/>
    <n v="0.08"/>
    <n v="57.131999999999991"/>
    <n v="103.13199999999999"/>
    <x v="16"/>
    <s v="BeforeTime"/>
    <n v="11"/>
    <n v="50"/>
  </r>
  <r>
    <x v="58"/>
    <s v="Amy"/>
    <s v="Ellis"/>
    <x v="58"/>
    <n v="44"/>
    <x v="2"/>
    <x v="3"/>
    <s v="amy.ellis@gmail.com"/>
    <s v="217 Scott Ville, Christophermouth, NH 83776"/>
    <x v="384"/>
    <x v="296"/>
    <s v="09:19:46"/>
    <x v="19"/>
    <n v="128.13999999999999"/>
    <n v="3"/>
    <x v="3"/>
    <n v="2"/>
    <n v="49"/>
    <n v="45270"/>
    <s v="02:07:12"/>
    <n v="6"/>
    <n v="384.41999999999996"/>
    <n v="0.2"/>
    <n v="307.53599999999994"/>
    <n v="356.53599999999994"/>
    <x v="58"/>
    <s v="Late"/>
    <n v="12"/>
    <n v="50"/>
  </r>
  <r>
    <x v="59"/>
    <s v="Beth"/>
    <s v="Mason"/>
    <x v="59"/>
    <n v="45"/>
    <x v="2"/>
    <x v="3"/>
    <s v="beth.mason@outlook.com"/>
    <s v="58998 Sherry Haven, East Richard, FL 90775"/>
    <x v="385"/>
    <x v="297"/>
    <s v="21:14:38"/>
    <x v="21"/>
    <n v="157.63999999999999"/>
    <n v="3"/>
    <x v="0"/>
    <n v="4"/>
    <n v="66"/>
    <n v="45405"/>
    <s v="11:28:09"/>
    <n v="1"/>
    <n v="472.91999999999996"/>
    <n v="0.08"/>
    <n v="435.08639999999997"/>
    <n v="501.08639999999997"/>
    <x v="59"/>
    <s v="BeforeTime"/>
    <n v="4"/>
    <n v="50"/>
  </r>
  <r>
    <x v="1"/>
    <s v="Anthony"/>
    <s v="Thomas"/>
    <x v="1"/>
    <n v="53"/>
    <x v="1"/>
    <x v="1"/>
    <s v="anthony.thomas@rediffmail.com"/>
    <s v="931 Christopher Ways Suite 833, North Michelle, IN 53484"/>
    <x v="386"/>
    <x v="298"/>
    <s v="15:58:53"/>
    <x v="26"/>
    <n v="372.62"/>
    <n v="1"/>
    <x v="4"/>
    <n v="1"/>
    <n v="66"/>
    <n v="45471"/>
    <s v="14:14:53"/>
    <n v="2"/>
    <n v="372.62"/>
    <n v="0.1"/>
    <n v="335.358"/>
    <n v="401.358"/>
    <x v="1"/>
    <s v="Late"/>
    <n v="6"/>
    <n v="50"/>
  </r>
  <r>
    <x v="92"/>
    <s v="Lauren"/>
    <s v="Crane"/>
    <x v="92"/>
    <n v="62"/>
    <x v="1"/>
    <x v="1"/>
    <s v="lauren.crane@yahoo.com"/>
    <s v="30313 Reyes Parkways Suite 392, Port Bradley, SC 24078"/>
    <x v="387"/>
    <x v="299"/>
    <s v="17:44:01"/>
    <x v="5"/>
    <n v="363.64"/>
    <n v="4"/>
    <x v="2"/>
    <n v="6"/>
    <n v="56"/>
    <n v="45121"/>
    <s v="16:03:33"/>
    <n v="5"/>
    <n v="1454.56"/>
    <n v="0"/>
    <n v="1454.56"/>
    <n v="1454.56"/>
    <x v="92"/>
    <s v="BeforeTime"/>
    <n v="7"/>
    <n v="50"/>
  </r>
  <r>
    <x v="21"/>
    <s v="Angela"/>
    <s v="Evans"/>
    <x v="21"/>
    <n v="52"/>
    <x v="2"/>
    <x v="1"/>
    <s v="angela.evans@outlook.com"/>
    <s v="16031 David Mountain Suite 431, Susanborough, PA 01910"/>
    <x v="388"/>
    <x v="103"/>
    <s v="02:54:23"/>
    <x v="31"/>
    <n v="286.07"/>
    <n v="5"/>
    <x v="2"/>
    <n v="1"/>
    <n v="41"/>
    <n v="45404"/>
    <s v="18:15:03"/>
    <n v="7"/>
    <n v="1430.35"/>
    <n v="0"/>
    <n v="1430.35"/>
    <n v="1430.35"/>
    <x v="21"/>
    <s v="Late"/>
    <n v="4"/>
    <n v="50"/>
  </r>
  <r>
    <x v="53"/>
    <s v="Jodi"/>
    <s v="Whitney"/>
    <x v="53"/>
    <n v="33"/>
    <x v="2"/>
    <x v="6"/>
    <s v="jodi.whitney@yahoo.com"/>
    <s v="72876 Lara Key Suite 383, Gutierrezton, OR 71683"/>
    <x v="389"/>
    <x v="300"/>
    <s v="07:05:11"/>
    <x v="18"/>
    <n v="282.63"/>
    <n v="3"/>
    <x v="2"/>
    <n v="4"/>
    <n v="66"/>
    <n v="45307"/>
    <s v="14:16:13"/>
    <n v="5"/>
    <n v="847.89"/>
    <n v="0"/>
    <n v="847.89"/>
    <n v="847.89"/>
    <x v="53"/>
    <s v="Late"/>
    <n v="1"/>
    <n v="50"/>
  </r>
  <r>
    <x v="90"/>
    <s v="Lauren"/>
    <s v="Lane"/>
    <x v="90"/>
    <n v="30"/>
    <x v="0"/>
    <x v="7"/>
    <s v="lauren.lane@gmail.com"/>
    <s v="56985 Sergio Extensions, Port Albert, CO 02898"/>
    <x v="390"/>
    <x v="301"/>
    <s v="02:16:10"/>
    <x v="26"/>
    <n v="372.62"/>
    <n v="5"/>
    <x v="0"/>
    <n v="4"/>
    <n v="66"/>
    <n v="45364"/>
    <s v="06:31:20"/>
    <n v="3"/>
    <n v="1863.1"/>
    <n v="0.08"/>
    <n v="1714.0519999999999"/>
    <n v="1780.0519999999999"/>
    <x v="90"/>
    <s v="BeforeTime"/>
    <n v="3"/>
    <n v="50"/>
  </r>
  <r>
    <x v="14"/>
    <s v="Gina"/>
    <s v="Moreno"/>
    <x v="14"/>
    <n v="36"/>
    <x v="2"/>
    <x v="4"/>
    <s v="gina.moreno@rediffmail.com"/>
    <s v="USS Murray, FPO AP 66559"/>
    <x v="391"/>
    <x v="302"/>
    <s v="18:34:02"/>
    <x v="43"/>
    <n v="424.82"/>
    <n v="4"/>
    <x v="4"/>
    <n v="5"/>
    <n v="58"/>
    <n v="45098"/>
    <s v="13:27:30"/>
    <n v="7"/>
    <n v="1699.28"/>
    <n v="0.1"/>
    <n v="1529.3519999999999"/>
    <n v="1587.3519999999999"/>
    <x v="14"/>
    <s v="Late"/>
    <n v="6"/>
    <n v="50"/>
  </r>
  <r>
    <x v="37"/>
    <s v="Alexandra"/>
    <s v="Smith"/>
    <x v="37"/>
    <n v="70"/>
    <x v="0"/>
    <x v="0"/>
    <s v="alexandra.smith@rediffmail.com"/>
    <s v="48611 Clark Village, West Anne, GA 92865"/>
    <x v="392"/>
    <x v="303"/>
    <s v="14:35:39"/>
    <x v="33"/>
    <n v="421.7"/>
    <n v="3"/>
    <x v="2"/>
    <n v="3"/>
    <n v="56"/>
    <n v="45177"/>
    <s v="17:37:51"/>
    <n v="5"/>
    <n v="1265.0999999999999"/>
    <n v="0"/>
    <n v="1265.0999999999999"/>
    <n v="1265.0999999999999"/>
    <x v="37"/>
    <s v="Late"/>
    <n v="9"/>
    <n v="50"/>
  </r>
  <r>
    <x v="64"/>
    <s v="Bruce"/>
    <s v="Allen"/>
    <x v="64"/>
    <n v="32"/>
    <x v="1"/>
    <x v="0"/>
    <s v="bruce.allen@rediffmail.com"/>
    <s v="2417 Brown Ford, West Timothyside, RI 45629"/>
    <x v="393"/>
    <x v="161"/>
    <s v="02:52:20"/>
    <x v="47"/>
    <n v="292.14999999999998"/>
    <n v="2"/>
    <x v="1"/>
    <n v="6"/>
    <n v="60"/>
    <n v="45348"/>
    <s v="04:02:49"/>
    <n v="5"/>
    <n v="584.29999999999995"/>
    <n v="0.15"/>
    <n v="496.65499999999997"/>
    <n v="556.65499999999997"/>
    <x v="64"/>
    <s v="BeforeTime"/>
    <n v="2"/>
    <n v="50"/>
  </r>
  <r>
    <x v="19"/>
    <s v="Mark"/>
    <s v="Henderson"/>
    <x v="19"/>
    <n v="33"/>
    <x v="2"/>
    <x v="7"/>
    <s v="mark.henderson@yahoo.com"/>
    <s v="90155 Hines Spring, North Theresafurt, ME 31920"/>
    <x v="394"/>
    <x v="304"/>
    <s v="10:33:07"/>
    <x v="26"/>
    <n v="372.62"/>
    <n v="1"/>
    <x v="1"/>
    <n v="5"/>
    <n v="50"/>
    <n v="45661"/>
    <s v="06:32:27"/>
    <n v="4"/>
    <n v="372.62"/>
    <n v="0.15"/>
    <n v="316.72699999999998"/>
    <n v="366.72699999999998"/>
    <x v="19"/>
    <s v="BeforeTime"/>
    <n v="12"/>
    <n v="50"/>
  </r>
  <r>
    <x v="92"/>
    <s v="Lauren"/>
    <s v="Crane"/>
    <x v="92"/>
    <n v="62"/>
    <x v="1"/>
    <x v="1"/>
    <s v="lauren.crane@yahoo.com"/>
    <s v="30313 Reyes Parkways Suite 392, Port Bradley, SC 24078"/>
    <x v="395"/>
    <x v="305"/>
    <s v="01:25:50"/>
    <x v="7"/>
    <n v="48.45"/>
    <n v="3"/>
    <x v="1"/>
    <n v="5"/>
    <n v="42"/>
    <n v="45347"/>
    <s v="18:04:09"/>
    <n v="7"/>
    <n v="145.35000000000002"/>
    <n v="0.15"/>
    <n v="123.54750000000001"/>
    <n v="165.54750000000001"/>
    <x v="92"/>
    <s v="Late"/>
    <n v="2"/>
    <n v="50"/>
  </r>
  <r>
    <x v="60"/>
    <s v="Christy"/>
    <s v="Chang"/>
    <x v="60"/>
    <n v="38"/>
    <x v="1"/>
    <x v="7"/>
    <s v="christy.chang@outlook.com"/>
    <s v="4647 Hannah Centers, Rhodesburgh, NH 89363"/>
    <x v="396"/>
    <x v="51"/>
    <s v="20:10:30"/>
    <x v="10"/>
    <n v="190.1"/>
    <n v="3"/>
    <x v="4"/>
    <n v="3"/>
    <n v="41"/>
    <n v="45315"/>
    <s v="15:08:52"/>
    <n v="3"/>
    <n v="570.29999999999995"/>
    <n v="0.1"/>
    <n v="513.27"/>
    <n v="554.27"/>
    <x v="60"/>
    <s v="InTime"/>
    <n v="1"/>
    <n v="50"/>
  </r>
  <r>
    <x v="92"/>
    <s v="Lauren"/>
    <s v="Crane"/>
    <x v="92"/>
    <n v="62"/>
    <x v="1"/>
    <x v="1"/>
    <s v="lauren.crane@yahoo.com"/>
    <s v="30313 Reyes Parkways Suite 392, Port Bradley, SC 24078"/>
    <x v="397"/>
    <x v="306"/>
    <s v="03:46:35"/>
    <x v="15"/>
    <n v="461.07"/>
    <n v="4"/>
    <x v="1"/>
    <n v="1"/>
    <n v="66"/>
    <n v="45346"/>
    <s v="11:20:17"/>
    <n v="2"/>
    <n v="1844.28"/>
    <n v="0.15"/>
    <n v="1567.6379999999999"/>
    <n v="1633.6379999999999"/>
    <x v="92"/>
    <s v="Late"/>
    <n v="2"/>
    <n v="50"/>
  </r>
  <r>
    <x v="29"/>
    <s v="Courtney"/>
    <s v="Parker"/>
    <x v="29"/>
    <n v="29"/>
    <x v="2"/>
    <x v="3"/>
    <s v="courtney.parker@yahoo.com"/>
    <s v="087 Jacqueline Rue Apt. 694, East Tasha, SC 04859"/>
    <x v="398"/>
    <x v="307"/>
    <s v="00:31:47"/>
    <x v="21"/>
    <n v="157.63999999999999"/>
    <n v="5"/>
    <x v="0"/>
    <n v="2"/>
    <n v="46"/>
    <n v="45301"/>
    <s v="11:06:01"/>
    <n v="6"/>
    <n v="788.19999999999993"/>
    <n v="0.08"/>
    <n v="725.14399999999989"/>
    <n v="771.14399999999989"/>
    <x v="29"/>
    <s v="Late"/>
    <n v="1"/>
    <n v="50"/>
  </r>
  <r>
    <x v="17"/>
    <s v="Deborah"/>
    <s v="Bates"/>
    <x v="17"/>
    <n v="23"/>
    <x v="0"/>
    <x v="3"/>
    <s v="deborah.bates@yahoo.com"/>
    <s v="278 Kathy Estate, Saraville, OH 77292"/>
    <x v="399"/>
    <x v="308"/>
    <s v="04:04:19"/>
    <x v="40"/>
    <n v="445.81"/>
    <n v="3"/>
    <x v="0"/>
    <n v="1"/>
    <n v="37"/>
    <n v="45478"/>
    <s v="00:48:55"/>
    <n v="1"/>
    <n v="1337.43"/>
    <n v="0.08"/>
    <n v="1230.4356"/>
    <n v="1267.4356"/>
    <x v="17"/>
    <s v="InTime"/>
    <n v="7"/>
    <n v="50"/>
  </r>
  <r>
    <x v="93"/>
    <s v="Katie"/>
    <s v="Hicks"/>
    <x v="93"/>
    <n v="34"/>
    <x v="2"/>
    <x v="5"/>
    <s v="katie.hicks@rediffmail.com"/>
    <s v="848 William Port, New Marilyn, SD 58000"/>
    <x v="400"/>
    <x v="309"/>
    <s v="07:13:46"/>
    <x v="24"/>
    <n v="481.48"/>
    <n v="4"/>
    <x v="1"/>
    <n v="4"/>
    <n v="38"/>
    <n v="45647"/>
    <s v="09:05:57"/>
    <n v="1"/>
    <n v="1925.92"/>
    <n v="0.15"/>
    <n v="1637.0320000000002"/>
    <n v="1675.0320000000002"/>
    <x v="93"/>
    <s v="BeforeTime"/>
    <n v="12"/>
    <n v="50"/>
  </r>
  <r>
    <x v="36"/>
    <s v="Jason"/>
    <s v="Lopez"/>
    <x v="36"/>
    <n v="40"/>
    <x v="2"/>
    <x v="6"/>
    <s v="jason.lopez@outlook.com"/>
    <s v="934 Levine View, Brentport, NE 38210"/>
    <x v="401"/>
    <x v="310"/>
    <s v="21:07:18"/>
    <x v="37"/>
    <n v="133.62"/>
    <n v="1"/>
    <x v="1"/>
    <n v="5"/>
    <n v="66"/>
    <n v="45037"/>
    <s v="00:38:35"/>
    <n v="4"/>
    <n v="133.62"/>
    <n v="0.15"/>
    <n v="113.577"/>
    <n v="179.577"/>
    <x v="36"/>
    <s v="BeforeTime"/>
    <n v="4"/>
    <n v="50"/>
  </r>
  <r>
    <x v="94"/>
    <s v="Regina"/>
    <s v="Hawkins"/>
    <x v="94"/>
    <n v="47"/>
    <x v="1"/>
    <x v="0"/>
    <s v="regina.hawkins@rediffmail.com"/>
    <s v="096 Santos Neck Apt. 937, Benjaminmouth, FL 61454"/>
    <x v="402"/>
    <x v="311"/>
    <s v="13:31:33"/>
    <x v="36"/>
    <n v="425.59"/>
    <n v="3"/>
    <x v="4"/>
    <n v="7"/>
    <n v="51"/>
    <n v="45330"/>
    <s v="02:03:42"/>
    <n v="3"/>
    <n v="1276.77"/>
    <n v="0.1"/>
    <n v="1149.0930000000001"/>
    <n v="1200.0930000000001"/>
    <x v="94"/>
    <s v="BeforeTime"/>
    <n v="2"/>
    <n v="50"/>
  </r>
  <r>
    <x v="92"/>
    <s v="Lauren"/>
    <s v="Crane"/>
    <x v="92"/>
    <n v="62"/>
    <x v="1"/>
    <x v="1"/>
    <s v="lauren.crane@yahoo.com"/>
    <s v="30313 Reyes Parkways Suite 392, Port Bradley, SC 24078"/>
    <x v="403"/>
    <x v="312"/>
    <s v="00:57:10"/>
    <x v="38"/>
    <n v="477.52"/>
    <n v="5"/>
    <x v="3"/>
    <n v="2"/>
    <n v="60"/>
    <n v="45520"/>
    <s v="03:55:32"/>
    <n v="3"/>
    <n v="2387.6"/>
    <n v="0.2"/>
    <n v="1910.08"/>
    <n v="1970.08"/>
    <x v="92"/>
    <s v="Late"/>
    <n v="8"/>
    <n v="50"/>
  </r>
  <r>
    <x v="39"/>
    <s v="Amanda"/>
    <s v="Howard"/>
    <x v="39"/>
    <n v="52"/>
    <x v="2"/>
    <x v="7"/>
    <s v="amanda.howard@outlook.com"/>
    <s v="56908 Sydney Park Suite 632, West Anthonyport, NC 15954"/>
    <x v="404"/>
    <x v="313"/>
    <s v="00:07:15"/>
    <x v="18"/>
    <n v="282.63"/>
    <n v="3"/>
    <x v="0"/>
    <n v="3"/>
    <n v="36"/>
    <n v="45478"/>
    <s v="06:30:27"/>
    <n v="7"/>
    <n v="847.89"/>
    <n v="0.08"/>
    <n v="780.05880000000002"/>
    <n v="816.05880000000002"/>
    <x v="39"/>
    <s v="Late"/>
    <n v="6"/>
    <n v="50"/>
  </r>
  <r>
    <x v="40"/>
    <s v="Mary"/>
    <s v="Knight"/>
    <x v="40"/>
    <n v="28"/>
    <x v="2"/>
    <x v="2"/>
    <s v="mary.knight@yahoo.com"/>
    <s v="907 Kimberly Hill, Murrayfort, NH 88384"/>
    <x v="405"/>
    <x v="314"/>
    <s v="08:47:14"/>
    <x v="21"/>
    <n v="157.63999999999999"/>
    <n v="1"/>
    <x v="3"/>
    <n v="1"/>
    <n v="59"/>
    <n v="45356"/>
    <s v="19:25:43"/>
    <n v="6"/>
    <n v="157.63999999999999"/>
    <n v="0.2"/>
    <n v="126.11199999999999"/>
    <n v="185.11199999999999"/>
    <x v="40"/>
    <s v="Late"/>
    <n v="2"/>
    <n v="50"/>
  </r>
  <r>
    <x v="93"/>
    <s v="Katie"/>
    <s v="Hicks"/>
    <x v="93"/>
    <n v="34"/>
    <x v="2"/>
    <x v="5"/>
    <s v="katie.hicks@rediffmail.com"/>
    <s v="848 William Port, New Marilyn, SD 58000"/>
    <x v="406"/>
    <x v="315"/>
    <s v="12:05:04"/>
    <x v="7"/>
    <n v="48.45"/>
    <n v="1"/>
    <x v="4"/>
    <n v="5"/>
    <n v="38"/>
    <n v="45456"/>
    <s v="18:05:47"/>
    <n v="7"/>
    <n v="48.45"/>
    <n v="0.1"/>
    <n v="43.605000000000004"/>
    <n v="81.605000000000004"/>
    <x v="93"/>
    <s v="Late"/>
    <n v="6"/>
    <n v="50"/>
  </r>
  <r>
    <x v="5"/>
    <s v="David"/>
    <s v="Delacruz"/>
    <x v="5"/>
    <n v="26"/>
    <x v="1"/>
    <x v="3"/>
    <s v="david.delacruz@rediffmail.com"/>
    <s v="USNS Ray, FPO AE 20238"/>
    <x v="407"/>
    <x v="316"/>
    <s v="05:45:27"/>
    <x v="47"/>
    <n v="292.14999999999998"/>
    <n v="1"/>
    <x v="3"/>
    <n v="5"/>
    <n v="57"/>
    <n v="45365"/>
    <s v="16:20:46"/>
    <n v="6"/>
    <n v="292.14999999999998"/>
    <n v="0.2"/>
    <n v="233.71999999999997"/>
    <n v="290.71999999999997"/>
    <x v="5"/>
    <s v="Late"/>
    <n v="3"/>
    <n v="50"/>
  </r>
  <r>
    <x v="95"/>
    <s v="Rachel"/>
    <s v="Lopez"/>
    <x v="95"/>
    <n v="57"/>
    <x v="1"/>
    <x v="3"/>
    <s v="rachel.lopez@outlook.com"/>
    <s v="90435 Bonnie Points Suite 886, Jenniferfurt, WV 20187"/>
    <x v="408"/>
    <x v="317"/>
    <s v="18:27:35"/>
    <x v="46"/>
    <n v="20"/>
    <n v="4"/>
    <x v="3"/>
    <n v="1"/>
    <n v="51"/>
    <n v="45334"/>
    <s v="15:09:01"/>
    <n v="1"/>
    <n v="80"/>
    <n v="0.2"/>
    <n v="64"/>
    <n v="115"/>
    <x v="95"/>
    <s v="InTime"/>
    <n v="2"/>
    <n v="50"/>
  </r>
  <r>
    <x v="74"/>
    <s v="Amy"/>
    <s v="Griffin"/>
    <x v="74"/>
    <n v="29"/>
    <x v="0"/>
    <x v="1"/>
    <s v="amy.griffin@rediffmail.com"/>
    <s v="07350 Aaron Meadow Suite 138, Kiaraberg, AL 79545"/>
    <x v="409"/>
    <x v="318"/>
    <s v="08:19:07"/>
    <x v="7"/>
    <n v="48.45"/>
    <n v="2"/>
    <x v="1"/>
    <n v="7"/>
    <n v="56"/>
    <n v="45687"/>
    <s v="03:55:26"/>
    <n v="6"/>
    <n v="96.9"/>
    <n v="0.15"/>
    <n v="82.365000000000009"/>
    <n v="138.36500000000001"/>
    <x v="74"/>
    <s v="BeforeTime"/>
    <n v="1"/>
    <n v="50"/>
  </r>
  <r>
    <x v="59"/>
    <s v="Beth"/>
    <s v="Mason"/>
    <x v="59"/>
    <n v="45"/>
    <x v="2"/>
    <x v="3"/>
    <s v="beth.mason@outlook.com"/>
    <s v="58998 Sherry Haven, East Richard, FL 90775"/>
    <x v="410"/>
    <x v="275"/>
    <s v="01:16:23"/>
    <x v="17"/>
    <n v="126.19"/>
    <n v="2"/>
    <x v="3"/>
    <n v="4"/>
    <n v="67"/>
    <n v="45196"/>
    <s v="21:24:42"/>
    <n v="6"/>
    <n v="252.38"/>
    <n v="0.2"/>
    <n v="201.904"/>
    <n v="268.904"/>
    <x v="59"/>
    <s v="Late"/>
    <n v="9"/>
    <n v="50"/>
  </r>
  <r>
    <x v="90"/>
    <s v="Lauren"/>
    <s v="Lane"/>
    <x v="90"/>
    <n v="30"/>
    <x v="0"/>
    <x v="7"/>
    <s v="lauren.lane@gmail.com"/>
    <s v="56985 Sergio Extensions, Port Albert, CO 02898"/>
    <x v="411"/>
    <x v="210"/>
    <s v="07:59:11"/>
    <x v="17"/>
    <n v="126.19"/>
    <n v="4"/>
    <x v="0"/>
    <n v="5"/>
    <n v="69"/>
    <n v="45396"/>
    <s v="05:33:08"/>
    <n v="3"/>
    <n v="504.76"/>
    <n v="0.08"/>
    <n v="464.37919999999997"/>
    <n v="533.37919999999997"/>
    <x v="90"/>
    <s v="BeforeTime"/>
    <n v="4"/>
    <n v="50"/>
  </r>
  <r>
    <x v="26"/>
    <s v="Heather"/>
    <s v="Schneider"/>
    <x v="26"/>
    <n v="48"/>
    <x v="1"/>
    <x v="3"/>
    <s v="heather.schneider@outlook.com"/>
    <s v="57940 Susan Creek Apt. 541, Port Aliciamouth, OR 90221"/>
    <x v="412"/>
    <x v="319"/>
    <s v="02:05:06"/>
    <x v="27"/>
    <n v="496.59"/>
    <n v="3"/>
    <x v="2"/>
    <n v="3"/>
    <n v="49"/>
    <n v="45406"/>
    <s v="02:03:44"/>
    <n v="7"/>
    <n v="1489.77"/>
    <n v="0"/>
    <n v="1489.77"/>
    <n v="1489.77"/>
    <x v="26"/>
    <s v="Late"/>
    <n v="4"/>
    <n v="50"/>
  </r>
  <r>
    <x v="31"/>
    <s v="Donna"/>
    <s v="Oneill"/>
    <x v="31"/>
    <n v="70"/>
    <x v="0"/>
    <x v="6"/>
    <s v="donna.oneill@yahoo.com"/>
    <s v="464 Carolyn Crest Suite 738, Lake Isaiah, CA 66153"/>
    <x v="413"/>
    <x v="320"/>
    <s v="08:18:15"/>
    <x v="43"/>
    <n v="424.82"/>
    <n v="4"/>
    <x v="1"/>
    <n v="1"/>
    <n v="70"/>
    <n v="45402"/>
    <s v="08:36:13"/>
    <n v="6"/>
    <n v="1699.28"/>
    <n v="0.15"/>
    <n v="1444.3879999999999"/>
    <n v="1514.3879999999999"/>
    <x v="31"/>
    <s v="Late"/>
    <n v="4"/>
    <n v="50"/>
  </r>
  <r>
    <x v="14"/>
    <s v="Gina"/>
    <s v="Moreno"/>
    <x v="14"/>
    <n v="36"/>
    <x v="2"/>
    <x v="4"/>
    <s v="gina.moreno@rediffmail.com"/>
    <s v="USS Murray, FPO AP 66559"/>
    <x v="414"/>
    <x v="23"/>
    <s v="12:10:36"/>
    <x v="46"/>
    <n v="20"/>
    <n v="2"/>
    <x v="4"/>
    <n v="1"/>
    <n v="68"/>
    <n v="45195"/>
    <s v="23:31:23"/>
    <n v="1"/>
    <n v="40"/>
    <n v="0.1"/>
    <n v="36"/>
    <n v="104"/>
    <x v="14"/>
    <s v="InTime"/>
    <n v="9"/>
    <n v="50"/>
  </r>
  <r>
    <x v="94"/>
    <s v="Regina"/>
    <s v="Hawkins"/>
    <x v="94"/>
    <n v="47"/>
    <x v="1"/>
    <x v="0"/>
    <s v="regina.hawkins@rediffmail.com"/>
    <s v="096 Santos Neck Apt. 937, Benjaminmouth, FL 61454"/>
    <x v="415"/>
    <x v="321"/>
    <s v="00:38:36"/>
    <x v="2"/>
    <n v="202.54"/>
    <n v="5"/>
    <x v="4"/>
    <n v="4"/>
    <n v="58"/>
    <n v="45218"/>
    <s v="20:13:27"/>
    <n v="2"/>
    <n v="1012.6999999999999"/>
    <n v="0.1"/>
    <n v="911.43"/>
    <n v="969.43"/>
    <x v="94"/>
    <s v="BeforeTime"/>
    <n v="10"/>
    <n v="50"/>
  </r>
  <r>
    <x v="14"/>
    <s v="Gina"/>
    <s v="Moreno"/>
    <x v="14"/>
    <n v="36"/>
    <x v="2"/>
    <x v="4"/>
    <s v="gina.moreno@rediffmail.com"/>
    <s v="USS Murray, FPO AP 66559"/>
    <x v="416"/>
    <x v="322"/>
    <s v="02:46:16"/>
    <x v="34"/>
    <n v="136.30000000000001"/>
    <n v="4"/>
    <x v="0"/>
    <n v="6"/>
    <n v="52"/>
    <n v="45371"/>
    <s v="09:28:52"/>
    <n v="3"/>
    <n v="545.20000000000005"/>
    <n v="0.08"/>
    <n v="501.58400000000006"/>
    <n v="553.58400000000006"/>
    <x v="14"/>
    <s v="BeforeTime"/>
    <n v="3"/>
    <n v="50"/>
  </r>
  <r>
    <x v="7"/>
    <s v="Debra"/>
    <s v="Rodriguez"/>
    <x v="7"/>
    <n v="48"/>
    <x v="2"/>
    <x v="1"/>
    <s v="debra.rodriguez@rediffmail.com"/>
    <s v="Unit 5964 Box 0721, DPO AP 01840"/>
    <x v="417"/>
    <x v="323"/>
    <s v="21:06:59"/>
    <x v="21"/>
    <n v="157.63999999999999"/>
    <n v="4"/>
    <x v="2"/>
    <n v="7"/>
    <n v="42"/>
    <n v="45663"/>
    <s v="07:58:32"/>
    <n v="2"/>
    <n v="630.55999999999995"/>
    <n v="0"/>
    <n v="630.55999999999995"/>
    <n v="630.55999999999995"/>
    <x v="7"/>
    <s v="BeforeTime"/>
    <n v="1"/>
    <n v="50"/>
  </r>
  <r>
    <x v="49"/>
    <s v="Sarah"/>
    <s v="Butler"/>
    <x v="49"/>
    <n v="64"/>
    <x v="0"/>
    <x v="0"/>
    <s v="sarah.butler@rediffmail.com"/>
    <s v="14131 Edwin Shore Apt. 190, Deniseberg, MD 90905"/>
    <x v="418"/>
    <x v="251"/>
    <s v="05:37:55"/>
    <x v="48"/>
    <n v="107.47"/>
    <n v="5"/>
    <x v="3"/>
    <n v="6"/>
    <n v="47"/>
    <n v="45149"/>
    <s v="12:11:43"/>
    <n v="2"/>
    <n v="537.35"/>
    <n v="0.2"/>
    <n v="429.88"/>
    <n v="476.88"/>
    <x v="49"/>
    <s v="BeforeTime"/>
    <n v="8"/>
    <n v="50"/>
  </r>
  <r>
    <x v="33"/>
    <s v="Timothy"/>
    <s v="Hicks"/>
    <x v="33"/>
    <n v="31"/>
    <x v="2"/>
    <x v="4"/>
    <s v="timothy.hicks@gmail.com"/>
    <s v="140 Tracy Fields, Lake Cynthiaton, TX 57190"/>
    <x v="419"/>
    <x v="324"/>
    <s v="01:03:02"/>
    <x v="19"/>
    <n v="128.13999999999999"/>
    <n v="1"/>
    <x v="2"/>
    <n v="3"/>
    <n v="55"/>
    <n v="45655"/>
    <s v="08:40:48"/>
    <n v="2"/>
    <n v="128.13999999999999"/>
    <n v="0"/>
    <n v="128.13999999999999"/>
    <n v="128.13999999999999"/>
    <x v="33"/>
    <s v="BeforeTime"/>
    <n v="12"/>
    <n v="50"/>
  </r>
  <r>
    <x v="53"/>
    <s v="Jodi"/>
    <s v="Whitney"/>
    <x v="53"/>
    <n v="33"/>
    <x v="2"/>
    <x v="6"/>
    <s v="jodi.whitney@yahoo.com"/>
    <s v="72876 Lara Key Suite 383, Gutierrezton, OR 71683"/>
    <x v="420"/>
    <x v="218"/>
    <s v="18:12:36"/>
    <x v="36"/>
    <n v="425.59"/>
    <n v="2"/>
    <x v="4"/>
    <n v="4"/>
    <n v="64"/>
    <n v="45358"/>
    <s v="04:54:21"/>
    <n v="7"/>
    <n v="851.18"/>
    <n v="0.1"/>
    <n v="766.0619999999999"/>
    <n v="830.0619999999999"/>
    <x v="53"/>
    <s v="Late"/>
    <n v="2"/>
    <n v="50"/>
  </r>
  <r>
    <x v="37"/>
    <s v="Alexandra"/>
    <s v="Smith"/>
    <x v="37"/>
    <n v="70"/>
    <x v="0"/>
    <x v="0"/>
    <s v="alexandra.smith@rediffmail.com"/>
    <s v="48611 Clark Village, West Anne, GA 92865"/>
    <x v="421"/>
    <x v="290"/>
    <s v="15:52:52"/>
    <x v="49"/>
    <n v="33.49"/>
    <n v="5"/>
    <x v="3"/>
    <n v="5"/>
    <n v="64"/>
    <n v="45628"/>
    <s v="22:30:31"/>
    <n v="6"/>
    <n v="167.45000000000002"/>
    <n v="0.2"/>
    <n v="133.96"/>
    <n v="197.96"/>
    <x v="37"/>
    <s v="Late"/>
    <n v="11"/>
    <n v="50"/>
  </r>
  <r>
    <x v="21"/>
    <s v="Angela"/>
    <s v="Evans"/>
    <x v="21"/>
    <n v="52"/>
    <x v="2"/>
    <x v="1"/>
    <s v="angela.evans@outlook.com"/>
    <s v="16031 David Mountain Suite 431, Susanborough, PA 01910"/>
    <x v="422"/>
    <x v="325"/>
    <s v="11:10:43"/>
    <x v="42"/>
    <n v="235.63"/>
    <n v="1"/>
    <x v="2"/>
    <n v="6"/>
    <n v="35"/>
    <n v="45272"/>
    <s v="14:43:30"/>
    <n v="3"/>
    <n v="235.63"/>
    <n v="0"/>
    <n v="235.63"/>
    <n v="235.63"/>
    <x v="21"/>
    <s v="BeforeTime"/>
    <n v="12"/>
    <n v="50"/>
  </r>
  <r>
    <x v="90"/>
    <s v="Lauren"/>
    <s v="Lane"/>
    <x v="90"/>
    <n v="30"/>
    <x v="0"/>
    <x v="7"/>
    <s v="lauren.lane@gmail.com"/>
    <s v="56985 Sergio Extensions, Port Albert, CO 02898"/>
    <x v="423"/>
    <x v="326"/>
    <s v="10:50:23"/>
    <x v="46"/>
    <n v="20"/>
    <n v="3"/>
    <x v="4"/>
    <n v="7"/>
    <n v="65"/>
    <n v="45701"/>
    <s v="10:39:52"/>
    <n v="6"/>
    <n v="60"/>
    <n v="0.1"/>
    <n v="54"/>
    <n v="119"/>
    <x v="90"/>
    <s v="BeforeTime"/>
    <n v="2"/>
    <n v="50"/>
  </r>
  <r>
    <x v="66"/>
    <s v="Melissa"/>
    <s v="Levy"/>
    <x v="66"/>
    <n v="30"/>
    <x v="0"/>
    <x v="5"/>
    <s v="melissa.levy@rediffmail.com"/>
    <s v="3303 Kennedy Springs Suite 830, East Amybury, MI 95595"/>
    <x v="424"/>
    <x v="327"/>
    <s v="12:04:15"/>
    <x v="49"/>
    <n v="33.49"/>
    <n v="5"/>
    <x v="3"/>
    <n v="2"/>
    <n v="58"/>
    <n v="45589"/>
    <s v="05:18:08"/>
    <n v="2"/>
    <n v="167.45000000000002"/>
    <n v="0.2"/>
    <n v="133.96"/>
    <n v="191.96"/>
    <x v="66"/>
    <s v="InTime"/>
    <n v="10"/>
    <n v="50"/>
  </r>
  <r>
    <x v="59"/>
    <s v="Beth"/>
    <s v="Mason"/>
    <x v="59"/>
    <n v="45"/>
    <x v="2"/>
    <x v="3"/>
    <s v="beth.mason@outlook.com"/>
    <s v="58998 Sherry Haven, East Richard, FL 90775"/>
    <x v="425"/>
    <x v="28"/>
    <s v="02:36:45"/>
    <x v="34"/>
    <n v="136.30000000000001"/>
    <n v="1"/>
    <x v="0"/>
    <n v="4"/>
    <n v="41"/>
    <n v="44988"/>
    <s v="14:57:01"/>
    <n v="1"/>
    <n v="136.30000000000001"/>
    <n v="0.08"/>
    <n v="125.39600000000002"/>
    <n v="166.39600000000002"/>
    <x v="59"/>
    <s v="BeforeTime"/>
    <n v="3"/>
    <n v="50"/>
  </r>
  <r>
    <x v="96"/>
    <s v="Scott"/>
    <s v="Jones"/>
    <x v="96"/>
    <n v="29"/>
    <x v="2"/>
    <x v="3"/>
    <s v="scott.jones@yahoo.com"/>
    <s v="086 Kristin Manor Apt. 829, Marissabury, CT 12152"/>
    <x v="426"/>
    <x v="127"/>
    <s v="02:29:46"/>
    <x v="20"/>
    <n v="62.42"/>
    <n v="1"/>
    <x v="0"/>
    <n v="3"/>
    <n v="48"/>
    <n v="45542"/>
    <s v="13:28:57"/>
    <n v="5"/>
    <n v="62.42"/>
    <n v="0.08"/>
    <n v="57.426400000000001"/>
    <n v="105.4264"/>
    <x v="96"/>
    <s v="Late"/>
    <n v="9"/>
    <n v="50"/>
  </r>
  <r>
    <x v="50"/>
    <s v="Katherine"/>
    <s v="Weber"/>
    <x v="50"/>
    <n v="42"/>
    <x v="2"/>
    <x v="2"/>
    <s v="katherine.weber@outlook.com"/>
    <s v="04887 Kimberly Union Apt. 645, Port Laura, IL 97219"/>
    <x v="427"/>
    <x v="309"/>
    <s v="03:00:01"/>
    <x v="36"/>
    <n v="425.59"/>
    <n v="5"/>
    <x v="2"/>
    <n v="5"/>
    <n v="47"/>
    <n v="45652"/>
    <s v="06:03:03"/>
    <n v="6"/>
    <n v="2127.9499999999998"/>
    <n v="0"/>
    <n v="2127.9499999999998"/>
    <n v="2127.9499999999998"/>
    <x v="50"/>
    <s v="Late"/>
    <n v="12"/>
    <n v="50"/>
  </r>
  <r>
    <x v="16"/>
    <s v="Traci"/>
    <s v="Jones"/>
    <x v="16"/>
    <n v="34"/>
    <x v="0"/>
    <x v="3"/>
    <s v="traci.jones@yahoo.com"/>
    <s v="4016 Ryan Passage, Collinsside, PA 88777"/>
    <x v="428"/>
    <x v="86"/>
    <s v="01:12:34"/>
    <x v="48"/>
    <n v="107.47"/>
    <n v="5"/>
    <x v="4"/>
    <n v="5"/>
    <n v="48"/>
    <n v="45505"/>
    <s v="10:01:43"/>
    <n v="1"/>
    <n v="537.35"/>
    <n v="0.1"/>
    <n v="483.61500000000001"/>
    <n v="531.61500000000001"/>
    <x v="16"/>
    <s v="BeforeTime"/>
    <n v="7"/>
    <n v="50"/>
  </r>
  <r>
    <x v="10"/>
    <s v="Kara"/>
    <s v="Brennan"/>
    <x v="10"/>
    <n v="25"/>
    <x v="2"/>
    <x v="4"/>
    <s v="kara.brennan@outlook.com"/>
    <s v="2174 Thomas Avenue, Maciasborough, NJ 41465"/>
    <x v="429"/>
    <x v="183"/>
    <s v="16:46:34"/>
    <x v="21"/>
    <n v="157.63999999999999"/>
    <n v="2"/>
    <x v="2"/>
    <n v="5"/>
    <n v="57"/>
    <n v="45277"/>
    <s v="04:45:34"/>
    <n v="6"/>
    <n v="315.27999999999997"/>
    <n v="0"/>
    <n v="315.27999999999997"/>
    <n v="315.27999999999997"/>
    <x v="10"/>
    <s v="Late"/>
    <n v="12"/>
    <n v="50"/>
  </r>
  <r>
    <x v="33"/>
    <s v="Timothy"/>
    <s v="Hicks"/>
    <x v="33"/>
    <n v="31"/>
    <x v="2"/>
    <x v="4"/>
    <s v="timothy.hicks@gmail.com"/>
    <s v="140 Tracy Fields, Lake Cynthiaton, TX 57190"/>
    <x v="430"/>
    <x v="328"/>
    <s v="12:40:06"/>
    <x v="36"/>
    <n v="425.59"/>
    <n v="2"/>
    <x v="1"/>
    <n v="1"/>
    <n v="44"/>
    <n v="45403"/>
    <s v="03:46:12"/>
    <n v="5"/>
    <n v="851.18"/>
    <n v="0.15"/>
    <n v="723.50299999999993"/>
    <n v="767.50299999999993"/>
    <x v="33"/>
    <s v="Late"/>
    <n v="4"/>
    <n v="50"/>
  </r>
  <r>
    <x v="67"/>
    <s v="Barbara"/>
    <s v="Fuller"/>
    <x v="67"/>
    <n v="43"/>
    <x v="2"/>
    <x v="5"/>
    <s v="barbara.fuller@rediffmail.com"/>
    <s v="134 Mcintosh Unions Suite 574, Lake Laura, DE 96577"/>
    <x v="431"/>
    <x v="98"/>
    <s v="21:41:18"/>
    <x v="15"/>
    <n v="461.07"/>
    <n v="1"/>
    <x v="0"/>
    <n v="1"/>
    <n v="42"/>
    <n v="45433"/>
    <s v="21:10:12"/>
    <n v="1"/>
    <n v="461.07"/>
    <n v="0.08"/>
    <n v="424.18439999999998"/>
    <n v="466.18439999999998"/>
    <x v="67"/>
    <s v="InTime"/>
    <n v="5"/>
    <n v="50"/>
  </r>
  <r>
    <x v="5"/>
    <s v="David"/>
    <s v="Delacruz"/>
    <x v="5"/>
    <n v="26"/>
    <x v="1"/>
    <x v="3"/>
    <s v="david.delacruz@rediffmail.com"/>
    <s v="USNS Ray, FPO AE 20238"/>
    <x v="432"/>
    <x v="315"/>
    <s v="18:51:12"/>
    <x v="42"/>
    <n v="235.63"/>
    <n v="1"/>
    <x v="1"/>
    <n v="3"/>
    <n v="55"/>
    <n v="45455"/>
    <s v="01:58:20"/>
    <n v="6"/>
    <n v="235.63"/>
    <n v="0.15"/>
    <n v="200.28550000000001"/>
    <n v="255.28550000000001"/>
    <x v="5"/>
    <s v="Late"/>
    <n v="6"/>
    <n v="50"/>
  </r>
  <r>
    <x v="56"/>
    <s v="Kelli"/>
    <s v="Smith"/>
    <x v="56"/>
    <n v="18"/>
    <x v="1"/>
    <x v="1"/>
    <s v="kelli.smith@rediffmail.com"/>
    <s v="788 Kristina Lane, Montoyaside, VA 90756"/>
    <x v="433"/>
    <x v="329"/>
    <s v="16:35:28"/>
    <x v="37"/>
    <n v="133.62"/>
    <n v="2"/>
    <x v="0"/>
    <n v="2"/>
    <n v="48"/>
    <n v="45184"/>
    <s v="07:06:38"/>
    <n v="6"/>
    <n v="267.24"/>
    <n v="0.08"/>
    <n v="245.86080000000001"/>
    <n v="293.86080000000004"/>
    <x v="56"/>
    <s v="Late"/>
    <n v="9"/>
    <n v="50"/>
  </r>
  <r>
    <x v="84"/>
    <s v="Hannah"/>
    <s v="Gutierrez"/>
    <x v="84"/>
    <n v="55"/>
    <x v="1"/>
    <x v="5"/>
    <s v="hannah.gutierrez@yahoo.com"/>
    <s v="2420 David Manors, Jessicaland, CT 41698"/>
    <x v="434"/>
    <x v="101"/>
    <s v="15:11:02"/>
    <x v="13"/>
    <n v="104.18"/>
    <n v="1"/>
    <x v="0"/>
    <n v="5"/>
    <n v="37"/>
    <n v="45007"/>
    <s v="14:16:59"/>
    <n v="2"/>
    <n v="104.18"/>
    <n v="0.08"/>
    <n v="95.845600000000005"/>
    <n v="132.84559999999999"/>
    <x v="84"/>
    <s v="BeforeTime"/>
    <n v="3"/>
    <n v="50"/>
  </r>
  <r>
    <x v="61"/>
    <s v="Troy"/>
    <s v="Gomez"/>
    <x v="61"/>
    <n v="68"/>
    <x v="0"/>
    <x v="7"/>
    <s v="troy.gomez@outlook.com"/>
    <s v="7510 Jose Knolls, Candicechester, LA 62815"/>
    <x v="435"/>
    <x v="330"/>
    <s v="08:03:37"/>
    <x v="5"/>
    <n v="363.64"/>
    <n v="4"/>
    <x v="3"/>
    <n v="2"/>
    <n v="42"/>
    <n v="45540"/>
    <s v="13:50:58"/>
    <n v="4"/>
    <n v="1454.56"/>
    <n v="0.2"/>
    <n v="1163.6479999999999"/>
    <n v="1205.6479999999999"/>
    <x v="61"/>
    <s v="Late"/>
    <n v="9"/>
    <n v="50"/>
  </r>
  <r>
    <x v="26"/>
    <s v="Heather"/>
    <s v="Schneider"/>
    <x v="26"/>
    <n v="48"/>
    <x v="1"/>
    <x v="3"/>
    <s v="heather.schneider@outlook.com"/>
    <s v="57940 Susan Creek Apt. 541, Port Aliciamouth, OR 90221"/>
    <x v="436"/>
    <x v="331"/>
    <s v="04:43:46"/>
    <x v="11"/>
    <n v="220.27"/>
    <n v="2"/>
    <x v="1"/>
    <n v="7"/>
    <n v="42"/>
    <n v="45317"/>
    <s v="01:46:40"/>
    <n v="7"/>
    <n v="440.54"/>
    <n v="0.15"/>
    <n v="374.459"/>
    <n v="416.459"/>
    <x v="26"/>
    <s v="InTime"/>
    <n v="1"/>
    <n v="50"/>
  </r>
  <r>
    <x v="62"/>
    <s v="Kim"/>
    <s v="Blevins"/>
    <x v="62"/>
    <n v="65"/>
    <x v="1"/>
    <x v="3"/>
    <s v="kim.blevins@outlook.com"/>
    <s v="089 Rice Shoal Suite 491, Juarezmouth, MI 88715"/>
    <x v="437"/>
    <x v="332"/>
    <s v="21:09:31"/>
    <x v="49"/>
    <n v="33.49"/>
    <n v="3"/>
    <x v="4"/>
    <n v="1"/>
    <n v="50"/>
    <n v="45172"/>
    <s v="06:09:19"/>
    <n v="5"/>
    <n v="100.47"/>
    <n v="0.1"/>
    <n v="90.423000000000002"/>
    <n v="140.423"/>
    <x v="62"/>
    <s v="Late"/>
    <n v="8"/>
    <n v="50"/>
  </r>
  <r>
    <x v="31"/>
    <s v="Donna"/>
    <s v="Oneill"/>
    <x v="31"/>
    <n v="70"/>
    <x v="0"/>
    <x v="6"/>
    <s v="donna.oneill@yahoo.com"/>
    <s v="464 Carolyn Crest Suite 738, Lake Isaiah, CA 66153"/>
    <x v="438"/>
    <x v="50"/>
    <s v="01:04:28"/>
    <x v="21"/>
    <n v="157.63999999999999"/>
    <n v="2"/>
    <x v="4"/>
    <n v="6"/>
    <n v="65"/>
    <n v="45148"/>
    <s v="16:40:55"/>
    <n v="3"/>
    <n v="315.27999999999997"/>
    <n v="0.1"/>
    <n v="283.75199999999995"/>
    <n v="348.75199999999995"/>
    <x v="31"/>
    <s v="BeforeTime"/>
    <n v="8"/>
    <n v="50"/>
  </r>
  <r>
    <x v="13"/>
    <s v="Erin"/>
    <s v="Miller"/>
    <x v="13"/>
    <n v="46"/>
    <x v="0"/>
    <x v="6"/>
    <s v="erin.miller@gmail.com"/>
    <s v="65972 Peterson Route, Port Andrewfurt, SD 32892"/>
    <x v="439"/>
    <x v="159"/>
    <s v="15:06:18"/>
    <x v="35"/>
    <n v="441.03"/>
    <n v="5"/>
    <x v="3"/>
    <n v="7"/>
    <n v="36"/>
    <n v="45016"/>
    <s v="03:50:06"/>
    <n v="6"/>
    <n v="2205.1499999999996"/>
    <n v="0.2"/>
    <n v="1764.1199999999997"/>
    <n v="1800.1199999999997"/>
    <x v="13"/>
    <s v="BeforeTime"/>
    <n v="3"/>
    <n v="50"/>
  </r>
  <r>
    <x v="53"/>
    <s v="Jodi"/>
    <s v="Whitney"/>
    <x v="53"/>
    <n v="33"/>
    <x v="2"/>
    <x v="6"/>
    <s v="jodi.whitney@yahoo.com"/>
    <s v="72876 Lara Key Suite 383, Gutierrezton, OR 71683"/>
    <x v="440"/>
    <x v="333"/>
    <s v="15:43:42"/>
    <x v="30"/>
    <n v="369.03"/>
    <n v="4"/>
    <x v="0"/>
    <n v="5"/>
    <n v="48"/>
    <n v="45629"/>
    <s v="15:41:25"/>
    <n v="1"/>
    <n v="1476.12"/>
    <n v="0.08"/>
    <n v="1358.0303999999999"/>
    <n v="1406.0303999999999"/>
    <x v="53"/>
    <s v="BeforeTime"/>
    <n v="12"/>
    <n v="50"/>
  </r>
  <r>
    <x v="35"/>
    <s v="Aaron"/>
    <s v="Thompson"/>
    <x v="35"/>
    <n v="47"/>
    <x v="1"/>
    <x v="3"/>
    <s v="aaron.thompson@gmail.com"/>
    <s v="PSC 0550, Box 2737, APO AE 75772"/>
    <x v="441"/>
    <x v="145"/>
    <s v="21:05:38"/>
    <x v="23"/>
    <n v="129.75"/>
    <n v="2"/>
    <x v="3"/>
    <n v="5"/>
    <n v="47"/>
    <n v="45532"/>
    <s v="17:28:07"/>
    <n v="3"/>
    <n v="259.5"/>
    <n v="0.2"/>
    <n v="207.6"/>
    <n v="254.6"/>
    <x v="35"/>
    <s v="BeforeTime"/>
    <n v="8"/>
    <n v="50"/>
  </r>
  <r>
    <x v="85"/>
    <s v="Angela"/>
    <s v="Casey"/>
    <x v="85"/>
    <n v="40"/>
    <x v="0"/>
    <x v="2"/>
    <s v="angela.casey@gmail.com"/>
    <s v="089 Farley Terrace, Thomashaven, MT 56607"/>
    <x v="442"/>
    <x v="334"/>
    <s v="16:01:40"/>
    <x v="14"/>
    <n v="20.7"/>
    <n v="2"/>
    <x v="0"/>
    <n v="5"/>
    <n v="61"/>
    <n v="45177"/>
    <s v="02:24:54"/>
    <n v="2"/>
    <n v="41.4"/>
    <n v="0.08"/>
    <n v="38.088000000000001"/>
    <n v="99.087999999999994"/>
    <x v="85"/>
    <s v="BeforeTime"/>
    <n v="9"/>
    <n v="50"/>
  </r>
  <r>
    <x v="65"/>
    <s v="Lisa"/>
    <s v="Miller"/>
    <x v="65"/>
    <n v="70"/>
    <x v="1"/>
    <x v="3"/>
    <s v="lisa.miller@gmail.com"/>
    <s v="89748 Campbell Drive, South Tannerland, WI 13143"/>
    <x v="443"/>
    <x v="335"/>
    <s v="13:25:17"/>
    <x v="26"/>
    <n v="372.62"/>
    <n v="2"/>
    <x v="4"/>
    <n v="4"/>
    <n v="57"/>
    <n v="45382"/>
    <s v="13:52:42"/>
    <n v="3"/>
    <n v="745.24"/>
    <n v="0.1"/>
    <n v="670.71600000000001"/>
    <n v="727.71600000000001"/>
    <x v="65"/>
    <s v="BeforeTime"/>
    <n v="3"/>
    <n v="50"/>
  </r>
  <r>
    <x v="97"/>
    <s v="Gary"/>
    <s v="Jacobs"/>
    <x v="97"/>
    <n v="64"/>
    <x v="1"/>
    <x v="2"/>
    <s v="gary.jacobs@gmail.com"/>
    <s v="USNV Williams, FPO AP 23197"/>
    <x v="444"/>
    <x v="336"/>
    <s v="07:19:13"/>
    <x v="48"/>
    <n v="107.47"/>
    <n v="4"/>
    <x v="3"/>
    <n v="5"/>
    <n v="42"/>
    <n v="45637"/>
    <s v="04:47:20"/>
    <n v="4"/>
    <n v="429.88"/>
    <n v="0.2"/>
    <n v="343.904"/>
    <n v="385.904"/>
    <x v="97"/>
    <s v="BeforeTime"/>
    <n v="12"/>
    <n v="50"/>
  </r>
  <r>
    <x v="97"/>
    <s v="Gary"/>
    <s v="Jacobs"/>
    <x v="97"/>
    <n v="64"/>
    <x v="1"/>
    <x v="2"/>
    <s v="gary.jacobs@gmail.com"/>
    <s v="USNV Williams, FPO AP 23197"/>
    <x v="445"/>
    <x v="337"/>
    <s v="11:30:19"/>
    <x v="0"/>
    <n v="308.88"/>
    <n v="2"/>
    <x v="3"/>
    <n v="2"/>
    <n v="55"/>
    <n v="45541"/>
    <s v="02:44:11"/>
    <n v="2"/>
    <n v="617.76"/>
    <n v="0.2"/>
    <n v="494.20799999999997"/>
    <n v="549.20799999999997"/>
    <x v="97"/>
    <s v="InTime"/>
    <n v="9"/>
    <n v="50"/>
  </r>
  <r>
    <x v="1"/>
    <s v="Anthony"/>
    <s v="Thomas"/>
    <x v="1"/>
    <n v="53"/>
    <x v="1"/>
    <x v="1"/>
    <s v="anthony.thomas@rediffmail.com"/>
    <s v="931 Christopher Ways Suite 833, North Michelle, IN 53484"/>
    <x v="446"/>
    <x v="247"/>
    <s v="03:51:26"/>
    <x v="20"/>
    <n v="62.42"/>
    <n v="5"/>
    <x v="1"/>
    <n v="6"/>
    <n v="69"/>
    <n v="45690"/>
    <s v="12:59:30"/>
    <n v="6"/>
    <n v="312.10000000000002"/>
    <n v="0.15"/>
    <n v="265.28500000000003"/>
    <n v="334.28500000000003"/>
    <x v="1"/>
    <s v="InTime"/>
    <n v="1"/>
    <n v="50"/>
  </r>
  <r>
    <x v="92"/>
    <s v="Lauren"/>
    <s v="Crane"/>
    <x v="92"/>
    <n v="62"/>
    <x v="1"/>
    <x v="1"/>
    <s v="lauren.crane@yahoo.com"/>
    <s v="30313 Reyes Parkways Suite 392, Port Bradley, SC 24078"/>
    <x v="447"/>
    <x v="338"/>
    <s v="15:44:41"/>
    <x v="31"/>
    <n v="286.07"/>
    <n v="1"/>
    <x v="2"/>
    <n v="4"/>
    <n v="43"/>
    <n v="45434"/>
    <s v="03:08:53"/>
    <n v="5"/>
    <n v="286.07"/>
    <n v="0"/>
    <n v="286.07"/>
    <n v="286.07"/>
    <x v="92"/>
    <s v="Late"/>
    <n v="5"/>
    <n v="50"/>
  </r>
  <r>
    <x v="97"/>
    <s v="Gary"/>
    <s v="Jacobs"/>
    <x v="97"/>
    <n v="64"/>
    <x v="1"/>
    <x v="2"/>
    <s v="gary.jacobs@gmail.com"/>
    <s v="USNV Williams, FPO AP 23197"/>
    <x v="448"/>
    <x v="335"/>
    <s v="02:29:08"/>
    <x v="1"/>
    <n v="166.28"/>
    <n v="2"/>
    <x v="3"/>
    <n v="4"/>
    <n v="40"/>
    <n v="45384"/>
    <s v="01:57:29"/>
    <n v="5"/>
    <n v="332.56"/>
    <n v="0.2"/>
    <n v="266.048"/>
    <n v="306.048"/>
    <x v="97"/>
    <s v="Late"/>
    <n v="3"/>
    <n v="50"/>
  </r>
  <r>
    <x v="55"/>
    <s v="William"/>
    <s v="Mann"/>
    <x v="55"/>
    <n v="21"/>
    <x v="0"/>
    <x v="1"/>
    <s v="william.mann@yahoo.com"/>
    <s v="849 Tran Wells, New Lindsayville, WI 22669"/>
    <x v="449"/>
    <x v="339"/>
    <s v="04:40:06"/>
    <x v="41"/>
    <n v="433.62"/>
    <n v="2"/>
    <x v="4"/>
    <n v="7"/>
    <n v="39"/>
    <n v="45644"/>
    <s v="02:03:57"/>
    <n v="6"/>
    <n v="867.24"/>
    <n v="0.1"/>
    <n v="780.51599999999996"/>
    <n v="819.51599999999996"/>
    <x v="55"/>
    <s v="BeforeTime"/>
    <n v="12"/>
    <n v="50"/>
  </r>
  <r>
    <x v="34"/>
    <s v="Thomas"/>
    <s v="Andersen"/>
    <x v="34"/>
    <n v="50"/>
    <x v="2"/>
    <x v="4"/>
    <s v="thomas.andersen@yahoo.com"/>
    <s v="480 Summers Lock Suite 819, Sarahborough, IA 59863"/>
    <x v="450"/>
    <x v="54"/>
    <s v="01:51:31"/>
    <x v="3"/>
    <n v="405"/>
    <n v="3"/>
    <x v="4"/>
    <n v="6"/>
    <n v="36"/>
    <n v="45153"/>
    <s v="05:04:36"/>
    <n v="4"/>
    <n v="1215"/>
    <n v="0.1"/>
    <n v="1093.5"/>
    <n v="1129.5"/>
    <x v="34"/>
    <s v="BeforeTime"/>
    <n v="8"/>
    <n v="50"/>
  </r>
  <r>
    <x v="1"/>
    <s v="Anthony"/>
    <s v="Thomas"/>
    <x v="1"/>
    <n v="53"/>
    <x v="1"/>
    <x v="1"/>
    <s v="anthony.thomas@rediffmail.com"/>
    <s v="931 Christopher Ways Suite 833, North Michelle, IN 53484"/>
    <x v="451"/>
    <x v="83"/>
    <s v="11:55:04"/>
    <x v="4"/>
    <n v="330.11"/>
    <n v="3"/>
    <x v="3"/>
    <n v="7"/>
    <n v="40"/>
    <n v="45080"/>
    <s v="05:45:33"/>
    <n v="4"/>
    <n v="990.33"/>
    <n v="0.2"/>
    <n v="792.26400000000001"/>
    <n v="832.26400000000001"/>
    <x v="1"/>
    <s v="BeforeTime"/>
    <n v="5"/>
    <n v="50"/>
  </r>
  <r>
    <x v="94"/>
    <s v="Regina"/>
    <s v="Hawkins"/>
    <x v="94"/>
    <n v="47"/>
    <x v="1"/>
    <x v="0"/>
    <s v="regina.hawkins@rediffmail.com"/>
    <s v="096 Santos Neck Apt. 937, Benjaminmouth, FL 61454"/>
    <x v="452"/>
    <x v="340"/>
    <s v="16:42:26"/>
    <x v="4"/>
    <n v="330.11"/>
    <n v="1"/>
    <x v="4"/>
    <n v="4"/>
    <n v="39"/>
    <n v="45384"/>
    <s v="08:22:44"/>
    <n v="4"/>
    <n v="330.11"/>
    <n v="0.1"/>
    <n v="297.09899999999999"/>
    <n v="336.09899999999999"/>
    <x v="94"/>
    <s v="InTime"/>
    <n v="3"/>
    <n v="50"/>
  </r>
  <r>
    <x v="98"/>
    <s v="Janice"/>
    <s v="Gordon"/>
    <x v="98"/>
    <n v="43"/>
    <x v="0"/>
    <x v="1"/>
    <s v="janice.gordon@yahoo.com"/>
    <s v="5812 Evelyn Mountains Suite 845, Ortiztown, MN 86166"/>
    <x v="453"/>
    <x v="341"/>
    <s v="02:55:29"/>
    <x v="40"/>
    <n v="445.81"/>
    <n v="2"/>
    <x v="1"/>
    <n v="4"/>
    <n v="59"/>
    <n v="45576"/>
    <s v="04:21:49"/>
    <n v="5"/>
    <n v="891.62"/>
    <n v="0.15"/>
    <n v="757.87699999999995"/>
    <n v="816.87699999999995"/>
    <x v="98"/>
    <s v="Late"/>
    <n v="10"/>
    <n v="50"/>
  </r>
  <r>
    <x v="92"/>
    <s v="Lauren"/>
    <s v="Crane"/>
    <x v="92"/>
    <n v="62"/>
    <x v="1"/>
    <x v="1"/>
    <s v="lauren.crane@yahoo.com"/>
    <s v="30313 Reyes Parkways Suite 392, Port Bradley, SC 24078"/>
    <x v="454"/>
    <x v="340"/>
    <s v="12:05:41"/>
    <x v="49"/>
    <n v="33.49"/>
    <n v="1"/>
    <x v="2"/>
    <n v="2"/>
    <n v="69"/>
    <n v="45385"/>
    <s v="04:38:50"/>
    <n v="5"/>
    <n v="33.49"/>
    <n v="0"/>
    <n v="33.49"/>
    <n v="33.49"/>
    <x v="92"/>
    <s v="Late"/>
    <n v="3"/>
    <n v="50"/>
  </r>
  <r>
    <x v="33"/>
    <s v="Timothy"/>
    <s v="Hicks"/>
    <x v="33"/>
    <n v="31"/>
    <x v="2"/>
    <x v="4"/>
    <s v="timothy.hicks@gmail.com"/>
    <s v="140 Tracy Fields, Lake Cynthiaton, TX 57190"/>
    <x v="455"/>
    <x v="77"/>
    <s v="03:10:32"/>
    <x v="21"/>
    <n v="157.63999999999999"/>
    <n v="1"/>
    <x v="3"/>
    <n v="7"/>
    <n v="46"/>
    <n v="45527"/>
    <s v="11:44:11"/>
    <n v="2"/>
    <n v="157.63999999999999"/>
    <n v="0.2"/>
    <n v="126.11199999999999"/>
    <n v="172.11199999999999"/>
    <x v="33"/>
    <s v="BeforeTime"/>
    <n v="8"/>
    <n v="50"/>
  </r>
  <r>
    <x v="32"/>
    <s v="Robert"/>
    <s v="Castillo"/>
    <x v="32"/>
    <n v="32"/>
    <x v="1"/>
    <x v="6"/>
    <s v="robert.castillo@gmail.com"/>
    <s v="7143 Brandon Skyway Suite 899, Tylerton, IA 21756"/>
    <x v="456"/>
    <x v="194"/>
    <s v="17:54:41"/>
    <x v="8"/>
    <n v="257.06"/>
    <n v="1"/>
    <x v="0"/>
    <n v="3"/>
    <n v="47"/>
    <n v="45259"/>
    <s v="08:42:42"/>
    <n v="2"/>
    <n v="257.06"/>
    <n v="0.08"/>
    <n v="236.49520000000001"/>
    <n v="283.49520000000001"/>
    <x v="32"/>
    <s v="BeforeTime"/>
    <n v="11"/>
    <n v="50"/>
  </r>
  <r>
    <x v="77"/>
    <s v="Christine"/>
    <s v="Aguilar"/>
    <x v="77"/>
    <n v="46"/>
    <x v="0"/>
    <x v="0"/>
    <s v="christine.aguilar@gmail.com"/>
    <s v="3284 Martin Neck, Lopezville, NY 69154"/>
    <x v="457"/>
    <x v="342"/>
    <s v="07:11:33"/>
    <x v="28"/>
    <n v="431.44"/>
    <n v="3"/>
    <x v="0"/>
    <n v="6"/>
    <n v="70"/>
    <n v="44983"/>
    <s v="03:38:41"/>
    <n v="3"/>
    <n v="1294.32"/>
    <n v="0.08"/>
    <n v="1190.7744"/>
    <n v="1260.7744"/>
    <x v="77"/>
    <s v="BeforeTime"/>
    <n v="2"/>
    <n v="50"/>
  </r>
  <r>
    <x v="94"/>
    <s v="Regina"/>
    <s v="Hawkins"/>
    <x v="94"/>
    <n v="47"/>
    <x v="1"/>
    <x v="0"/>
    <s v="regina.hawkins@rediffmail.com"/>
    <s v="096 Santos Neck Apt. 937, Benjaminmouth, FL 61454"/>
    <x v="458"/>
    <x v="89"/>
    <s v="06:54:03"/>
    <x v="16"/>
    <n v="132.97"/>
    <n v="1"/>
    <x v="1"/>
    <n v="6"/>
    <n v="37"/>
    <n v="45190"/>
    <s v="01:13:09"/>
    <n v="7"/>
    <n v="132.97"/>
    <n v="0.15"/>
    <n v="113.0245"/>
    <n v="150.02449999999999"/>
    <x v="94"/>
    <s v="Late"/>
    <n v="9"/>
    <n v="50"/>
  </r>
  <r>
    <x v="94"/>
    <s v="Regina"/>
    <s v="Hawkins"/>
    <x v="94"/>
    <n v="47"/>
    <x v="1"/>
    <x v="0"/>
    <s v="regina.hawkins@rediffmail.com"/>
    <s v="096 Santos Neck Apt. 937, Benjaminmouth, FL 61454"/>
    <x v="459"/>
    <x v="343"/>
    <s v="04:44:42"/>
    <x v="24"/>
    <n v="481.48"/>
    <n v="2"/>
    <x v="2"/>
    <n v="5"/>
    <n v="45"/>
    <n v="45017"/>
    <s v="02:15:04"/>
    <n v="2"/>
    <n v="962.96"/>
    <n v="0"/>
    <n v="962.96"/>
    <n v="962.96"/>
    <x v="94"/>
    <s v="BeforeTime"/>
    <n v="3"/>
    <n v="50"/>
  </r>
  <r>
    <x v="99"/>
    <s v="Diana"/>
    <s v="French"/>
    <x v="99"/>
    <n v="54"/>
    <x v="1"/>
    <x v="2"/>
    <s v="diana.french@outlook.com"/>
    <s v="163 Jeffrey Drive, South Mary, NH 23999"/>
    <x v="460"/>
    <x v="327"/>
    <s v="04:44:04"/>
    <x v="32"/>
    <n v="87.09"/>
    <n v="5"/>
    <x v="1"/>
    <n v="7"/>
    <n v="40"/>
    <n v="45589"/>
    <s v="21:00:20"/>
    <n v="2"/>
    <n v="435.45000000000005"/>
    <n v="0.15"/>
    <n v="370.13250000000005"/>
    <n v="410.13250000000005"/>
    <x v="99"/>
    <s v="BeforeTime"/>
    <n v="10"/>
    <n v="50"/>
  </r>
  <r>
    <x v="70"/>
    <s v="Edward"/>
    <s v="Black"/>
    <x v="70"/>
    <n v="42"/>
    <x v="0"/>
    <x v="2"/>
    <s v="edward.black@gmail.com"/>
    <s v="5879 Susan Via Apt. 886, Sandovalbury, WV 61449"/>
    <x v="461"/>
    <x v="344"/>
    <s v="22:42:38"/>
    <x v="45"/>
    <n v="381.73"/>
    <n v="5"/>
    <x v="1"/>
    <n v="1"/>
    <n v="53"/>
    <n v="45603"/>
    <s v="12:41:59"/>
    <n v="7"/>
    <n v="1908.65"/>
    <n v="0.15"/>
    <n v="1622.3525"/>
    <n v="1675.3525"/>
    <x v="70"/>
    <s v="Late"/>
    <n v="10"/>
    <n v="50"/>
  </r>
  <r>
    <x v="87"/>
    <s v="Jared"/>
    <s v="Horn"/>
    <x v="87"/>
    <n v="43"/>
    <x v="0"/>
    <x v="4"/>
    <s v="jared.horn@outlook.com"/>
    <s v="43325 Barbara Tunnel, Port James, LA 16246"/>
    <x v="462"/>
    <x v="345"/>
    <s v="18:23:17"/>
    <x v="28"/>
    <n v="431.44"/>
    <n v="3"/>
    <x v="1"/>
    <n v="4"/>
    <n v="58"/>
    <n v="45092"/>
    <s v="19:23:44"/>
    <n v="5"/>
    <n v="1294.32"/>
    <n v="0.15"/>
    <n v="1100.172"/>
    <n v="1158.172"/>
    <x v="87"/>
    <s v="Late"/>
    <n v="6"/>
    <n v="50"/>
  </r>
  <r>
    <x v="92"/>
    <s v="Lauren"/>
    <s v="Crane"/>
    <x v="92"/>
    <n v="62"/>
    <x v="1"/>
    <x v="1"/>
    <s v="lauren.crane@yahoo.com"/>
    <s v="30313 Reyes Parkways Suite 392, Port Bradley, SC 24078"/>
    <x v="463"/>
    <x v="210"/>
    <s v="12:14:10"/>
    <x v="42"/>
    <n v="235.63"/>
    <n v="3"/>
    <x v="2"/>
    <n v="6"/>
    <n v="41"/>
    <n v="45398"/>
    <s v="03:34:04"/>
    <n v="5"/>
    <n v="706.89"/>
    <n v="0"/>
    <n v="706.89"/>
    <n v="706.89"/>
    <x v="92"/>
    <s v="BeforeTime"/>
    <n v="4"/>
    <n v="50"/>
  </r>
  <r>
    <x v="13"/>
    <s v="Erin"/>
    <s v="Miller"/>
    <x v="13"/>
    <n v="46"/>
    <x v="0"/>
    <x v="6"/>
    <s v="erin.miller@gmail.com"/>
    <s v="65972 Peterson Route, Port Andrewfurt, SD 32892"/>
    <x v="464"/>
    <x v="77"/>
    <s v="04:53:45"/>
    <x v="26"/>
    <n v="372.62"/>
    <n v="4"/>
    <x v="0"/>
    <n v="3"/>
    <n v="48"/>
    <n v="45530"/>
    <s v="05:48:22"/>
    <n v="5"/>
    <n v="1490.48"/>
    <n v="0.08"/>
    <n v="1371.2416000000001"/>
    <n v="1419.2416000000001"/>
    <x v="13"/>
    <s v="Late"/>
    <n v="8"/>
    <n v="50"/>
  </r>
  <r>
    <x v="28"/>
    <s v="Jenny"/>
    <s v="Estrada"/>
    <x v="28"/>
    <n v="45"/>
    <x v="0"/>
    <x v="1"/>
    <s v="jenny.estrada@yahoo.com"/>
    <s v="792 Carlos Islands, West David, CT 16522"/>
    <x v="465"/>
    <x v="346"/>
    <s v="10:23:23"/>
    <x v="40"/>
    <n v="445.81"/>
    <n v="3"/>
    <x v="3"/>
    <n v="1"/>
    <n v="58"/>
    <n v="45109"/>
    <s v="21:18:46"/>
    <n v="6"/>
    <n v="1337.43"/>
    <n v="0.2"/>
    <n v="1069.944"/>
    <n v="1127.944"/>
    <x v="28"/>
    <s v="Late"/>
    <n v="6"/>
    <n v="50"/>
  </r>
  <r>
    <x v="58"/>
    <s v="Amy"/>
    <s v="Ellis"/>
    <x v="58"/>
    <n v="44"/>
    <x v="2"/>
    <x v="3"/>
    <s v="amy.ellis@gmail.com"/>
    <s v="217 Scott Ville, Christophermouth, NH 83776"/>
    <x v="466"/>
    <x v="347"/>
    <s v="20:13:44"/>
    <x v="39"/>
    <n v="403.03"/>
    <n v="2"/>
    <x v="1"/>
    <n v="7"/>
    <n v="39"/>
    <n v="45417"/>
    <s v="09:06:18"/>
    <n v="7"/>
    <n v="806.06"/>
    <n v="0.15"/>
    <n v="685.15099999999995"/>
    <n v="724.15099999999995"/>
    <x v="58"/>
    <s v="InTime"/>
    <n v="4"/>
    <n v="50"/>
  </r>
  <r>
    <x v="74"/>
    <s v="Amy"/>
    <s v="Griffin"/>
    <x v="74"/>
    <n v="29"/>
    <x v="0"/>
    <x v="1"/>
    <s v="amy.griffin@rediffmail.com"/>
    <s v="07350 Aaron Meadow Suite 138, Kiaraberg, AL 79545"/>
    <x v="467"/>
    <x v="267"/>
    <s v="12:43:07"/>
    <x v="27"/>
    <n v="496.59"/>
    <n v="5"/>
    <x v="0"/>
    <n v="3"/>
    <n v="61"/>
    <n v="45425"/>
    <s v="05:09:35"/>
    <n v="2"/>
    <n v="2482.9499999999998"/>
    <n v="0.08"/>
    <n v="2284.3139999999999"/>
    <n v="2345.3139999999999"/>
    <x v="74"/>
    <s v="BeforeTime"/>
    <n v="5"/>
    <n v="50"/>
  </r>
  <r>
    <x v="3"/>
    <s v="Angela"/>
    <s v="Horne"/>
    <x v="3"/>
    <n v="49"/>
    <x v="2"/>
    <x v="0"/>
    <s v="angela.horne@outlook.com"/>
    <s v="USNV Mueller, FPO AP 54648"/>
    <x v="468"/>
    <x v="14"/>
    <s v="22:16:48"/>
    <x v="29"/>
    <n v="44.5"/>
    <n v="3"/>
    <x v="3"/>
    <n v="7"/>
    <n v="40"/>
    <n v="45382"/>
    <s v="16:09:18"/>
    <n v="5"/>
    <n v="133.5"/>
    <n v="0.2"/>
    <n v="106.8"/>
    <n v="146.80000000000001"/>
    <x v="3"/>
    <s v="BeforeTime"/>
    <n v="3"/>
    <n v="50"/>
  </r>
  <r>
    <x v="92"/>
    <s v="Lauren"/>
    <s v="Crane"/>
    <x v="92"/>
    <n v="62"/>
    <x v="1"/>
    <x v="1"/>
    <s v="lauren.crane@yahoo.com"/>
    <s v="30313 Reyes Parkways Suite 392, Port Bradley, SC 24078"/>
    <x v="469"/>
    <x v="64"/>
    <s v="13:00:52"/>
    <x v="20"/>
    <n v="62.42"/>
    <n v="5"/>
    <x v="2"/>
    <n v="2"/>
    <n v="47"/>
    <n v="45453"/>
    <s v="00:18:32"/>
    <n v="2"/>
    <n v="312.10000000000002"/>
    <n v="0"/>
    <n v="312.10000000000002"/>
    <n v="312.10000000000002"/>
    <x v="92"/>
    <s v="InTime"/>
    <n v="6"/>
    <n v="50"/>
  </r>
  <r>
    <x v="63"/>
    <s v="Gregory"/>
    <s v="Lee"/>
    <x v="63"/>
    <n v="26"/>
    <x v="2"/>
    <x v="2"/>
    <s v="gregory.lee@rediffmail.com"/>
    <s v="619 Parker Turnpike Apt. 025, West Brucehaven, ID 48437"/>
    <x v="470"/>
    <x v="348"/>
    <s v="15:33:07"/>
    <x v="32"/>
    <n v="87.09"/>
    <n v="4"/>
    <x v="4"/>
    <n v="5"/>
    <n v="45"/>
    <n v="45368"/>
    <s v="15:51:15"/>
    <n v="6"/>
    <n v="348.36"/>
    <n v="0.1"/>
    <n v="313.524"/>
    <n v="358.524"/>
    <x v="63"/>
    <s v="Late"/>
    <n v="3"/>
    <n v="50"/>
  </r>
  <r>
    <x v="26"/>
    <s v="Heather"/>
    <s v="Schneider"/>
    <x v="26"/>
    <n v="48"/>
    <x v="1"/>
    <x v="3"/>
    <s v="heather.schneider@outlook.com"/>
    <s v="57940 Susan Creek Apt. 541, Port Aliciamouth, OR 90221"/>
    <x v="471"/>
    <x v="126"/>
    <s v="16:58:37"/>
    <x v="25"/>
    <n v="77.84"/>
    <n v="4"/>
    <x v="3"/>
    <n v="5"/>
    <n v="55"/>
    <n v="45286"/>
    <s v="01:05:53"/>
    <n v="3"/>
    <n v="311.36"/>
    <n v="0.2"/>
    <n v="249.08800000000002"/>
    <n v="304.08800000000002"/>
    <x v="26"/>
    <s v="BeforeTime"/>
    <n v="12"/>
    <n v="50"/>
  </r>
  <r>
    <x v="98"/>
    <s v="Janice"/>
    <s v="Gordon"/>
    <x v="98"/>
    <n v="43"/>
    <x v="0"/>
    <x v="1"/>
    <s v="janice.gordon@yahoo.com"/>
    <s v="5812 Evelyn Mountains Suite 845, Ortiztown, MN 86166"/>
    <x v="472"/>
    <x v="221"/>
    <s v="15:06:44"/>
    <x v="25"/>
    <n v="77.84"/>
    <n v="5"/>
    <x v="4"/>
    <n v="2"/>
    <n v="53"/>
    <n v="45017"/>
    <s v="14:31:29"/>
    <n v="5"/>
    <n v="389.20000000000005"/>
    <n v="0.1"/>
    <n v="350.28000000000003"/>
    <n v="403.28000000000003"/>
    <x v="98"/>
    <s v="Late"/>
    <n v="3"/>
    <n v="50"/>
  </r>
  <r>
    <x v="45"/>
    <s v="Debra"/>
    <s v="Hayes"/>
    <x v="45"/>
    <n v="33"/>
    <x v="0"/>
    <x v="6"/>
    <s v="debra.hayes@yahoo.com"/>
    <s v="4601 Miller Lock, Williamsbury, IA 10943"/>
    <x v="473"/>
    <x v="349"/>
    <s v="05:36:29"/>
    <x v="16"/>
    <n v="132.97"/>
    <n v="4"/>
    <x v="2"/>
    <n v="6"/>
    <n v="63"/>
    <n v="45535"/>
    <s v="07:21:52"/>
    <n v="7"/>
    <n v="531.88"/>
    <n v="0"/>
    <n v="531.88"/>
    <n v="531.88"/>
    <x v="45"/>
    <s v="Late"/>
    <n v="8"/>
    <n v="50"/>
  </r>
  <r>
    <x v="21"/>
    <s v="Angela"/>
    <s v="Evans"/>
    <x v="21"/>
    <n v="52"/>
    <x v="2"/>
    <x v="1"/>
    <s v="angela.evans@outlook.com"/>
    <s v="16031 David Mountain Suite 431, Susanborough, PA 01910"/>
    <x v="474"/>
    <x v="350"/>
    <s v="12:50:57"/>
    <x v="15"/>
    <n v="461.07"/>
    <n v="3"/>
    <x v="1"/>
    <n v="4"/>
    <n v="54"/>
    <n v="45357"/>
    <s v="01:24:34"/>
    <n v="3"/>
    <n v="1383.21"/>
    <n v="0.15"/>
    <n v="1175.7284999999999"/>
    <n v="1229.7284999999999"/>
    <x v="21"/>
    <s v="BeforeTime"/>
    <n v="3"/>
    <n v="50"/>
  </r>
  <r>
    <x v="59"/>
    <s v="Beth"/>
    <s v="Mason"/>
    <x v="59"/>
    <n v="45"/>
    <x v="2"/>
    <x v="3"/>
    <s v="beth.mason@outlook.com"/>
    <s v="58998 Sherry Haven, East Richard, FL 90775"/>
    <x v="475"/>
    <x v="311"/>
    <s v="12:10:00"/>
    <x v="1"/>
    <n v="166.28"/>
    <n v="1"/>
    <x v="2"/>
    <n v="2"/>
    <n v="38"/>
    <n v="45328"/>
    <s v="09:31:36"/>
    <n v="1"/>
    <n v="166.28"/>
    <n v="0"/>
    <n v="166.28"/>
    <n v="166.28"/>
    <x v="59"/>
    <s v="BeforeTime"/>
    <n v="2"/>
    <n v="50"/>
  </r>
  <r>
    <x v="99"/>
    <s v="Diana"/>
    <s v="French"/>
    <x v="99"/>
    <n v="54"/>
    <x v="1"/>
    <x v="2"/>
    <s v="diana.french@outlook.com"/>
    <s v="163 Jeffrey Drive, South Mary, NH 23999"/>
    <x v="476"/>
    <x v="351"/>
    <s v="13:21:50"/>
    <x v="38"/>
    <n v="477.52"/>
    <n v="4"/>
    <x v="4"/>
    <n v="3"/>
    <n v="54"/>
    <n v="45354"/>
    <s v="18:29:46"/>
    <n v="1"/>
    <n v="1910.08"/>
    <n v="0.1"/>
    <n v="1719.0719999999999"/>
    <n v="1773.0719999999999"/>
    <x v="99"/>
    <s v="BeforeTime"/>
    <n v="3"/>
    <n v="50"/>
  </r>
  <r>
    <x v="37"/>
    <s v="Alexandra"/>
    <s v="Smith"/>
    <x v="37"/>
    <n v="70"/>
    <x v="0"/>
    <x v="0"/>
    <s v="alexandra.smith@rediffmail.com"/>
    <s v="48611 Clark Village, West Anne, GA 92865"/>
    <x v="477"/>
    <x v="192"/>
    <s v="18:25:37"/>
    <x v="38"/>
    <n v="477.52"/>
    <n v="5"/>
    <x v="4"/>
    <n v="7"/>
    <n v="53"/>
    <n v="45394"/>
    <s v="09:32:58"/>
    <n v="2"/>
    <n v="2387.6"/>
    <n v="0.1"/>
    <n v="2148.84"/>
    <n v="2201.84"/>
    <x v="37"/>
    <s v="BeforeTime"/>
    <n v="4"/>
    <n v="50"/>
  </r>
  <r>
    <x v="98"/>
    <s v="Janice"/>
    <s v="Gordon"/>
    <x v="98"/>
    <n v="43"/>
    <x v="0"/>
    <x v="1"/>
    <s v="janice.gordon@yahoo.com"/>
    <s v="5812 Evelyn Mountains Suite 845, Ortiztown, MN 86166"/>
    <x v="478"/>
    <x v="352"/>
    <s v="14:34:14"/>
    <x v="22"/>
    <n v="158.53"/>
    <n v="2"/>
    <x v="2"/>
    <n v="5"/>
    <n v="69"/>
    <n v="45261"/>
    <s v="17:45:57"/>
    <n v="2"/>
    <n v="317.06"/>
    <n v="0"/>
    <n v="317.06"/>
    <n v="317.06"/>
    <x v="98"/>
    <s v="BeforeTime"/>
    <n v="11"/>
    <n v="50"/>
  </r>
  <r>
    <x v="17"/>
    <s v="Deborah"/>
    <s v="Bates"/>
    <x v="17"/>
    <n v="23"/>
    <x v="0"/>
    <x v="3"/>
    <s v="deborah.bates@yahoo.com"/>
    <s v="278 Kathy Estate, Saraville, OH 77292"/>
    <x v="479"/>
    <x v="353"/>
    <s v="00:44:05"/>
    <x v="3"/>
    <n v="405"/>
    <n v="3"/>
    <x v="4"/>
    <n v="5"/>
    <n v="54"/>
    <n v="45379"/>
    <s v="19:29:03"/>
    <n v="6"/>
    <n v="1215"/>
    <n v="0.1"/>
    <n v="1093.5"/>
    <n v="1147.5"/>
    <x v="17"/>
    <s v="Late"/>
    <n v="3"/>
    <n v="50"/>
  </r>
  <r>
    <x v="44"/>
    <s v="Lori"/>
    <s v="Cook"/>
    <x v="44"/>
    <n v="18"/>
    <x v="1"/>
    <x v="1"/>
    <s v="lori.cook@rediffmail.com"/>
    <s v="86837 Bell Meadows, North Jasonshire, UT 51354"/>
    <x v="480"/>
    <x v="340"/>
    <s v="05:02:45"/>
    <x v="48"/>
    <n v="107.47"/>
    <n v="4"/>
    <x v="4"/>
    <n v="3"/>
    <n v="65"/>
    <n v="45385"/>
    <s v="14:00:57"/>
    <n v="5"/>
    <n v="429.88"/>
    <n v="0.1"/>
    <n v="386.892"/>
    <n v="451.892"/>
    <x v="44"/>
    <s v="Late"/>
    <n v="3"/>
    <n v="50"/>
  </r>
  <r>
    <x v="46"/>
    <s v="Brittany"/>
    <s v="Stewart"/>
    <x v="46"/>
    <n v="68"/>
    <x v="2"/>
    <x v="7"/>
    <s v="brittany.stewart@gmail.com"/>
    <s v="6250 David Loaf Suite 561, North Pamelaberg, WV 63652"/>
    <x v="481"/>
    <x v="354"/>
    <s v="16:28:38"/>
    <x v="19"/>
    <n v="128.13999999999999"/>
    <n v="3"/>
    <x v="3"/>
    <n v="2"/>
    <n v="59"/>
    <n v="45076"/>
    <s v="01:06:14"/>
    <n v="4"/>
    <n v="384.41999999999996"/>
    <n v="0.2"/>
    <n v="307.53599999999994"/>
    <n v="366.53599999999994"/>
    <x v="46"/>
    <s v="Late"/>
    <n v="5"/>
    <n v="50"/>
  </r>
  <r>
    <x v="15"/>
    <s v="Mallory"/>
    <s v="Mitchell"/>
    <x v="15"/>
    <n v="42"/>
    <x v="1"/>
    <x v="6"/>
    <s v="mallory.mitchell@yahoo.com"/>
    <s v="710 Anthony Wall Suite 137, East Davidstad, NV 61494"/>
    <x v="482"/>
    <x v="355"/>
    <s v="08:22:36"/>
    <x v="14"/>
    <n v="20.7"/>
    <n v="1"/>
    <x v="4"/>
    <n v="5"/>
    <n v="55"/>
    <n v="45291"/>
    <s v="07:46:17"/>
    <n v="1"/>
    <n v="20.7"/>
    <n v="0.1"/>
    <n v="18.63"/>
    <n v="73.63"/>
    <x v="15"/>
    <s v="BeforeTime"/>
    <n v="12"/>
    <n v="50"/>
  </r>
  <r>
    <x v="15"/>
    <s v="Mallory"/>
    <s v="Mitchell"/>
    <x v="15"/>
    <n v="42"/>
    <x v="1"/>
    <x v="6"/>
    <s v="mallory.mitchell@yahoo.com"/>
    <s v="710 Anthony Wall Suite 137, East Davidstad, NV 61494"/>
    <x v="483"/>
    <x v="356"/>
    <s v="02:53:11"/>
    <x v="20"/>
    <n v="62.42"/>
    <n v="3"/>
    <x v="0"/>
    <n v="6"/>
    <n v="39"/>
    <n v="45129"/>
    <s v="03:53:13"/>
    <n v="1"/>
    <n v="187.26"/>
    <n v="0.08"/>
    <n v="172.2792"/>
    <n v="211.2792"/>
    <x v="15"/>
    <s v="BeforeTime"/>
    <n v="7"/>
    <n v="50"/>
  </r>
  <r>
    <x v="16"/>
    <s v="Traci"/>
    <s v="Jones"/>
    <x v="16"/>
    <n v="34"/>
    <x v="0"/>
    <x v="3"/>
    <s v="traci.jones@yahoo.com"/>
    <s v="4016 Ryan Passage, Collinsside, PA 88777"/>
    <x v="484"/>
    <x v="126"/>
    <s v="08:17:07"/>
    <x v="24"/>
    <n v="481.48"/>
    <n v="1"/>
    <x v="0"/>
    <n v="5"/>
    <n v="70"/>
    <n v="45287"/>
    <s v="07:01:18"/>
    <n v="4"/>
    <n v="481.48"/>
    <n v="0.08"/>
    <n v="442.96160000000003"/>
    <n v="512.96160000000009"/>
    <x v="16"/>
    <s v="BeforeTime"/>
    <n v="12"/>
    <n v="50"/>
  </r>
  <r>
    <x v="29"/>
    <s v="Courtney"/>
    <s v="Parker"/>
    <x v="29"/>
    <n v="29"/>
    <x v="2"/>
    <x v="3"/>
    <s v="courtney.parker@yahoo.com"/>
    <s v="087 Jacqueline Rue Apt. 694, East Tasha, SC 04859"/>
    <x v="485"/>
    <x v="336"/>
    <s v="01:02:33"/>
    <x v="0"/>
    <n v="308.88"/>
    <n v="3"/>
    <x v="3"/>
    <n v="5"/>
    <n v="68"/>
    <n v="45636"/>
    <s v="03:31:58"/>
    <n v="3"/>
    <n v="926.64"/>
    <n v="0.2"/>
    <n v="741.31200000000001"/>
    <n v="809.31200000000001"/>
    <x v="29"/>
    <s v="BeforeTime"/>
    <n v="12"/>
    <n v="50"/>
  </r>
  <r>
    <x v="84"/>
    <s v="Hannah"/>
    <s v="Gutierrez"/>
    <x v="84"/>
    <n v="55"/>
    <x v="1"/>
    <x v="5"/>
    <s v="hannah.gutierrez@yahoo.com"/>
    <s v="2420 David Manors, Jessicaland, CT 41698"/>
    <x v="486"/>
    <x v="357"/>
    <s v="22:17:42"/>
    <x v="7"/>
    <n v="48.45"/>
    <n v="3"/>
    <x v="3"/>
    <n v="6"/>
    <n v="43"/>
    <n v="45358"/>
    <s v="09:42:50"/>
    <n v="2"/>
    <n v="145.35000000000002"/>
    <n v="0.2"/>
    <n v="116.28000000000002"/>
    <n v="159.28000000000003"/>
    <x v="84"/>
    <s v="BeforeTime"/>
    <n v="3"/>
    <n v="50"/>
  </r>
  <r>
    <x v="9"/>
    <s v="Joseph"/>
    <s v="Stewart"/>
    <x v="9"/>
    <n v="30"/>
    <x v="1"/>
    <x v="1"/>
    <s v="joseph.stewart@yahoo.com"/>
    <s v="4082 Wang Terrace Suite 040, Victorialand, ME 41532"/>
    <x v="487"/>
    <x v="211"/>
    <s v="07:36:32"/>
    <x v="48"/>
    <n v="107.47"/>
    <n v="4"/>
    <x v="0"/>
    <n v="2"/>
    <n v="35"/>
    <n v="45191"/>
    <s v="09:34:23"/>
    <n v="3"/>
    <n v="429.88"/>
    <n v="0.08"/>
    <n v="395.4896"/>
    <n v="430.4896"/>
    <x v="9"/>
    <s v="Late"/>
    <n v="9"/>
    <n v="50"/>
  </r>
  <r>
    <x v="35"/>
    <s v="Aaron"/>
    <s v="Thompson"/>
    <x v="35"/>
    <n v="47"/>
    <x v="1"/>
    <x v="3"/>
    <s v="aaron.thompson@gmail.com"/>
    <s v="PSC 0550, Box 2737, APO AE 75772"/>
    <x v="488"/>
    <x v="318"/>
    <s v="07:39:59"/>
    <x v="35"/>
    <n v="441.03"/>
    <n v="5"/>
    <x v="0"/>
    <n v="5"/>
    <n v="62"/>
    <n v="45682"/>
    <s v="04:52:06"/>
    <n v="1"/>
    <n v="2205.1499999999996"/>
    <n v="0.08"/>
    <n v="2028.7379999999996"/>
    <n v="2090.7379999999994"/>
    <x v="35"/>
    <s v="BeforeTime"/>
    <n v="1"/>
    <n v="50"/>
  </r>
  <r>
    <x v="54"/>
    <s v="Ashley"/>
    <s v="Romero"/>
    <x v="54"/>
    <n v="35"/>
    <x v="0"/>
    <x v="0"/>
    <s v="ashley.romero@yahoo.com"/>
    <s v="547 Kerry Expressway, Lake Amanda, AR 20321"/>
    <x v="489"/>
    <x v="281"/>
    <s v="18:04:56"/>
    <x v="49"/>
    <n v="33.49"/>
    <n v="4"/>
    <x v="3"/>
    <n v="7"/>
    <n v="54"/>
    <n v="45008"/>
    <s v="06:42:40"/>
    <n v="1"/>
    <n v="133.96"/>
    <n v="0.2"/>
    <n v="107.16800000000001"/>
    <n v="161.16800000000001"/>
    <x v="54"/>
    <s v="BeforeTime"/>
    <n v="3"/>
    <n v="50"/>
  </r>
  <r>
    <x v="63"/>
    <s v="Gregory"/>
    <s v="Lee"/>
    <x v="63"/>
    <n v="26"/>
    <x v="2"/>
    <x v="2"/>
    <s v="gregory.lee@rediffmail.com"/>
    <s v="619 Parker Turnpike Apt. 025, West Brucehaven, ID 48437"/>
    <x v="490"/>
    <x v="358"/>
    <s v="03:18:41"/>
    <x v="49"/>
    <n v="33.49"/>
    <n v="1"/>
    <x v="1"/>
    <n v="4"/>
    <n v="44"/>
    <n v="45206"/>
    <s v="01:31:23"/>
    <n v="2"/>
    <n v="33.49"/>
    <n v="0.15"/>
    <n v="28.466500000000003"/>
    <n v="72.466499999999996"/>
    <x v="63"/>
    <s v="BeforeTime"/>
    <n v="10"/>
    <n v="50"/>
  </r>
  <r>
    <x v="46"/>
    <s v="Brittany"/>
    <s v="Stewart"/>
    <x v="46"/>
    <n v="68"/>
    <x v="2"/>
    <x v="7"/>
    <s v="brittany.stewart@gmail.com"/>
    <s v="6250 David Loaf Suite 561, North Pamelaberg, WV 63652"/>
    <x v="491"/>
    <x v="359"/>
    <s v="20:38:05"/>
    <x v="20"/>
    <n v="62.42"/>
    <n v="4"/>
    <x v="2"/>
    <n v="4"/>
    <n v="37"/>
    <n v="45597"/>
    <s v="02:58:16"/>
    <n v="7"/>
    <n v="249.68"/>
    <n v="0"/>
    <n v="249.68"/>
    <n v="249.68"/>
    <x v="46"/>
    <s v="Late"/>
    <n v="10"/>
    <n v="50"/>
  </r>
  <r>
    <x v="32"/>
    <s v="Robert"/>
    <s v="Castillo"/>
    <x v="32"/>
    <n v="32"/>
    <x v="1"/>
    <x v="6"/>
    <s v="robert.castillo@gmail.com"/>
    <s v="7143 Brandon Skyway Suite 899, Tylerton, IA 21756"/>
    <x v="492"/>
    <x v="188"/>
    <s v="08:32:59"/>
    <x v="23"/>
    <n v="129.75"/>
    <n v="1"/>
    <x v="0"/>
    <n v="7"/>
    <n v="56"/>
    <n v="45219"/>
    <s v="03:32:40"/>
    <n v="2"/>
    <n v="129.75"/>
    <n v="0.08"/>
    <n v="119.37"/>
    <n v="175.37"/>
    <x v="32"/>
    <s v="BeforeTime"/>
    <n v="10"/>
    <n v="50"/>
  </r>
  <r>
    <x v="14"/>
    <s v="Gina"/>
    <s v="Moreno"/>
    <x v="14"/>
    <n v="36"/>
    <x v="2"/>
    <x v="4"/>
    <s v="gina.moreno@rediffmail.com"/>
    <s v="USS Murray, FPO AP 66559"/>
    <x v="493"/>
    <x v="360"/>
    <s v="12:42:28"/>
    <x v="14"/>
    <n v="20.7"/>
    <n v="4"/>
    <x v="3"/>
    <n v="1"/>
    <n v="61"/>
    <n v="45184"/>
    <s v="16:13:49"/>
    <n v="2"/>
    <n v="82.8"/>
    <n v="0.2"/>
    <n v="66.239999999999995"/>
    <n v="127.24"/>
    <x v="14"/>
    <s v="Late"/>
    <n v="9"/>
    <n v="50"/>
  </r>
  <r>
    <x v="10"/>
    <s v="Kara"/>
    <s v="Brennan"/>
    <x v="10"/>
    <n v="25"/>
    <x v="2"/>
    <x v="4"/>
    <s v="kara.brennan@outlook.com"/>
    <s v="2174 Thomas Avenue, Maciasborough, NJ 41465"/>
    <x v="494"/>
    <x v="255"/>
    <s v="10:24:01"/>
    <x v="11"/>
    <n v="220.27"/>
    <n v="3"/>
    <x v="2"/>
    <n v="4"/>
    <n v="50"/>
    <n v="45108"/>
    <s v="06:25:35"/>
    <n v="1"/>
    <n v="660.81000000000006"/>
    <n v="0"/>
    <n v="660.81000000000006"/>
    <n v="660.81000000000006"/>
    <x v="10"/>
    <s v="BeforeTime"/>
    <n v="6"/>
    <n v="50"/>
  </r>
  <r>
    <x v="19"/>
    <s v="Mark"/>
    <s v="Henderson"/>
    <x v="19"/>
    <n v="33"/>
    <x v="2"/>
    <x v="7"/>
    <s v="mark.henderson@yahoo.com"/>
    <s v="90155 Hines Spring, North Theresafurt, ME 31920"/>
    <x v="495"/>
    <x v="361"/>
    <s v="12:19:38"/>
    <x v="41"/>
    <n v="433.62"/>
    <n v="2"/>
    <x v="0"/>
    <n v="7"/>
    <n v="56"/>
    <n v="45039"/>
    <s v="00:24:54"/>
    <n v="7"/>
    <n v="867.24"/>
    <n v="0.08"/>
    <n v="797.86080000000004"/>
    <n v="853.86080000000004"/>
    <x v="19"/>
    <s v="InTime"/>
    <n v="4"/>
    <n v="50"/>
  </r>
  <r>
    <x v="93"/>
    <s v="Katie"/>
    <s v="Hicks"/>
    <x v="93"/>
    <n v="34"/>
    <x v="2"/>
    <x v="5"/>
    <s v="katie.hicks@rediffmail.com"/>
    <s v="848 William Port, New Marilyn, SD 58000"/>
    <x v="496"/>
    <x v="362"/>
    <s v="01:15:18"/>
    <x v="19"/>
    <n v="128.13999999999999"/>
    <n v="3"/>
    <x v="0"/>
    <n v="5"/>
    <n v="49"/>
    <n v="45495"/>
    <s v="16:11:48"/>
    <n v="5"/>
    <n v="384.41999999999996"/>
    <n v="0.08"/>
    <n v="353.66639999999995"/>
    <n v="402.66639999999995"/>
    <x v="93"/>
    <s v="InTime"/>
    <n v="7"/>
    <n v="50"/>
  </r>
  <r>
    <x v="99"/>
    <s v="Diana"/>
    <s v="French"/>
    <x v="99"/>
    <n v="54"/>
    <x v="1"/>
    <x v="2"/>
    <s v="diana.french@outlook.com"/>
    <s v="163 Jeffrey Drive, South Mary, NH 23999"/>
    <x v="497"/>
    <x v="363"/>
    <s v="09:50:05"/>
    <x v="12"/>
    <n v="272.51"/>
    <n v="5"/>
    <x v="2"/>
    <n v="3"/>
    <n v="66"/>
    <n v="45388"/>
    <s v="23:38:57"/>
    <n v="7"/>
    <n v="1362.55"/>
    <n v="0"/>
    <n v="1362.55"/>
    <n v="1362.55"/>
    <x v="99"/>
    <s v="Late"/>
    <n v="3"/>
    <n v="50"/>
  </r>
  <r>
    <x v="39"/>
    <s v="Amanda"/>
    <s v="Howard"/>
    <x v="39"/>
    <n v="52"/>
    <x v="2"/>
    <x v="7"/>
    <s v="amanda.howard@outlook.com"/>
    <s v="56908 Sydney Park Suite 632, West Anthonyport, NC 15954"/>
    <x v="498"/>
    <x v="364"/>
    <s v="08:30:03"/>
    <x v="43"/>
    <n v="424.82"/>
    <n v="2"/>
    <x v="2"/>
    <n v="6"/>
    <n v="63"/>
    <n v="45477"/>
    <s v="17:07:47"/>
    <n v="5"/>
    <n v="849.64"/>
    <n v="0"/>
    <n v="849.64"/>
    <n v="849.64"/>
    <x v="39"/>
    <s v="BeforeTime"/>
    <n v="6"/>
    <n v="50"/>
  </r>
  <r>
    <x v="21"/>
    <s v="Angela"/>
    <s v="Evans"/>
    <x v="21"/>
    <n v="52"/>
    <x v="2"/>
    <x v="1"/>
    <s v="angela.evans@outlook.com"/>
    <s v="16031 David Mountain Suite 431, Susanborough, PA 01910"/>
    <x v="499"/>
    <x v="254"/>
    <s v="17:02:09"/>
    <x v="29"/>
    <n v="44.5"/>
    <n v="4"/>
    <x v="2"/>
    <n v="3"/>
    <n v="45"/>
    <n v="45504"/>
    <s v="05:55:32"/>
    <n v="3"/>
    <n v="178"/>
    <n v="0"/>
    <n v="178"/>
    <n v="178"/>
    <x v="21"/>
    <s v="InTime"/>
    <n v="7"/>
    <n v="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16A6E0B-6D1B-469E-8F0C-84ABCDCFA3CB}"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U16:V18" firstHeaderRow="1" firstDataRow="1" firstDataCol="1"/>
  <pivotFields count="32">
    <pivotField showAll="0"/>
    <pivotField showAll="0"/>
    <pivotField showAll="0"/>
    <pivotField showAll="0" sortType="descending">
      <items count="101">
        <item x="91"/>
        <item x="55"/>
        <item x="88"/>
        <item x="27"/>
        <item x="61"/>
        <item x="16"/>
        <item x="33"/>
        <item x="81"/>
        <item x="34"/>
        <item x="25"/>
        <item x="23"/>
        <item x="73"/>
        <item x="48"/>
        <item x="96"/>
        <item x="49"/>
        <item x="89"/>
        <item x="32"/>
        <item x="94"/>
        <item x="43"/>
        <item x="95"/>
        <item x="75"/>
        <item x="76"/>
        <item x="47"/>
        <item x="80"/>
        <item x="66"/>
        <item x="86"/>
        <item x="40"/>
        <item x="78"/>
        <item x="19"/>
        <item x="6"/>
        <item x="41"/>
        <item x="15"/>
        <item x="44"/>
        <item x="65"/>
        <item x="69"/>
        <item x="72"/>
        <item x="24"/>
        <item x="90"/>
        <item x="92"/>
        <item x="68"/>
        <item x="62"/>
        <item x="56"/>
        <item x="93"/>
        <item x="50"/>
        <item x="2"/>
        <item x="10"/>
        <item x="30"/>
        <item x="12"/>
        <item x="9"/>
        <item x="57"/>
        <item x="38"/>
        <item x="20"/>
        <item x="53"/>
        <item x="83"/>
        <item x="28"/>
        <item x="51"/>
        <item x="36"/>
        <item x="87"/>
        <item x="98"/>
        <item x="71"/>
        <item x="26"/>
        <item x="84"/>
        <item x="63"/>
        <item x="14"/>
        <item x="97"/>
        <item x="79"/>
        <item x="13"/>
        <item x="70"/>
        <item x="31"/>
        <item x="99"/>
        <item x="7"/>
        <item x="45"/>
        <item x="17"/>
        <item x="5"/>
        <item x="29"/>
        <item x="60"/>
        <item x="4"/>
        <item x="77"/>
        <item x="18"/>
        <item x="64"/>
        <item x="46"/>
        <item x="42"/>
        <item x="82"/>
        <item x="52"/>
        <item x="8"/>
        <item x="59"/>
        <item x="67"/>
        <item x="22"/>
        <item x="54"/>
        <item x="1"/>
        <item x="0"/>
        <item x="3"/>
        <item x="21"/>
        <item x="85"/>
        <item x="11"/>
        <item x="74"/>
        <item x="58"/>
        <item x="39"/>
        <item x="37"/>
        <item x="35"/>
        <item t="default"/>
      </items>
    </pivotField>
    <pivotField showAll="0"/>
    <pivotField showAll="0">
      <items count="4">
        <item x="1"/>
        <item x="0"/>
        <item x="2"/>
        <item t="default"/>
      </items>
    </pivotField>
    <pivotField showAll="0">
      <items count="9">
        <item x="5"/>
        <item x="7"/>
        <item x="1"/>
        <item x="3"/>
        <item x="4"/>
        <item x="2"/>
        <item x="0"/>
        <item x="6"/>
        <item t="default"/>
      </items>
    </pivotField>
    <pivotField showAll="0"/>
    <pivotField showAll="0"/>
    <pivotField showAll="0"/>
    <pivotField numFmtId="14" showAll="0">
      <items count="366">
        <item x="16"/>
        <item x="200"/>
        <item x="57"/>
        <item x="244"/>
        <item x="287"/>
        <item x="246"/>
        <item x="283"/>
        <item x="120"/>
        <item x="342"/>
        <item x="147"/>
        <item x="276"/>
        <item x="133"/>
        <item x="28"/>
        <item x="134"/>
        <item x="215"/>
        <item x="12"/>
        <item x="178"/>
        <item x="59"/>
        <item x="109"/>
        <item x="101"/>
        <item x="289"/>
        <item x="281"/>
        <item x="159"/>
        <item x="221"/>
        <item x="343"/>
        <item x="224"/>
        <item x="43"/>
        <item x="100"/>
        <item x="107"/>
        <item x="231"/>
        <item x="212"/>
        <item x="271"/>
        <item x="361"/>
        <item x="310"/>
        <item x="168"/>
        <item x="31"/>
        <item x="8"/>
        <item x="73"/>
        <item x="144"/>
        <item x="228"/>
        <item x="154"/>
        <item x="174"/>
        <item x="46"/>
        <item x="232"/>
        <item x="280"/>
        <item x="166"/>
        <item x="243"/>
        <item x="26"/>
        <item x="167"/>
        <item x="354"/>
        <item x="176"/>
        <item x="83"/>
        <item x="15"/>
        <item x="219"/>
        <item x="270"/>
        <item x="345"/>
        <item x="142"/>
        <item x="227"/>
        <item x="302"/>
        <item x="230"/>
        <item x="118"/>
        <item x="162"/>
        <item x="165"/>
        <item x="346"/>
        <item x="236"/>
        <item x="187"/>
        <item x="108"/>
        <item x="255"/>
        <item x="125"/>
        <item x="196"/>
        <item x="182"/>
        <item x="96"/>
        <item x="299"/>
        <item x="191"/>
        <item x="88"/>
        <item x="151"/>
        <item x="263"/>
        <item x="22"/>
        <item x="356"/>
        <item x="138"/>
        <item x="105"/>
        <item x="71"/>
        <item x="25"/>
        <item x="249"/>
        <item x="50"/>
        <item x="24"/>
        <item x="251"/>
        <item x="265"/>
        <item x="54"/>
        <item x="42"/>
        <item x="106"/>
        <item x="235"/>
        <item x="189"/>
        <item x="94"/>
        <item x="332"/>
        <item x="34"/>
        <item x="303"/>
        <item x="334"/>
        <item x="329"/>
        <item x="360"/>
        <item x="89"/>
        <item x="27"/>
        <item x="112"/>
        <item x="274"/>
        <item x="211"/>
        <item x="275"/>
        <item x="37"/>
        <item x="23"/>
        <item x="257"/>
        <item x="130"/>
        <item x="136"/>
        <item x="225"/>
        <item x="92"/>
        <item x="358"/>
        <item x="239"/>
        <item x="148"/>
        <item x="169"/>
        <item x="250"/>
        <item x="55"/>
        <item x="321"/>
        <item x="188"/>
        <item x="29"/>
        <item x="285"/>
        <item x="122"/>
        <item x="82"/>
        <item x="53"/>
        <item x="206"/>
        <item x="293"/>
        <item x="170"/>
        <item x="36"/>
        <item x="295"/>
        <item x="35"/>
        <item x="292"/>
        <item x="123"/>
        <item x="135"/>
        <item x="80"/>
        <item x="171"/>
        <item x="194"/>
        <item x="352"/>
        <item x="296"/>
        <item x="13"/>
        <item x="325"/>
        <item x="294"/>
        <item x="183"/>
        <item x="241"/>
        <item x="190"/>
        <item x="104"/>
        <item x="66"/>
        <item x="238"/>
        <item x="119"/>
        <item x="9"/>
        <item x="126"/>
        <item x="177"/>
        <item x="262"/>
        <item x="355"/>
        <item x="140"/>
        <item x="307"/>
        <item x="300"/>
        <item x="268"/>
        <item x="85"/>
        <item x="331"/>
        <item x="51"/>
        <item x="45"/>
        <item x="155"/>
        <item x="175"/>
        <item x="91"/>
        <item x="65"/>
        <item x="240"/>
        <item x="311"/>
        <item x="137"/>
        <item x="124"/>
        <item x="222"/>
        <item x="317"/>
        <item x="111"/>
        <item x="44"/>
        <item x="179"/>
        <item x="305"/>
        <item x="2"/>
        <item x="161"/>
        <item x="306"/>
        <item x="62"/>
        <item x="193"/>
        <item x="180"/>
        <item x="314"/>
        <item x="218"/>
        <item x="21"/>
        <item x="351"/>
        <item x="350"/>
        <item x="70"/>
        <item x="357"/>
        <item x="0"/>
        <item x="316"/>
        <item x="301"/>
        <item x="348"/>
        <item x="49"/>
        <item x="217"/>
        <item x="322"/>
        <item x="353"/>
        <item x="14"/>
        <item x="1"/>
        <item x="335"/>
        <item x="340"/>
        <item x="363"/>
        <item x="205"/>
        <item x="259"/>
        <item x="203"/>
        <item x="272"/>
        <item x="260"/>
        <item x="30"/>
        <item x="195"/>
        <item x="4"/>
        <item x="192"/>
        <item x="210"/>
        <item x="320"/>
        <item x="103"/>
        <item x="328"/>
        <item x="319"/>
        <item x="248"/>
        <item x="297"/>
        <item x="102"/>
        <item x="33"/>
        <item x="186"/>
        <item x="347"/>
        <item x="233"/>
        <item x="198"/>
        <item x="256"/>
        <item x="284"/>
        <item x="223"/>
        <item x="267"/>
        <item x="3"/>
        <item x="99"/>
        <item x="220"/>
        <item x="338"/>
        <item x="98"/>
        <item x="58"/>
        <item x="75"/>
        <item x="291"/>
        <item x="315"/>
        <item x="114"/>
        <item x="64"/>
        <item x="201"/>
        <item x="213"/>
        <item x="164"/>
        <item x="160"/>
        <item x="7"/>
        <item x="298"/>
        <item x="199"/>
        <item x="313"/>
        <item x="364"/>
        <item x="286"/>
        <item x="277"/>
        <item x="308"/>
        <item x="158"/>
        <item x="253"/>
        <item x="173"/>
        <item x="141"/>
        <item x="95"/>
        <item x="288"/>
        <item x="87"/>
        <item x="362"/>
        <item x="69"/>
        <item x="273"/>
        <item x="11"/>
        <item x="110"/>
        <item x="254"/>
        <item x="63"/>
        <item x="86"/>
        <item x="79"/>
        <item x="156"/>
        <item x="209"/>
        <item x="149"/>
        <item x="245"/>
        <item x="312"/>
        <item x="20"/>
        <item x="226"/>
        <item x="172"/>
        <item x="77"/>
        <item x="234"/>
        <item x="349"/>
        <item x="145"/>
        <item x="97"/>
        <item x="204"/>
        <item x="146"/>
        <item x="330"/>
        <item x="127"/>
        <item x="337"/>
        <item x="185"/>
        <item x="17"/>
        <item x="5"/>
        <item x="48"/>
        <item x="214"/>
        <item x="32"/>
        <item x="181"/>
        <item x="150"/>
        <item x="279"/>
        <item x="84"/>
        <item x="19"/>
        <item x="40"/>
        <item x="153"/>
        <item x="237"/>
        <item x="68"/>
        <item x="41"/>
        <item x="341"/>
        <item x="258"/>
        <item x="39"/>
        <item x="129"/>
        <item x="184"/>
        <item x="157"/>
        <item x="132"/>
        <item x="139"/>
        <item x="67"/>
        <item x="327"/>
        <item x="10"/>
        <item x="116"/>
        <item x="359"/>
        <item x="152"/>
        <item x="81"/>
        <item x="344"/>
        <item x="115"/>
        <item x="52"/>
        <item x="278"/>
        <item x="202"/>
        <item x="128"/>
        <item x="143"/>
        <item x="197"/>
        <item x="47"/>
        <item x="290"/>
        <item x="261"/>
        <item x="78"/>
        <item x="264"/>
        <item x="333"/>
        <item x="61"/>
        <item x="336"/>
        <item x="93"/>
        <item x="252"/>
        <item x="339"/>
        <item x="309"/>
        <item x="72"/>
        <item x="163"/>
        <item x="324"/>
        <item x="56"/>
        <item x="38"/>
        <item x="304"/>
        <item x="208"/>
        <item x="323"/>
        <item x="6"/>
        <item x="121"/>
        <item x="18"/>
        <item x="269"/>
        <item x="113"/>
        <item x="207"/>
        <item x="242"/>
        <item x="216"/>
        <item x="90"/>
        <item x="76"/>
        <item x="229"/>
        <item x="131"/>
        <item x="282"/>
        <item x="60"/>
        <item x="318"/>
        <item x="266"/>
        <item x="74"/>
        <item x="247"/>
        <item x="117"/>
        <item x="326"/>
        <item t="default"/>
      </items>
    </pivotField>
    <pivotField showAll="0"/>
    <pivotField axis="axisRow" showAll="0" measureFilter="1" sortType="descending">
      <items count="51">
        <item x="22"/>
        <item x="35"/>
        <item x="34"/>
        <item x="10"/>
        <item x="5"/>
        <item x="49"/>
        <item x="46"/>
        <item x="4"/>
        <item x="9"/>
        <item x="26"/>
        <item x="44"/>
        <item x="11"/>
        <item x="33"/>
        <item x="25"/>
        <item x="21"/>
        <item x="41"/>
        <item x="6"/>
        <item x="7"/>
        <item x="43"/>
        <item x="3"/>
        <item x="18"/>
        <item x="45"/>
        <item x="17"/>
        <item x="24"/>
        <item x="19"/>
        <item x="39"/>
        <item x="13"/>
        <item x="2"/>
        <item x="0"/>
        <item x="23"/>
        <item x="28"/>
        <item x="31"/>
        <item x="20"/>
        <item x="36"/>
        <item x="37"/>
        <item x="1"/>
        <item x="12"/>
        <item x="42"/>
        <item x="16"/>
        <item x="47"/>
        <item x="29"/>
        <item x="32"/>
        <item x="15"/>
        <item x="8"/>
        <item x="38"/>
        <item x="40"/>
        <item x="27"/>
        <item x="14"/>
        <item x="48"/>
        <item x="30"/>
        <item t="default"/>
      </items>
    </pivotField>
    <pivotField showAll="0"/>
    <pivotField showAll="0"/>
    <pivotField showAll="0">
      <items count="6">
        <item x="2"/>
        <item x="4"/>
        <item x="1"/>
        <item x="3"/>
        <item x="0"/>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s>
  <rowFields count="1">
    <field x="12"/>
  </rowFields>
  <rowItems count="2">
    <i>
      <x v="23"/>
    </i>
    <i t="grand">
      <x/>
    </i>
  </rowItems>
  <colItems count="1">
    <i/>
  </colItems>
  <dataFields count="1">
    <dataField name="Sum of Amount_with_Delivery_Charge " fld="24" baseField="0" baseItem="0"/>
  </dataFields>
  <pivotTableStyleInfo name="PivotStyleLight16" showRowHeaders="1" showColHeaders="1" showRowStripes="0" showColStripes="0" showLastColumn="1"/>
  <filters count="1">
    <filter fld="12" type="count" evalOrder="-1" id="8"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C3E340E-E922-4720-A956-1B7F999DD32C}"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U8:V10" firstHeaderRow="1" firstDataRow="1" firstDataCol="1"/>
  <pivotFields count="32">
    <pivotField showAll="0"/>
    <pivotField showAll="0"/>
    <pivotField showAll="0"/>
    <pivotField showAll="0" sortType="descending">
      <items count="101">
        <item x="91"/>
        <item x="55"/>
        <item x="88"/>
        <item x="27"/>
        <item x="61"/>
        <item x="16"/>
        <item x="33"/>
        <item x="81"/>
        <item x="34"/>
        <item x="25"/>
        <item x="23"/>
        <item x="73"/>
        <item x="48"/>
        <item x="96"/>
        <item x="49"/>
        <item x="89"/>
        <item x="32"/>
        <item x="94"/>
        <item x="43"/>
        <item x="95"/>
        <item x="75"/>
        <item x="76"/>
        <item x="47"/>
        <item x="80"/>
        <item x="66"/>
        <item x="86"/>
        <item x="40"/>
        <item x="78"/>
        <item x="19"/>
        <item x="6"/>
        <item x="41"/>
        <item x="15"/>
        <item x="44"/>
        <item x="65"/>
        <item x="69"/>
        <item x="72"/>
        <item x="24"/>
        <item x="90"/>
        <item x="92"/>
        <item x="68"/>
        <item x="62"/>
        <item x="56"/>
        <item x="93"/>
        <item x="50"/>
        <item x="2"/>
        <item x="10"/>
        <item x="30"/>
        <item x="12"/>
        <item x="9"/>
        <item x="57"/>
        <item x="38"/>
        <item x="20"/>
        <item x="53"/>
        <item x="83"/>
        <item x="28"/>
        <item x="51"/>
        <item x="36"/>
        <item x="87"/>
        <item x="98"/>
        <item x="71"/>
        <item x="26"/>
        <item x="84"/>
        <item x="63"/>
        <item x="14"/>
        <item x="97"/>
        <item x="79"/>
        <item x="13"/>
        <item x="70"/>
        <item x="31"/>
        <item x="99"/>
        <item x="7"/>
        <item x="45"/>
        <item x="17"/>
        <item x="5"/>
        <item x="29"/>
        <item x="60"/>
        <item x="4"/>
        <item x="77"/>
        <item x="18"/>
        <item x="64"/>
        <item x="46"/>
        <item x="42"/>
        <item x="82"/>
        <item x="52"/>
        <item x="8"/>
        <item x="59"/>
        <item x="67"/>
        <item x="22"/>
        <item x="54"/>
        <item x="1"/>
        <item x="0"/>
        <item x="3"/>
        <item x="21"/>
        <item x="85"/>
        <item x="11"/>
        <item x="74"/>
        <item x="58"/>
        <item x="39"/>
        <item x="37"/>
        <item x="35"/>
        <item t="default"/>
      </items>
    </pivotField>
    <pivotField showAll="0"/>
    <pivotField showAll="0">
      <items count="4">
        <item x="1"/>
        <item x="0"/>
        <item x="2"/>
        <item t="default"/>
      </items>
    </pivotField>
    <pivotField showAll="0">
      <items count="9">
        <item x="5"/>
        <item x="7"/>
        <item x="1"/>
        <item x="3"/>
        <item x="4"/>
        <item x="2"/>
        <item x="0"/>
        <item x="6"/>
        <item t="default"/>
      </items>
    </pivotField>
    <pivotField showAll="0"/>
    <pivotField showAll="0"/>
    <pivotField showAll="0"/>
    <pivotField numFmtId="14" showAll="0">
      <items count="366">
        <item x="16"/>
        <item x="200"/>
        <item x="57"/>
        <item x="244"/>
        <item x="287"/>
        <item x="246"/>
        <item x="283"/>
        <item x="120"/>
        <item x="342"/>
        <item x="147"/>
        <item x="276"/>
        <item x="133"/>
        <item x="28"/>
        <item x="134"/>
        <item x="215"/>
        <item x="12"/>
        <item x="178"/>
        <item x="59"/>
        <item x="109"/>
        <item x="101"/>
        <item x="289"/>
        <item x="281"/>
        <item x="159"/>
        <item x="221"/>
        <item x="343"/>
        <item x="224"/>
        <item x="43"/>
        <item x="100"/>
        <item x="107"/>
        <item x="231"/>
        <item x="212"/>
        <item x="271"/>
        <item x="361"/>
        <item x="310"/>
        <item x="168"/>
        <item x="31"/>
        <item x="8"/>
        <item x="73"/>
        <item x="144"/>
        <item x="228"/>
        <item x="154"/>
        <item x="174"/>
        <item x="46"/>
        <item x="232"/>
        <item x="280"/>
        <item x="166"/>
        <item x="243"/>
        <item x="26"/>
        <item x="167"/>
        <item x="354"/>
        <item x="176"/>
        <item x="83"/>
        <item x="15"/>
        <item x="219"/>
        <item x="270"/>
        <item x="345"/>
        <item x="142"/>
        <item x="227"/>
        <item x="302"/>
        <item x="230"/>
        <item x="118"/>
        <item x="162"/>
        <item x="165"/>
        <item x="346"/>
        <item x="236"/>
        <item x="187"/>
        <item x="108"/>
        <item x="255"/>
        <item x="125"/>
        <item x="196"/>
        <item x="182"/>
        <item x="96"/>
        <item x="299"/>
        <item x="191"/>
        <item x="88"/>
        <item x="151"/>
        <item x="263"/>
        <item x="22"/>
        <item x="356"/>
        <item x="138"/>
        <item x="105"/>
        <item x="71"/>
        <item x="25"/>
        <item x="249"/>
        <item x="50"/>
        <item x="24"/>
        <item x="251"/>
        <item x="265"/>
        <item x="54"/>
        <item x="42"/>
        <item x="106"/>
        <item x="235"/>
        <item x="189"/>
        <item x="94"/>
        <item x="332"/>
        <item x="34"/>
        <item x="303"/>
        <item x="334"/>
        <item x="329"/>
        <item x="360"/>
        <item x="89"/>
        <item x="27"/>
        <item x="112"/>
        <item x="274"/>
        <item x="211"/>
        <item x="275"/>
        <item x="37"/>
        <item x="23"/>
        <item x="257"/>
        <item x="130"/>
        <item x="136"/>
        <item x="225"/>
        <item x="92"/>
        <item x="358"/>
        <item x="239"/>
        <item x="148"/>
        <item x="169"/>
        <item x="250"/>
        <item x="55"/>
        <item x="321"/>
        <item x="188"/>
        <item x="29"/>
        <item x="285"/>
        <item x="122"/>
        <item x="82"/>
        <item x="53"/>
        <item x="206"/>
        <item x="293"/>
        <item x="170"/>
        <item x="36"/>
        <item x="295"/>
        <item x="35"/>
        <item x="292"/>
        <item x="123"/>
        <item x="135"/>
        <item x="80"/>
        <item x="171"/>
        <item x="194"/>
        <item x="352"/>
        <item x="296"/>
        <item x="13"/>
        <item x="325"/>
        <item x="294"/>
        <item x="183"/>
        <item x="241"/>
        <item x="190"/>
        <item x="104"/>
        <item x="66"/>
        <item x="238"/>
        <item x="119"/>
        <item x="9"/>
        <item x="126"/>
        <item x="177"/>
        <item x="262"/>
        <item x="355"/>
        <item x="140"/>
        <item x="307"/>
        <item x="300"/>
        <item x="268"/>
        <item x="85"/>
        <item x="331"/>
        <item x="51"/>
        <item x="45"/>
        <item x="155"/>
        <item x="175"/>
        <item x="91"/>
        <item x="65"/>
        <item x="240"/>
        <item x="311"/>
        <item x="137"/>
        <item x="124"/>
        <item x="222"/>
        <item x="317"/>
        <item x="111"/>
        <item x="44"/>
        <item x="179"/>
        <item x="305"/>
        <item x="2"/>
        <item x="161"/>
        <item x="306"/>
        <item x="62"/>
        <item x="193"/>
        <item x="180"/>
        <item x="314"/>
        <item x="218"/>
        <item x="21"/>
        <item x="351"/>
        <item x="350"/>
        <item x="70"/>
        <item x="357"/>
        <item x="0"/>
        <item x="316"/>
        <item x="301"/>
        <item x="348"/>
        <item x="49"/>
        <item x="217"/>
        <item x="322"/>
        <item x="353"/>
        <item x="14"/>
        <item x="1"/>
        <item x="335"/>
        <item x="340"/>
        <item x="363"/>
        <item x="205"/>
        <item x="259"/>
        <item x="203"/>
        <item x="272"/>
        <item x="260"/>
        <item x="30"/>
        <item x="195"/>
        <item x="4"/>
        <item x="192"/>
        <item x="210"/>
        <item x="320"/>
        <item x="103"/>
        <item x="328"/>
        <item x="319"/>
        <item x="248"/>
        <item x="297"/>
        <item x="102"/>
        <item x="33"/>
        <item x="186"/>
        <item x="347"/>
        <item x="233"/>
        <item x="198"/>
        <item x="256"/>
        <item x="284"/>
        <item x="223"/>
        <item x="267"/>
        <item x="3"/>
        <item x="99"/>
        <item x="220"/>
        <item x="338"/>
        <item x="98"/>
        <item x="58"/>
        <item x="75"/>
        <item x="291"/>
        <item x="315"/>
        <item x="114"/>
        <item x="64"/>
        <item x="201"/>
        <item x="213"/>
        <item x="164"/>
        <item x="160"/>
        <item x="7"/>
        <item x="298"/>
        <item x="199"/>
        <item x="313"/>
        <item x="364"/>
        <item x="286"/>
        <item x="277"/>
        <item x="308"/>
        <item x="158"/>
        <item x="253"/>
        <item x="173"/>
        <item x="141"/>
        <item x="95"/>
        <item x="288"/>
        <item x="87"/>
        <item x="362"/>
        <item x="69"/>
        <item x="273"/>
        <item x="11"/>
        <item x="110"/>
        <item x="254"/>
        <item x="63"/>
        <item x="86"/>
        <item x="79"/>
        <item x="156"/>
        <item x="209"/>
        <item x="149"/>
        <item x="245"/>
        <item x="312"/>
        <item x="20"/>
        <item x="226"/>
        <item x="172"/>
        <item x="77"/>
        <item x="234"/>
        <item x="349"/>
        <item x="145"/>
        <item x="97"/>
        <item x="204"/>
        <item x="146"/>
        <item x="330"/>
        <item x="127"/>
        <item x="337"/>
        <item x="185"/>
        <item x="17"/>
        <item x="5"/>
        <item x="48"/>
        <item x="214"/>
        <item x="32"/>
        <item x="181"/>
        <item x="150"/>
        <item x="279"/>
        <item x="84"/>
        <item x="19"/>
        <item x="40"/>
        <item x="153"/>
        <item x="237"/>
        <item x="68"/>
        <item x="41"/>
        <item x="341"/>
        <item x="258"/>
        <item x="39"/>
        <item x="129"/>
        <item x="184"/>
        <item x="157"/>
        <item x="132"/>
        <item x="139"/>
        <item x="67"/>
        <item x="327"/>
        <item x="10"/>
        <item x="116"/>
        <item x="359"/>
        <item x="152"/>
        <item x="81"/>
        <item x="344"/>
        <item x="115"/>
        <item x="52"/>
        <item x="278"/>
        <item x="202"/>
        <item x="128"/>
        <item x="143"/>
        <item x="197"/>
        <item x="47"/>
        <item x="290"/>
        <item x="261"/>
        <item x="78"/>
        <item x="264"/>
        <item x="333"/>
        <item x="61"/>
        <item x="336"/>
        <item x="93"/>
        <item x="252"/>
        <item x="339"/>
        <item x="309"/>
        <item x="72"/>
        <item x="163"/>
        <item x="324"/>
        <item x="56"/>
        <item x="38"/>
        <item x="304"/>
        <item x="208"/>
        <item x="323"/>
        <item x="6"/>
        <item x="121"/>
        <item x="18"/>
        <item x="269"/>
        <item x="113"/>
        <item x="207"/>
        <item x="242"/>
        <item x="216"/>
        <item x="90"/>
        <item x="76"/>
        <item x="229"/>
        <item x="131"/>
        <item x="282"/>
        <item x="60"/>
        <item x="318"/>
        <item x="266"/>
        <item x="74"/>
        <item x="247"/>
        <item x="117"/>
        <item x="326"/>
        <item t="default"/>
      </items>
    </pivotField>
    <pivotField showAll="0"/>
    <pivotField axis="axisRow" dataField="1" showAll="0" measureFilter="1">
      <items count="51">
        <item x="30"/>
        <item x="48"/>
        <item x="14"/>
        <item x="27"/>
        <item x="40"/>
        <item x="38"/>
        <item x="8"/>
        <item x="15"/>
        <item x="32"/>
        <item x="29"/>
        <item x="47"/>
        <item x="16"/>
        <item x="42"/>
        <item x="12"/>
        <item x="1"/>
        <item x="37"/>
        <item x="36"/>
        <item x="20"/>
        <item x="31"/>
        <item x="28"/>
        <item x="23"/>
        <item x="0"/>
        <item x="2"/>
        <item x="13"/>
        <item x="39"/>
        <item x="19"/>
        <item x="24"/>
        <item x="17"/>
        <item x="45"/>
        <item x="18"/>
        <item x="3"/>
        <item x="43"/>
        <item x="7"/>
        <item x="6"/>
        <item x="41"/>
        <item x="21"/>
        <item x="25"/>
        <item x="33"/>
        <item x="11"/>
        <item x="44"/>
        <item x="26"/>
        <item x="9"/>
        <item x="4"/>
        <item x="46"/>
        <item x="49"/>
        <item x="5"/>
        <item x="10"/>
        <item x="34"/>
        <item x="35"/>
        <item x="22"/>
        <item t="default"/>
      </items>
    </pivotField>
    <pivotField showAll="0"/>
    <pivotField showAll="0"/>
    <pivotField showAll="0">
      <items count="6">
        <item x="2"/>
        <item x="4"/>
        <item x="1"/>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s>
  <rowFields count="1">
    <field x="12"/>
  </rowFields>
  <rowItems count="2">
    <i>
      <x v="35"/>
    </i>
    <i t="grand">
      <x/>
    </i>
  </rowItems>
  <colItems count="1">
    <i/>
  </colItems>
  <dataFields count="1">
    <dataField name="Count of Product_ID" fld="12" subtotal="count" baseField="0" baseItem="0"/>
  </dataFields>
  <pivotTableStyleInfo name="PivotStyleLight16" showRowHeaders="1" showColHeaders="1" showRowStripes="0" showColStripes="0" showLastColumn="1"/>
  <filters count="1">
    <filter fld="12" type="count" evalOrder="-1" id="7"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456C38E-EF52-4DC1-8B64-5A6ABCE7CE1C}"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C5:D7" firstHeaderRow="1" firstDataRow="1" firstDataCol="1"/>
  <pivotFields count="32">
    <pivotField showAll="0" measureFilter="1"/>
    <pivotField showAll="0"/>
    <pivotField showAll="0"/>
    <pivotField axis="axisRow" showAll="0" measureFilter="1" sortType="descending">
      <items count="101">
        <item x="91"/>
        <item x="55"/>
        <item x="88"/>
        <item x="27"/>
        <item x="61"/>
        <item x="16"/>
        <item x="33"/>
        <item x="81"/>
        <item x="34"/>
        <item x="25"/>
        <item x="23"/>
        <item x="73"/>
        <item x="48"/>
        <item x="96"/>
        <item x="49"/>
        <item x="89"/>
        <item x="32"/>
        <item x="94"/>
        <item x="43"/>
        <item x="95"/>
        <item x="75"/>
        <item x="76"/>
        <item x="47"/>
        <item x="80"/>
        <item x="66"/>
        <item x="86"/>
        <item x="40"/>
        <item x="78"/>
        <item x="19"/>
        <item x="6"/>
        <item x="41"/>
        <item x="15"/>
        <item x="44"/>
        <item x="65"/>
        <item x="69"/>
        <item x="72"/>
        <item x="24"/>
        <item x="90"/>
        <item x="92"/>
        <item x="68"/>
        <item x="62"/>
        <item x="56"/>
        <item x="93"/>
        <item x="50"/>
        <item x="2"/>
        <item x="10"/>
        <item x="30"/>
        <item x="12"/>
        <item x="9"/>
        <item x="57"/>
        <item x="38"/>
        <item x="20"/>
        <item x="53"/>
        <item x="83"/>
        <item x="28"/>
        <item x="51"/>
        <item x="36"/>
        <item x="87"/>
        <item x="98"/>
        <item x="71"/>
        <item x="26"/>
        <item x="84"/>
        <item x="63"/>
        <item x="14"/>
        <item x="97"/>
        <item x="79"/>
        <item x="13"/>
        <item x="70"/>
        <item x="31"/>
        <item x="99"/>
        <item x="7"/>
        <item x="45"/>
        <item x="17"/>
        <item x="5"/>
        <item x="29"/>
        <item x="60"/>
        <item x="4"/>
        <item x="77"/>
        <item x="18"/>
        <item x="64"/>
        <item x="46"/>
        <item x="42"/>
        <item x="82"/>
        <item x="52"/>
        <item x="8"/>
        <item x="59"/>
        <item x="67"/>
        <item x="22"/>
        <item x="54"/>
        <item x="1"/>
        <item x="0"/>
        <item x="3"/>
        <item x="21"/>
        <item x="85"/>
        <item x="11"/>
        <item x="74"/>
        <item x="58"/>
        <item x="39"/>
        <item x="37"/>
        <item x="35"/>
        <item t="default"/>
      </items>
    </pivotField>
    <pivotField showAll="0"/>
    <pivotField showAll="0">
      <items count="4">
        <item x="1"/>
        <item x="0"/>
        <item x="2"/>
        <item t="default"/>
      </items>
    </pivotField>
    <pivotField showAll="0">
      <items count="9">
        <item x="5"/>
        <item x="7"/>
        <item x="1"/>
        <item x="3"/>
        <item x="4"/>
        <item x="2"/>
        <item x="0"/>
        <item x="6"/>
        <item t="default"/>
      </items>
    </pivotField>
    <pivotField showAll="0"/>
    <pivotField showAll="0"/>
    <pivotField showAll="0"/>
    <pivotField numFmtId="14" showAll="0">
      <items count="366">
        <item x="16"/>
        <item x="200"/>
        <item x="57"/>
        <item x="244"/>
        <item x="287"/>
        <item x="246"/>
        <item x="283"/>
        <item x="120"/>
        <item x="342"/>
        <item x="147"/>
        <item x="276"/>
        <item x="133"/>
        <item x="28"/>
        <item x="134"/>
        <item x="215"/>
        <item x="12"/>
        <item x="178"/>
        <item x="59"/>
        <item x="109"/>
        <item x="101"/>
        <item x="289"/>
        <item x="281"/>
        <item x="159"/>
        <item x="221"/>
        <item x="343"/>
        <item x="224"/>
        <item x="43"/>
        <item x="100"/>
        <item x="107"/>
        <item x="231"/>
        <item x="212"/>
        <item x="271"/>
        <item x="361"/>
        <item x="310"/>
        <item x="168"/>
        <item x="31"/>
        <item x="8"/>
        <item x="73"/>
        <item x="144"/>
        <item x="228"/>
        <item x="154"/>
        <item x="174"/>
        <item x="46"/>
        <item x="232"/>
        <item x="280"/>
        <item x="166"/>
        <item x="243"/>
        <item x="26"/>
        <item x="167"/>
        <item x="354"/>
        <item x="176"/>
        <item x="83"/>
        <item x="15"/>
        <item x="219"/>
        <item x="270"/>
        <item x="345"/>
        <item x="142"/>
        <item x="227"/>
        <item x="302"/>
        <item x="230"/>
        <item x="118"/>
        <item x="162"/>
        <item x="165"/>
        <item x="346"/>
        <item x="236"/>
        <item x="187"/>
        <item x="108"/>
        <item x="255"/>
        <item x="125"/>
        <item x="196"/>
        <item x="182"/>
        <item x="96"/>
        <item x="299"/>
        <item x="191"/>
        <item x="88"/>
        <item x="151"/>
        <item x="263"/>
        <item x="22"/>
        <item x="356"/>
        <item x="138"/>
        <item x="105"/>
        <item x="71"/>
        <item x="25"/>
        <item x="249"/>
        <item x="50"/>
        <item x="24"/>
        <item x="251"/>
        <item x="265"/>
        <item x="54"/>
        <item x="42"/>
        <item x="106"/>
        <item x="235"/>
        <item x="189"/>
        <item x="94"/>
        <item x="332"/>
        <item x="34"/>
        <item x="303"/>
        <item x="334"/>
        <item x="329"/>
        <item x="360"/>
        <item x="89"/>
        <item x="27"/>
        <item x="112"/>
        <item x="274"/>
        <item x="211"/>
        <item x="275"/>
        <item x="37"/>
        <item x="23"/>
        <item x="257"/>
        <item x="130"/>
        <item x="136"/>
        <item x="225"/>
        <item x="92"/>
        <item x="358"/>
        <item x="239"/>
        <item x="148"/>
        <item x="169"/>
        <item x="250"/>
        <item x="55"/>
        <item x="321"/>
        <item x="188"/>
        <item x="29"/>
        <item x="285"/>
        <item x="122"/>
        <item x="82"/>
        <item x="53"/>
        <item x="206"/>
        <item x="293"/>
        <item x="170"/>
        <item x="36"/>
        <item x="295"/>
        <item x="35"/>
        <item x="292"/>
        <item x="123"/>
        <item x="135"/>
        <item x="80"/>
        <item x="171"/>
        <item x="194"/>
        <item x="352"/>
        <item x="296"/>
        <item x="13"/>
        <item x="325"/>
        <item x="294"/>
        <item x="183"/>
        <item x="241"/>
        <item x="190"/>
        <item x="104"/>
        <item x="66"/>
        <item x="238"/>
        <item x="119"/>
        <item x="9"/>
        <item x="126"/>
        <item x="177"/>
        <item x="262"/>
        <item x="355"/>
        <item x="140"/>
        <item x="307"/>
        <item x="300"/>
        <item x="268"/>
        <item x="85"/>
        <item x="331"/>
        <item x="51"/>
        <item x="45"/>
        <item x="155"/>
        <item x="175"/>
        <item x="91"/>
        <item x="65"/>
        <item x="240"/>
        <item x="311"/>
        <item x="137"/>
        <item x="124"/>
        <item x="222"/>
        <item x="317"/>
        <item x="111"/>
        <item x="44"/>
        <item x="179"/>
        <item x="305"/>
        <item x="2"/>
        <item x="161"/>
        <item x="306"/>
        <item x="62"/>
        <item x="193"/>
        <item x="180"/>
        <item x="314"/>
        <item x="218"/>
        <item x="21"/>
        <item x="351"/>
        <item x="350"/>
        <item x="70"/>
        <item x="357"/>
        <item x="0"/>
        <item x="316"/>
        <item x="301"/>
        <item x="348"/>
        <item x="49"/>
        <item x="217"/>
        <item x="322"/>
        <item x="353"/>
        <item x="14"/>
        <item x="1"/>
        <item x="335"/>
        <item x="340"/>
        <item x="363"/>
        <item x="205"/>
        <item x="259"/>
        <item x="203"/>
        <item x="272"/>
        <item x="260"/>
        <item x="30"/>
        <item x="195"/>
        <item x="4"/>
        <item x="192"/>
        <item x="210"/>
        <item x="320"/>
        <item x="103"/>
        <item x="328"/>
        <item x="319"/>
        <item x="248"/>
        <item x="297"/>
        <item x="102"/>
        <item x="33"/>
        <item x="186"/>
        <item x="347"/>
        <item x="233"/>
        <item x="198"/>
        <item x="256"/>
        <item x="284"/>
        <item x="223"/>
        <item x="267"/>
        <item x="3"/>
        <item x="99"/>
        <item x="220"/>
        <item x="338"/>
        <item x="98"/>
        <item x="58"/>
        <item x="75"/>
        <item x="291"/>
        <item x="315"/>
        <item x="114"/>
        <item x="64"/>
        <item x="201"/>
        <item x="213"/>
        <item x="164"/>
        <item x="160"/>
        <item x="7"/>
        <item x="298"/>
        <item x="199"/>
        <item x="313"/>
        <item x="364"/>
        <item x="286"/>
        <item x="277"/>
        <item x="308"/>
        <item x="158"/>
        <item x="253"/>
        <item x="173"/>
        <item x="141"/>
        <item x="95"/>
        <item x="288"/>
        <item x="87"/>
        <item x="362"/>
        <item x="69"/>
        <item x="273"/>
        <item x="11"/>
        <item x="110"/>
        <item x="254"/>
        <item x="63"/>
        <item x="86"/>
        <item x="79"/>
        <item x="156"/>
        <item x="209"/>
        <item x="149"/>
        <item x="245"/>
        <item x="312"/>
        <item x="20"/>
        <item x="226"/>
        <item x="172"/>
        <item x="77"/>
        <item x="234"/>
        <item x="349"/>
        <item x="145"/>
        <item x="97"/>
        <item x="204"/>
        <item x="146"/>
        <item x="330"/>
        <item x="127"/>
        <item x="337"/>
        <item x="185"/>
        <item x="17"/>
        <item x="5"/>
        <item x="48"/>
        <item x="214"/>
        <item x="32"/>
        <item x="181"/>
        <item x="150"/>
        <item x="279"/>
        <item x="84"/>
        <item x="19"/>
        <item x="40"/>
        <item x="153"/>
        <item x="237"/>
        <item x="68"/>
        <item x="41"/>
        <item x="341"/>
        <item x="258"/>
        <item x="39"/>
        <item x="129"/>
        <item x="184"/>
        <item x="157"/>
        <item x="132"/>
        <item x="139"/>
        <item x="67"/>
        <item x="327"/>
        <item x="10"/>
        <item x="116"/>
        <item x="359"/>
        <item x="152"/>
        <item x="81"/>
        <item x="344"/>
        <item x="115"/>
        <item x="52"/>
        <item x="278"/>
        <item x="202"/>
        <item x="128"/>
        <item x="143"/>
        <item x="197"/>
        <item x="47"/>
        <item x="290"/>
        <item x="261"/>
        <item x="78"/>
        <item x="264"/>
        <item x="333"/>
        <item x="61"/>
        <item x="336"/>
        <item x="93"/>
        <item x="252"/>
        <item x="339"/>
        <item x="309"/>
        <item x="72"/>
        <item x="163"/>
        <item x="324"/>
        <item x="56"/>
        <item x="38"/>
        <item x="304"/>
        <item x="208"/>
        <item x="323"/>
        <item x="6"/>
        <item x="121"/>
        <item x="18"/>
        <item x="269"/>
        <item x="113"/>
        <item x="207"/>
        <item x="242"/>
        <item x="216"/>
        <item x="90"/>
        <item x="76"/>
        <item x="229"/>
        <item x="131"/>
        <item x="282"/>
        <item x="60"/>
        <item x="318"/>
        <item x="266"/>
        <item x="74"/>
        <item x="247"/>
        <item x="117"/>
        <item x="326"/>
        <item t="default"/>
      </items>
    </pivotField>
    <pivotField showAll="0"/>
    <pivotField showAll="0">
      <items count="51">
        <item x="30"/>
        <item x="48"/>
        <item x="14"/>
        <item x="27"/>
        <item x="40"/>
        <item x="38"/>
        <item x="8"/>
        <item x="15"/>
        <item x="32"/>
        <item x="29"/>
        <item x="47"/>
        <item x="16"/>
        <item x="42"/>
        <item x="12"/>
        <item x="1"/>
        <item x="37"/>
        <item x="36"/>
        <item x="20"/>
        <item x="31"/>
        <item x="28"/>
        <item x="23"/>
        <item x="0"/>
        <item x="2"/>
        <item x="13"/>
        <item x="39"/>
        <item x="19"/>
        <item x="24"/>
        <item x="17"/>
        <item x="45"/>
        <item x="18"/>
        <item x="3"/>
        <item x="43"/>
        <item x="7"/>
        <item x="6"/>
        <item x="41"/>
        <item x="21"/>
        <item x="25"/>
        <item x="33"/>
        <item x="11"/>
        <item x="44"/>
        <item x="26"/>
        <item x="9"/>
        <item x="4"/>
        <item x="46"/>
        <item x="49"/>
        <item x="5"/>
        <item x="10"/>
        <item x="34"/>
        <item x="35"/>
        <item x="22"/>
        <item t="default"/>
      </items>
    </pivotField>
    <pivotField showAll="0"/>
    <pivotField showAll="0"/>
    <pivotField showAll="0">
      <items count="6">
        <item x="2"/>
        <item x="4"/>
        <item x="1"/>
        <item x="3"/>
        <item x="0"/>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s>
  <rowFields count="1">
    <field x="3"/>
  </rowFields>
  <rowItems count="2">
    <i>
      <x v="95"/>
    </i>
    <i t="grand">
      <x/>
    </i>
  </rowItems>
  <colItems count="1">
    <i/>
  </colItems>
  <dataFields count="1">
    <dataField name="Max of Amount_with_Delivery_Charge " fld="24" subtotal="max" baseField="3" baseItem="12"/>
  </dataFields>
  <pivotTableStyleInfo name="PivotStyleLight16" showRowHeaders="1" showColHeaders="1" showRowStripes="0" showColStripes="0" showLastColumn="1"/>
  <filters count="2">
    <filter fld="3" type="count" evalOrder="-1" id="5" iMeasureFld="0">
      <autoFilter ref="A1">
        <filterColumn colId="0">
          <top10 val="1" filterVal="1"/>
        </filterColumn>
      </autoFilter>
    </filter>
    <filter fld="0" type="count" evalOrder="-1" id="6"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387F9CB-3A1C-4A06-B733-36C0D2122313}" name="PivotTable7" cacheId="0"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S15" firstHeaderRow="0" firstDataRow="0" firstDataCol="0"/>
  <pivotFields count="32">
    <pivotField showAll="0"/>
    <pivotField showAll="0"/>
    <pivotField showAll="0"/>
    <pivotField showAll="0" sortType="descending">
      <items count="101">
        <item x="91"/>
        <item x="55"/>
        <item x="88"/>
        <item x="27"/>
        <item x="61"/>
        <item x="16"/>
        <item x="33"/>
        <item x="81"/>
        <item x="34"/>
        <item x="25"/>
        <item x="23"/>
        <item x="73"/>
        <item x="48"/>
        <item x="96"/>
        <item x="49"/>
        <item x="89"/>
        <item x="32"/>
        <item x="94"/>
        <item x="43"/>
        <item x="95"/>
        <item x="75"/>
        <item x="76"/>
        <item x="47"/>
        <item x="80"/>
        <item x="66"/>
        <item x="86"/>
        <item x="40"/>
        <item x="78"/>
        <item x="19"/>
        <item x="6"/>
        <item x="41"/>
        <item x="15"/>
        <item x="44"/>
        <item x="65"/>
        <item x="69"/>
        <item x="72"/>
        <item x="24"/>
        <item x="90"/>
        <item x="92"/>
        <item x="68"/>
        <item x="62"/>
        <item x="56"/>
        <item x="93"/>
        <item x="50"/>
        <item x="2"/>
        <item x="10"/>
        <item x="30"/>
        <item x="12"/>
        <item x="9"/>
        <item x="57"/>
        <item x="38"/>
        <item x="20"/>
        <item x="53"/>
        <item x="83"/>
        <item x="28"/>
        <item x="51"/>
        <item x="36"/>
        <item x="87"/>
        <item x="98"/>
        <item x="71"/>
        <item x="26"/>
        <item x="84"/>
        <item x="63"/>
        <item x="14"/>
        <item x="97"/>
        <item x="79"/>
        <item x="13"/>
        <item x="70"/>
        <item x="31"/>
        <item x="99"/>
        <item x="7"/>
        <item x="45"/>
        <item x="17"/>
        <item x="5"/>
        <item x="29"/>
        <item x="60"/>
        <item x="4"/>
        <item x="77"/>
        <item x="18"/>
        <item x="64"/>
        <item x="46"/>
        <item x="42"/>
        <item x="82"/>
        <item x="52"/>
        <item x="8"/>
        <item x="59"/>
        <item x="67"/>
        <item x="22"/>
        <item x="54"/>
        <item x="1"/>
        <item x="0"/>
        <item x="3"/>
        <item x="21"/>
        <item x="85"/>
        <item x="11"/>
        <item x="74"/>
        <item x="58"/>
        <item x="39"/>
        <item x="37"/>
        <item x="35"/>
        <item t="default"/>
      </items>
    </pivotField>
    <pivotField showAll="0"/>
    <pivotField showAll="0">
      <items count="4">
        <item x="1"/>
        <item x="0"/>
        <item x="2"/>
        <item t="default"/>
      </items>
    </pivotField>
    <pivotField showAll="0">
      <items count="9">
        <item x="5"/>
        <item x="7"/>
        <item x="1"/>
        <item x="3"/>
        <item x="4"/>
        <item x="2"/>
        <item x="0"/>
        <item x="6"/>
        <item t="default"/>
      </items>
    </pivotField>
    <pivotField showAll="0"/>
    <pivotField showAll="0"/>
    <pivotField showAll="0"/>
    <pivotField numFmtId="14" showAll="0">
      <items count="366">
        <item x="16"/>
        <item x="200"/>
        <item x="57"/>
        <item x="244"/>
        <item x="287"/>
        <item x="246"/>
        <item x="283"/>
        <item x="120"/>
        <item x="342"/>
        <item x="147"/>
        <item x="276"/>
        <item x="133"/>
        <item x="28"/>
        <item x="134"/>
        <item x="215"/>
        <item x="12"/>
        <item x="178"/>
        <item x="59"/>
        <item x="109"/>
        <item x="101"/>
        <item x="289"/>
        <item x="281"/>
        <item x="159"/>
        <item x="221"/>
        <item x="343"/>
        <item x="224"/>
        <item x="43"/>
        <item x="100"/>
        <item x="107"/>
        <item x="231"/>
        <item x="212"/>
        <item x="271"/>
        <item x="361"/>
        <item x="310"/>
        <item x="168"/>
        <item x="31"/>
        <item x="8"/>
        <item x="73"/>
        <item x="144"/>
        <item x="228"/>
        <item x="154"/>
        <item x="174"/>
        <item x="46"/>
        <item x="232"/>
        <item x="280"/>
        <item x="166"/>
        <item x="243"/>
        <item x="26"/>
        <item x="167"/>
        <item x="354"/>
        <item x="176"/>
        <item x="83"/>
        <item x="15"/>
        <item x="219"/>
        <item x="270"/>
        <item x="345"/>
        <item x="142"/>
        <item x="227"/>
        <item x="302"/>
        <item x="230"/>
        <item x="118"/>
        <item x="162"/>
        <item x="165"/>
        <item x="346"/>
        <item x="236"/>
        <item x="187"/>
        <item x="108"/>
        <item x="255"/>
        <item x="125"/>
        <item x="196"/>
        <item x="182"/>
        <item x="96"/>
        <item x="299"/>
        <item x="191"/>
        <item x="88"/>
        <item x="151"/>
        <item x="263"/>
        <item x="22"/>
        <item x="356"/>
        <item x="138"/>
        <item x="105"/>
        <item x="71"/>
        <item x="25"/>
        <item x="249"/>
        <item x="50"/>
        <item x="24"/>
        <item x="251"/>
        <item x="265"/>
        <item x="54"/>
        <item x="42"/>
        <item x="106"/>
        <item x="235"/>
        <item x="189"/>
        <item x="94"/>
        <item x="332"/>
        <item x="34"/>
        <item x="303"/>
        <item x="334"/>
        <item x="329"/>
        <item x="360"/>
        <item x="89"/>
        <item x="27"/>
        <item x="112"/>
        <item x="274"/>
        <item x="211"/>
        <item x="275"/>
        <item x="37"/>
        <item x="23"/>
        <item x="257"/>
        <item x="130"/>
        <item x="136"/>
        <item x="225"/>
        <item x="92"/>
        <item x="358"/>
        <item x="239"/>
        <item x="148"/>
        <item x="169"/>
        <item x="250"/>
        <item x="55"/>
        <item x="321"/>
        <item x="188"/>
        <item x="29"/>
        <item x="285"/>
        <item x="122"/>
        <item x="82"/>
        <item x="53"/>
        <item x="206"/>
        <item x="293"/>
        <item x="170"/>
        <item x="36"/>
        <item x="295"/>
        <item x="35"/>
        <item x="292"/>
        <item x="123"/>
        <item x="135"/>
        <item x="80"/>
        <item x="171"/>
        <item x="194"/>
        <item x="352"/>
        <item x="296"/>
        <item x="13"/>
        <item x="325"/>
        <item x="294"/>
        <item x="183"/>
        <item x="241"/>
        <item x="190"/>
        <item x="104"/>
        <item x="66"/>
        <item x="238"/>
        <item x="119"/>
        <item x="9"/>
        <item x="126"/>
        <item x="177"/>
        <item x="262"/>
        <item x="355"/>
        <item x="140"/>
        <item x="307"/>
        <item x="300"/>
        <item x="268"/>
        <item x="85"/>
        <item x="331"/>
        <item x="51"/>
        <item x="45"/>
        <item x="155"/>
        <item x="175"/>
        <item x="91"/>
        <item x="65"/>
        <item x="240"/>
        <item x="311"/>
        <item x="137"/>
        <item x="124"/>
        <item x="222"/>
        <item x="317"/>
        <item x="111"/>
        <item x="44"/>
        <item x="179"/>
        <item x="305"/>
        <item x="2"/>
        <item x="161"/>
        <item x="306"/>
        <item x="62"/>
        <item x="193"/>
        <item x="180"/>
        <item x="314"/>
        <item x="218"/>
        <item x="21"/>
        <item x="351"/>
        <item x="350"/>
        <item x="70"/>
        <item x="357"/>
        <item x="0"/>
        <item x="316"/>
        <item x="301"/>
        <item x="348"/>
        <item x="49"/>
        <item x="217"/>
        <item x="322"/>
        <item x="353"/>
        <item x="14"/>
        <item x="1"/>
        <item x="335"/>
        <item x="340"/>
        <item x="363"/>
        <item x="205"/>
        <item x="259"/>
        <item x="203"/>
        <item x="272"/>
        <item x="260"/>
        <item x="30"/>
        <item x="195"/>
        <item x="4"/>
        <item x="192"/>
        <item x="210"/>
        <item x="320"/>
        <item x="103"/>
        <item x="328"/>
        <item x="319"/>
        <item x="248"/>
        <item x="297"/>
        <item x="102"/>
        <item x="33"/>
        <item x="186"/>
        <item x="347"/>
        <item x="233"/>
        <item x="198"/>
        <item x="256"/>
        <item x="284"/>
        <item x="223"/>
        <item x="267"/>
        <item x="3"/>
        <item x="99"/>
        <item x="220"/>
        <item x="338"/>
        <item x="98"/>
        <item x="58"/>
        <item x="75"/>
        <item x="291"/>
        <item x="315"/>
        <item x="114"/>
        <item x="64"/>
        <item x="201"/>
        <item x="213"/>
        <item x="164"/>
        <item x="160"/>
        <item x="7"/>
        <item x="298"/>
        <item x="199"/>
        <item x="313"/>
        <item x="364"/>
        <item x="286"/>
        <item x="277"/>
        <item x="308"/>
        <item x="158"/>
        <item x="253"/>
        <item x="173"/>
        <item x="141"/>
        <item x="95"/>
        <item x="288"/>
        <item x="87"/>
        <item x="362"/>
        <item x="69"/>
        <item x="273"/>
        <item x="11"/>
        <item x="110"/>
        <item x="254"/>
        <item x="63"/>
        <item x="86"/>
        <item x="79"/>
        <item x="156"/>
        <item x="209"/>
        <item x="149"/>
        <item x="245"/>
        <item x="312"/>
        <item x="20"/>
        <item x="226"/>
        <item x="172"/>
        <item x="77"/>
        <item x="234"/>
        <item x="349"/>
        <item x="145"/>
        <item x="97"/>
        <item x="204"/>
        <item x="146"/>
        <item x="330"/>
        <item x="127"/>
        <item x="337"/>
        <item x="185"/>
        <item x="17"/>
        <item x="5"/>
        <item x="48"/>
        <item x="214"/>
        <item x="32"/>
        <item x="181"/>
        <item x="150"/>
        <item x="279"/>
        <item x="84"/>
        <item x="19"/>
        <item x="40"/>
        <item x="153"/>
        <item x="237"/>
        <item x="68"/>
        <item x="41"/>
        <item x="341"/>
        <item x="258"/>
        <item x="39"/>
        <item x="129"/>
        <item x="184"/>
        <item x="157"/>
        <item x="132"/>
        <item x="139"/>
        <item x="67"/>
        <item x="327"/>
        <item x="10"/>
        <item x="116"/>
        <item x="359"/>
        <item x="152"/>
        <item x="81"/>
        <item x="344"/>
        <item x="115"/>
        <item x="52"/>
        <item x="278"/>
        <item x="202"/>
        <item x="128"/>
        <item x="143"/>
        <item x="197"/>
        <item x="47"/>
        <item x="290"/>
        <item x="261"/>
        <item x="78"/>
        <item x="264"/>
        <item x="333"/>
        <item x="61"/>
        <item x="336"/>
        <item x="93"/>
        <item x="252"/>
        <item x="339"/>
        <item x="309"/>
        <item x="72"/>
        <item x="163"/>
        <item x="324"/>
        <item x="56"/>
        <item x="38"/>
        <item x="304"/>
        <item x="208"/>
        <item x="323"/>
        <item x="6"/>
        <item x="121"/>
        <item x="18"/>
        <item x="269"/>
        <item x="113"/>
        <item x="207"/>
        <item x="242"/>
        <item x="216"/>
        <item x="90"/>
        <item x="76"/>
        <item x="229"/>
        <item x="131"/>
        <item x="282"/>
        <item x="60"/>
        <item x="318"/>
        <item x="266"/>
        <item x="74"/>
        <item x="247"/>
        <item x="117"/>
        <item x="326"/>
        <item t="default"/>
      </items>
    </pivotField>
    <pivotField showAll="0"/>
    <pivotField showAll="0">
      <items count="51">
        <item x="30"/>
        <item x="48"/>
        <item x="14"/>
        <item x="27"/>
        <item x="40"/>
        <item x="38"/>
        <item x="8"/>
        <item x="15"/>
        <item x="32"/>
        <item x="29"/>
        <item x="47"/>
        <item x="16"/>
        <item x="42"/>
        <item x="12"/>
        <item x="1"/>
        <item x="37"/>
        <item x="36"/>
        <item x="20"/>
        <item x="31"/>
        <item x="28"/>
        <item x="23"/>
        <item x="0"/>
        <item x="2"/>
        <item x="13"/>
        <item x="39"/>
        <item x="19"/>
        <item x="24"/>
        <item x="17"/>
        <item x="45"/>
        <item x="18"/>
        <item x="3"/>
        <item x="43"/>
        <item x="7"/>
        <item x="6"/>
        <item x="41"/>
        <item x="21"/>
        <item x="25"/>
        <item x="33"/>
        <item x="11"/>
        <item x="44"/>
        <item x="26"/>
        <item x="9"/>
        <item x="4"/>
        <item x="46"/>
        <item x="49"/>
        <item x="5"/>
        <item x="10"/>
        <item x="34"/>
        <item x="35"/>
        <item x="22"/>
        <item t="default"/>
      </items>
    </pivotField>
    <pivotField showAll="0"/>
    <pivotField showAll="0"/>
    <pivotField showAll="0">
      <items count="6">
        <item x="2"/>
        <item x="4"/>
        <item x="1"/>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F8BFABD-36DD-47BA-AC26-C462864E637F}" name="PivotTable6" cacheId="0"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S7" firstHeaderRow="0" firstDataRow="0" firstDataCol="0"/>
  <pivotFields count="32">
    <pivotField showAll="0"/>
    <pivotField showAll="0"/>
    <pivotField showAll="0"/>
    <pivotField showAll="0" sortType="descending">
      <items count="101">
        <item x="91"/>
        <item x="55"/>
        <item x="88"/>
        <item x="27"/>
        <item x="61"/>
        <item x="16"/>
        <item x="33"/>
        <item x="81"/>
        <item x="34"/>
        <item x="25"/>
        <item x="23"/>
        <item x="73"/>
        <item x="48"/>
        <item x="96"/>
        <item x="49"/>
        <item x="89"/>
        <item x="32"/>
        <item x="94"/>
        <item x="43"/>
        <item x="95"/>
        <item x="75"/>
        <item x="76"/>
        <item x="47"/>
        <item x="80"/>
        <item x="66"/>
        <item x="86"/>
        <item x="40"/>
        <item x="78"/>
        <item x="19"/>
        <item x="6"/>
        <item x="41"/>
        <item x="15"/>
        <item x="44"/>
        <item x="65"/>
        <item x="69"/>
        <item x="72"/>
        <item x="24"/>
        <item x="90"/>
        <item x="92"/>
        <item x="68"/>
        <item x="62"/>
        <item x="56"/>
        <item x="93"/>
        <item x="50"/>
        <item x="2"/>
        <item x="10"/>
        <item x="30"/>
        <item x="12"/>
        <item x="9"/>
        <item x="57"/>
        <item x="38"/>
        <item x="20"/>
        <item x="53"/>
        <item x="83"/>
        <item x="28"/>
        <item x="51"/>
        <item x="36"/>
        <item x="87"/>
        <item x="98"/>
        <item x="71"/>
        <item x="26"/>
        <item x="84"/>
        <item x="63"/>
        <item x="14"/>
        <item x="97"/>
        <item x="79"/>
        <item x="13"/>
        <item x="70"/>
        <item x="31"/>
        <item x="99"/>
        <item x="7"/>
        <item x="45"/>
        <item x="17"/>
        <item x="5"/>
        <item x="29"/>
        <item x="60"/>
        <item x="4"/>
        <item x="77"/>
        <item x="18"/>
        <item x="64"/>
        <item x="46"/>
        <item x="42"/>
        <item x="82"/>
        <item x="52"/>
        <item x="8"/>
        <item x="59"/>
        <item x="67"/>
        <item x="22"/>
        <item x="54"/>
        <item x="1"/>
        <item x="0"/>
        <item x="3"/>
        <item x="21"/>
        <item x="85"/>
        <item x="11"/>
        <item x="74"/>
        <item x="58"/>
        <item x="39"/>
        <item x="37"/>
        <item x="35"/>
        <item t="default"/>
      </items>
    </pivotField>
    <pivotField showAll="0"/>
    <pivotField showAll="0">
      <items count="4">
        <item x="1"/>
        <item x="0"/>
        <item x="2"/>
        <item t="default"/>
      </items>
    </pivotField>
    <pivotField showAll="0">
      <items count="9">
        <item x="5"/>
        <item x="7"/>
        <item x="1"/>
        <item x="3"/>
        <item x="4"/>
        <item x="2"/>
        <item x="0"/>
        <item x="6"/>
        <item t="default"/>
      </items>
    </pivotField>
    <pivotField showAll="0"/>
    <pivotField showAll="0"/>
    <pivotField showAll="0"/>
    <pivotField numFmtId="14" showAll="0">
      <items count="366">
        <item x="16"/>
        <item x="200"/>
        <item x="57"/>
        <item x="244"/>
        <item x="287"/>
        <item x="246"/>
        <item x="283"/>
        <item x="120"/>
        <item x="342"/>
        <item x="147"/>
        <item x="276"/>
        <item x="133"/>
        <item x="28"/>
        <item x="134"/>
        <item x="215"/>
        <item x="12"/>
        <item x="178"/>
        <item x="59"/>
        <item x="109"/>
        <item x="101"/>
        <item x="289"/>
        <item x="281"/>
        <item x="159"/>
        <item x="221"/>
        <item x="343"/>
        <item x="224"/>
        <item x="43"/>
        <item x="100"/>
        <item x="107"/>
        <item x="231"/>
        <item x="212"/>
        <item x="271"/>
        <item x="361"/>
        <item x="310"/>
        <item x="168"/>
        <item x="31"/>
        <item x="8"/>
        <item x="73"/>
        <item x="144"/>
        <item x="228"/>
        <item x="154"/>
        <item x="174"/>
        <item x="46"/>
        <item x="232"/>
        <item x="280"/>
        <item x="166"/>
        <item x="243"/>
        <item x="26"/>
        <item x="167"/>
        <item x="354"/>
        <item x="176"/>
        <item x="83"/>
        <item x="15"/>
        <item x="219"/>
        <item x="270"/>
        <item x="345"/>
        <item x="142"/>
        <item x="227"/>
        <item x="302"/>
        <item x="230"/>
        <item x="118"/>
        <item x="162"/>
        <item x="165"/>
        <item x="346"/>
        <item x="236"/>
        <item x="187"/>
        <item x="108"/>
        <item x="255"/>
        <item x="125"/>
        <item x="196"/>
        <item x="182"/>
        <item x="96"/>
        <item x="299"/>
        <item x="191"/>
        <item x="88"/>
        <item x="151"/>
        <item x="263"/>
        <item x="22"/>
        <item x="356"/>
        <item x="138"/>
        <item x="105"/>
        <item x="71"/>
        <item x="25"/>
        <item x="249"/>
        <item x="50"/>
        <item x="24"/>
        <item x="251"/>
        <item x="265"/>
        <item x="54"/>
        <item x="42"/>
        <item x="106"/>
        <item x="235"/>
        <item x="189"/>
        <item x="94"/>
        <item x="332"/>
        <item x="34"/>
        <item x="303"/>
        <item x="334"/>
        <item x="329"/>
        <item x="360"/>
        <item x="89"/>
        <item x="27"/>
        <item x="112"/>
        <item x="274"/>
        <item x="211"/>
        <item x="275"/>
        <item x="37"/>
        <item x="23"/>
        <item x="257"/>
        <item x="130"/>
        <item x="136"/>
        <item x="225"/>
        <item x="92"/>
        <item x="358"/>
        <item x="239"/>
        <item x="148"/>
        <item x="169"/>
        <item x="250"/>
        <item x="55"/>
        <item x="321"/>
        <item x="188"/>
        <item x="29"/>
        <item x="285"/>
        <item x="122"/>
        <item x="82"/>
        <item x="53"/>
        <item x="206"/>
        <item x="293"/>
        <item x="170"/>
        <item x="36"/>
        <item x="295"/>
        <item x="35"/>
        <item x="292"/>
        <item x="123"/>
        <item x="135"/>
        <item x="80"/>
        <item x="171"/>
        <item x="194"/>
        <item x="352"/>
        <item x="296"/>
        <item x="13"/>
        <item x="325"/>
        <item x="294"/>
        <item x="183"/>
        <item x="241"/>
        <item x="190"/>
        <item x="104"/>
        <item x="66"/>
        <item x="238"/>
        <item x="119"/>
        <item x="9"/>
        <item x="126"/>
        <item x="177"/>
        <item x="262"/>
        <item x="355"/>
        <item x="140"/>
        <item x="307"/>
        <item x="300"/>
        <item x="268"/>
        <item x="85"/>
        <item x="331"/>
        <item x="51"/>
        <item x="45"/>
        <item x="155"/>
        <item x="175"/>
        <item x="91"/>
        <item x="65"/>
        <item x="240"/>
        <item x="311"/>
        <item x="137"/>
        <item x="124"/>
        <item x="222"/>
        <item x="317"/>
        <item x="111"/>
        <item x="44"/>
        <item x="179"/>
        <item x="305"/>
        <item x="2"/>
        <item x="161"/>
        <item x="306"/>
        <item x="62"/>
        <item x="193"/>
        <item x="180"/>
        <item x="314"/>
        <item x="218"/>
        <item x="21"/>
        <item x="351"/>
        <item x="350"/>
        <item x="70"/>
        <item x="357"/>
        <item x="0"/>
        <item x="316"/>
        <item x="301"/>
        <item x="348"/>
        <item x="49"/>
        <item x="217"/>
        <item x="322"/>
        <item x="353"/>
        <item x="14"/>
        <item x="1"/>
        <item x="335"/>
        <item x="340"/>
        <item x="363"/>
        <item x="205"/>
        <item x="259"/>
        <item x="203"/>
        <item x="272"/>
        <item x="260"/>
        <item x="30"/>
        <item x="195"/>
        <item x="4"/>
        <item x="192"/>
        <item x="210"/>
        <item x="320"/>
        <item x="103"/>
        <item x="328"/>
        <item x="319"/>
        <item x="248"/>
        <item x="297"/>
        <item x="102"/>
        <item x="33"/>
        <item x="186"/>
        <item x="347"/>
        <item x="233"/>
        <item x="198"/>
        <item x="256"/>
        <item x="284"/>
        <item x="223"/>
        <item x="267"/>
        <item x="3"/>
        <item x="99"/>
        <item x="220"/>
        <item x="338"/>
        <item x="98"/>
        <item x="58"/>
        <item x="75"/>
        <item x="291"/>
        <item x="315"/>
        <item x="114"/>
        <item x="64"/>
        <item x="201"/>
        <item x="213"/>
        <item x="164"/>
        <item x="160"/>
        <item x="7"/>
        <item x="298"/>
        <item x="199"/>
        <item x="313"/>
        <item x="364"/>
        <item x="286"/>
        <item x="277"/>
        <item x="308"/>
        <item x="158"/>
        <item x="253"/>
        <item x="173"/>
        <item x="141"/>
        <item x="95"/>
        <item x="288"/>
        <item x="87"/>
        <item x="362"/>
        <item x="69"/>
        <item x="273"/>
        <item x="11"/>
        <item x="110"/>
        <item x="254"/>
        <item x="63"/>
        <item x="86"/>
        <item x="79"/>
        <item x="156"/>
        <item x="209"/>
        <item x="149"/>
        <item x="245"/>
        <item x="312"/>
        <item x="20"/>
        <item x="226"/>
        <item x="172"/>
        <item x="77"/>
        <item x="234"/>
        <item x="349"/>
        <item x="145"/>
        <item x="97"/>
        <item x="204"/>
        <item x="146"/>
        <item x="330"/>
        <item x="127"/>
        <item x="337"/>
        <item x="185"/>
        <item x="17"/>
        <item x="5"/>
        <item x="48"/>
        <item x="214"/>
        <item x="32"/>
        <item x="181"/>
        <item x="150"/>
        <item x="279"/>
        <item x="84"/>
        <item x="19"/>
        <item x="40"/>
        <item x="153"/>
        <item x="237"/>
        <item x="68"/>
        <item x="41"/>
        <item x="341"/>
        <item x="258"/>
        <item x="39"/>
        <item x="129"/>
        <item x="184"/>
        <item x="157"/>
        <item x="132"/>
        <item x="139"/>
        <item x="67"/>
        <item x="327"/>
        <item x="10"/>
        <item x="116"/>
        <item x="359"/>
        <item x="152"/>
        <item x="81"/>
        <item x="344"/>
        <item x="115"/>
        <item x="52"/>
        <item x="278"/>
        <item x="202"/>
        <item x="128"/>
        <item x="143"/>
        <item x="197"/>
        <item x="47"/>
        <item x="290"/>
        <item x="261"/>
        <item x="78"/>
        <item x="264"/>
        <item x="333"/>
        <item x="61"/>
        <item x="336"/>
        <item x="93"/>
        <item x="252"/>
        <item x="339"/>
        <item x="309"/>
        <item x="72"/>
        <item x="163"/>
        <item x="324"/>
        <item x="56"/>
        <item x="38"/>
        <item x="304"/>
        <item x="208"/>
        <item x="323"/>
        <item x="6"/>
        <item x="121"/>
        <item x="18"/>
        <item x="269"/>
        <item x="113"/>
        <item x="207"/>
        <item x="242"/>
        <item x="216"/>
        <item x="90"/>
        <item x="76"/>
        <item x="229"/>
        <item x="131"/>
        <item x="282"/>
        <item x="60"/>
        <item x="318"/>
        <item x="266"/>
        <item x="74"/>
        <item x="247"/>
        <item x="117"/>
        <item x="326"/>
        <item t="default"/>
      </items>
    </pivotField>
    <pivotField showAll="0"/>
    <pivotField axis="axisRow" dataField="1" showAll="0">
      <items count="51">
        <item x="30"/>
        <item x="48"/>
        <item x="14"/>
        <item x="27"/>
        <item x="40"/>
        <item x="38"/>
        <item x="8"/>
        <item x="15"/>
        <item x="32"/>
        <item x="29"/>
        <item x="47"/>
        <item x="16"/>
        <item x="42"/>
        <item x="12"/>
        <item x="1"/>
        <item x="37"/>
        <item x="36"/>
        <item x="20"/>
        <item x="31"/>
        <item x="28"/>
        <item x="23"/>
        <item x="0"/>
        <item x="2"/>
        <item x="13"/>
        <item x="39"/>
        <item x="19"/>
        <item x="24"/>
        <item x="17"/>
        <item x="45"/>
        <item x="18"/>
        <item x="3"/>
        <item x="43"/>
        <item x="7"/>
        <item x="6"/>
        <item x="41"/>
        <item x="21"/>
        <item x="25"/>
        <item x="33"/>
        <item x="11"/>
        <item x="44"/>
        <item x="26"/>
        <item x="9"/>
        <item x="4"/>
        <item x="46"/>
        <item x="49"/>
        <item x="5"/>
        <item x="10"/>
        <item x="34"/>
        <item x="35"/>
        <item x="22"/>
        <item t="default"/>
      </items>
    </pivotField>
    <pivotField showAll="0"/>
    <pivotField showAll="0"/>
    <pivotField showAll="0">
      <items count="6">
        <item x="2"/>
        <item x="4"/>
        <item x="1"/>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s>
  <rowFields count="1">
    <field x="12"/>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Count of Product_ID" fld="1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CB5BBAE-F9E1-494A-B970-D15BE4593D92}"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D16:D117" firstHeaderRow="1" firstDataRow="1" firstDataCol="1"/>
  <pivotFields count="32">
    <pivotField axis="axisRow" showAll="0">
      <items count="101">
        <item x="48"/>
        <item x="8"/>
        <item x="83"/>
        <item x="51"/>
        <item x="79"/>
        <item x="9"/>
        <item x="96"/>
        <item x="65"/>
        <item x="25"/>
        <item x="75"/>
        <item x="93"/>
        <item x="42"/>
        <item x="69"/>
        <item x="82"/>
        <item x="92"/>
        <item x="2"/>
        <item x="38"/>
        <item x="84"/>
        <item x="58"/>
        <item x="74"/>
        <item x="28"/>
        <item x="30"/>
        <item x="87"/>
        <item x="60"/>
        <item x="70"/>
        <item x="56"/>
        <item x="41"/>
        <item x="76"/>
        <item x="16"/>
        <item x="43"/>
        <item x="7"/>
        <item x="88"/>
        <item x="33"/>
        <item x="31"/>
        <item x="45"/>
        <item x="39"/>
        <item x="46"/>
        <item x="14"/>
        <item x="80"/>
        <item x="57"/>
        <item x="59"/>
        <item x="86"/>
        <item x="81"/>
        <item x="62"/>
        <item x="55"/>
        <item x="54"/>
        <item x="98"/>
        <item x="15"/>
        <item x="13"/>
        <item x="3"/>
        <item x="1"/>
        <item x="91"/>
        <item x="6"/>
        <item x="47"/>
        <item x="85"/>
        <item x="29"/>
        <item x="63"/>
        <item x="89"/>
        <item x="21"/>
        <item x="4"/>
        <item x="71"/>
        <item x="26"/>
        <item x="78"/>
        <item x="19"/>
        <item x="90"/>
        <item x="40"/>
        <item x="23"/>
        <item x="99"/>
        <item x="17"/>
        <item x="32"/>
        <item x="64"/>
        <item x="72"/>
        <item x="10"/>
        <item x="73"/>
        <item x="53"/>
        <item x="50"/>
        <item x="12"/>
        <item x="95"/>
        <item x="11"/>
        <item x="18"/>
        <item x="34"/>
        <item x="37"/>
        <item x="20"/>
        <item x="61"/>
        <item x="35"/>
        <item x="66"/>
        <item x="0"/>
        <item x="36"/>
        <item x="68"/>
        <item x="77"/>
        <item x="27"/>
        <item x="24"/>
        <item x="52"/>
        <item x="22"/>
        <item x="67"/>
        <item x="49"/>
        <item x="94"/>
        <item x="97"/>
        <item x="5"/>
        <item x="44"/>
        <item t="default"/>
      </items>
    </pivotField>
    <pivotField showAll="0"/>
    <pivotField showAll="0"/>
    <pivotField showAll="0" sortType="descending">
      <items count="101">
        <item x="91"/>
        <item x="55"/>
        <item x="88"/>
        <item x="27"/>
        <item x="61"/>
        <item x="16"/>
        <item x="33"/>
        <item x="81"/>
        <item x="34"/>
        <item x="25"/>
        <item x="23"/>
        <item x="73"/>
        <item x="48"/>
        <item x="96"/>
        <item x="49"/>
        <item x="89"/>
        <item x="32"/>
        <item x="94"/>
        <item x="43"/>
        <item x="95"/>
        <item x="75"/>
        <item x="76"/>
        <item x="47"/>
        <item x="80"/>
        <item x="66"/>
        <item x="86"/>
        <item x="40"/>
        <item x="78"/>
        <item x="19"/>
        <item x="6"/>
        <item x="41"/>
        <item x="15"/>
        <item x="44"/>
        <item x="65"/>
        <item x="69"/>
        <item x="72"/>
        <item x="24"/>
        <item x="90"/>
        <item x="92"/>
        <item x="68"/>
        <item x="62"/>
        <item x="56"/>
        <item x="93"/>
        <item x="50"/>
        <item x="2"/>
        <item x="10"/>
        <item x="30"/>
        <item x="12"/>
        <item x="9"/>
        <item x="57"/>
        <item x="38"/>
        <item x="20"/>
        <item x="53"/>
        <item x="83"/>
        <item x="28"/>
        <item x="51"/>
        <item x="36"/>
        <item x="87"/>
        <item x="98"/>
        <item x="71"/>
        <item x="26"/>
        <item x="84"/>
        <item x="63"/>
        <item x="14"/>
        <item x="97"/>
        <item x="79"/>
        <item x="13"/>
        <item x="70"/>
        <item x="31"/>
        <item x="99"/>
        <item x="7"/>
        <item x="45"/>
        <item x="17"/>
        <item x="5"/>
        <item x="29"/>
        <item x="60"/>
        <item x="4"/>
        <item x="77"/>
        <item x="18"/>
        <item x="64"/>
        <item x="46"/>
        <item x="42"/>
        <item x="82"/>
        <item x="52"/>
        <item x="8"/>
        <item x="59"/>
        <item x="67"/>
        <item x="22"/>
        <item x="54"/>
        <item x="1"/>
        <item x="0"/>
        <item x="3"/>
        <item x="21"/>
        <item x="85"/>
        <item x="11"/>
        <item x="74"/>
        <item x="58"/>
        <item x="39"/>
        <item x="37"/>
        <item x="35"/>
        <item t="default"/>
      </items>
    </pivotField>
    <pivotField showAll="0"/>
    <pivotField showAll="0">
      <items count="4">
        <item x="1"/>
        <item x="0"/>
        <item x="2"/>
        <item t="default"/>
      </items>
    </pivotField>
    <pivotField showAll="0">
      <items count="9">
        <item x="5"/>
        <item x="7"/>
        <item x="1"/>
        <item x="3"/>
        <item x="4"/>
        <item x="2"/>
        <item x="0"/>
        <item x="6"/>
        <item t="default"/>
      </items>
    </pivotField>
    <pivotField showAll="0"/>
    <pivotField showAll="0"/>
    <pivotField showAll="0"/>
    <pivotField numFmtId="14" showAll="0">
      <items count="366">
        <item x="16"/>
        <item x="200"/>
        <item x="57"/>
        <item x="244"/>
        <item x="287"/>
        <item x="246"/>
        <item x="283"/>
        <item x="120"/>
        <item x="342"/>
        <item x="147"/>
        <item x="276"/>
        <item x="133"/>
        <item x="28"/>
        <item x="134"/>
        <item x="215"/>
        <item x="12"/>
        <item x="178"/>
        <item x="59"/>
        <item x="109"/>
        <item x="101"/>
        <item x="289"/>
        <item x="281"/>
        <item x="159"/>
        <item x="221"/>
        <item x="343"/>
        <item x="224"/>
        <item x="43"/>
        <item x="100"/>
        <item x="107"/>
        <item x="231"/>
        <item x="212"/>
        <item x="271"/>
        <item x="361"/>
        <item x="310"/>
        <item x="168"/>
        <item x="31"/>
        <item x="8"/>
        <item x="73"/>
        <item x="144"/>
        <item x="228"/>
        <item x="154"/>
        <item x="174"/>
        <item x="46"/>
        <item x="232"/>
        <item x="280"/>
        <item x="166"/>
        <item x="243"/>
        <item x="26"/>
        <item x="167"/>
        <item x="354"/>
        <item x="176"/>
        <item x="83"/>
        <item x="15"/>
        <item x="219"/>
        <item x="270"/>
        <item x="345"/>
        <item x="142"/>
        <item x="227"/>
        <item x="302"/>
        <item x="230"/>
        <item x="118"/>
        <item x="162"/>
        <item x="165"/>
        <item x="346"/>
        <item x="236"/>
        <item x="187"/>
        <item x="108"/>
        <item x="255"/>
        <item x="125"/>
        <item x="196"/>
        <item x="182"/>
        <item x="96"/>
        <item x="299"/>
        <item x="191"/>
        <item x="88"/>
        <item x="151"/>
        <item x="263"/>
        <item x="22"/>
        <item x="356"/>
        <item x="138"/>
        <item x="105"/>
        <item x="71"/>
        <item x="25"/>
        <item x="249"/>
        <item x="50"/>
        <item x="24"/>
        <item x="251"/>
        <item x="265"/>
        <item x="54"/>
        <item x="42"/>
        <item x="106"/>
        <item x="235"/>
        <item x="189"/>
        <item x="94"/>
        <item x="332"/>
        <item x="34"/>
        <item x="303"/>
        <item x="334"/>
        <item x="329"/>
        <item x="360"/>
        <item x="89"/>
        <item x="27"/>
        <item x="112"/>
        <item x="274"/>
        <item x="211"/>
        <item x="275"/>
        <item x="37"/>
        <item x="23"/>
        <item x="257"/>
        <item x="130"/>
        <item x="136"/>
        <item x="225"/>
        <item x="92"/>
        <item x="358"/>
        <item x="239"/>
        <item x="148"/>
        <item x="169"/>
        <item x="250"/>
        <item x="55"/>
        <item x="321"/>
        <item x="188"/>
        <item x="29"/>
        <item x="285"/>
        <item x="122"/>
        <item x="82"/>
        <item x="53"/>
        <item x="206"/>
        <item x="293"/>
        <item x="170"/>
        <item x="36"/>
        <item x="295"/>
        <item x="35"/>
        <item x="292"/>
        <item x="123"/>
        <item x="135"/>
        <item x="80"/>
        <item x="171"/>
        <item x="194"/>
        <item x="352"/>
        <item x="296"/>
        <item x="13"/>
        <item x="325"/>
        <item x="294"/>
        <item x="183"/>
        <item x="241"/>
        <item x="190"/>
        <item x="104"/>
        <item x="66"/>
        <item x="238"/>
        <item x="119"/>
        <item x="9"/>
        <item x="126"/>
        <item x="177"/>
        <item x="262"/>
        <item x="355"/>
        <item x="140"/>
        <item x="307"/>
        <item x="300"/>
        <item x="268"/>
        <item x="85"/>
        <item x="331"/>
        <item x="51"/>
        <item x="45"/>
        <item x="155"/>
        <item x="175"/>
        <item x="91"/>
        <item x="65"/>
        <item x="240"/>
        <item x="311"/>
        <item x="137"/>
        <item x="124"/>
        <item x="222"/>
        <item x="317"/>
        <item x="111"/>
        <item x="44"/>
        <item x="179"/>
        <item x="305"/>
        <item x="2"/>
        <item x="161"/>
        <item x="306"/>
        <item x="62"/>
        <item x="193"/>
        <item x="180"/>
        <item x="314"/>
        <item x="218"/>
        <item x="21"/>
        <item x="351"/>
        <item x="350"/>
        <item x="70"/>
        <item x="357"/>
        <item x="0"/>
        <item x="316"/>
        <item x="301"/>
        <item x="348"/>
        <item x="49"/>
        <item x="217"/>
        <item x="322"/>
        <item x="353"/>
        <item x="14"/>
        <item x="1"/>
        <item x="335"/>
        <item x="340"/>
        <item x="363"/>
        <item x="205"/>
        <item x="259"/>
        <item x="203"/>
        <item x="272"/>
        <item x="260"/>
        <item x="30"/>
        <item x="195"/>
        <item x="4"/>
        <item x="192"/>
        <item x="210"/>
        <item x="320"/>
        <item x="103"/>
        <item x="328"/>
        <item x="319"/>
        <item x="248"/>
        <item x="297"/>
        <item x="102"/>
        <item x="33"/>
        <item x="186"/>
        <item x="347"/>
        <item x="233"/>
        <item x="198"/>
        <item x="256"/>
        <item x="284"/>
        <item x="223"/>
        <item x="267"/>
        <item x="3"/>
        <item x="99"/>
        <item x="220"/>
        <item x="338"/>
        <item x="98"/>
        <item x="58"/>
        <item x="75"/>
        <item x="291"/>
        <item x="315"/>
        <item x="114"/>
        <item x="64"/>
        <item x="201"/>
        <item x="213"/>
        <item x="164"/>
        <item x="160"/>
        <item x="7"/>
        <item x="298"/>
        <item x="199"/>
        <item x="313"/>
        <item x="364"/>
        <item x="286"/>
        <item x="277"/>
        <item x="308"/>
        <item x="158"/>
        <item x="253"/>
        <item x="173"/>
        <item x="141"/>
        <item x="95"/>
        <item x="288"/>
        <item x="87"/>
        <item x="362"/>
        <item x="69"/>
        <item x="273"/>
        <item x="11"/>
        <item x="110"/>
        <item x="254"/>
        <item x="63"/>
        <item x="86"/>
        <item x="79"/>
        <item x="156"/>
        <item x="209"/>
        <item x="149"/>
        <item x="245"/>
        <item x="312"/>
        <item x="20"/>
        <item x="226"/>
        <item x="172"/>
        <item x="77"/>
        <item x="234"/>
        <item x="349"/>
        <item x="145"/>
        <item x="97"/>
        <item x="204"/>
        <item x="146"/>
        <item x="330"/>
        <item x="127"/>
        <item x="337"/>
        <item x="185"/>
        <item x="17"/>
        <item x="5"/>
        <item x="48"/>
        <item x="214"/>
        <item x="32"/>
        <item x="181"/>
        <item x="150"/>
        <item x="279"/>
        <item x="84"/>
        <item x="19"/>
        <item x="40"/>
        <item x="153"/>
        <item x="237"/>
        <item x="68"/>
        <item x="41"/>
        <item x="341"/>
        <item x="258"/>
        <item x="39"/>
        <item x="129"/>
        <item x="184"/>
        <item x="157"/>
        <item x="132"/>
        <item x="139"/>
        <item x="67"/>
        <item x="327"/>
        <item x="10"/>
        <item x="116"/>
        <item x="359"/>
        <item x="152"/>
        <item x="81"/>
        <item x="344"/>
        <item x="115"/>
        <item x="52"/>
        <item x="278"/>
        <item x="202"/>
        <item x="128"/>
        <item x="143"/>
        <item x="197"/>
        <item x="47"/>
        <item x="290"/>
        <item x="261"/>
        <item x="78"/>
        <item x="264"/>
        <item x="333"/>
        <item x="61"/>
        <item x="336"/>
        <item x="93"/>
        <item x="252"/>
        <item x="339"/>
        <item x="309"/>
        <item x="72"/>
        <item x="163"/>
        <item x="324"/>
        <item x="56"/>
        <item x="38"/>
        <item x="304"/>
        <item x="208"/>
        <item x="323"/>
        <item x="6"/>
        <item x="121"/>
        <item x="18"/>
        <item x="269"/>
        <item x="113"/>
        <item x="207"/>
        <item x="242"/>
        <item x="216"/>
        <item x="90"/>
        <item x="76"/>
        <item x="229"/>
        <item x="131"/>
        <item x="282"/>
        <item x="60"/>
        <item x="318"/>
        <item x="266"/>
        <item x="74"/>
        <item x="247"/>
        <item x="117"/>
        <item x="326"/>
        <item t="default"/>
      </items>
    </pivotField>
    <pivotField showAll="0"/>
    <pivotField showAll="0">
      <items count="51">
        <item x="30"/>
        <item x="48"/>
        <item x="14"/>
        <item x="27"/>
        <item x="40"/>
        <item x="38"/>
        <item x="8"/>
        <item x="15"/>
        <item x="32"/>
        <item x="29"/>
        <item x="47"/>
        <item x="16"/>
        <item x="42"/>
        <item x="12"/>
        <item x="1"/>
        <item x="37"/>
        <item x="36"/>
        <item x="20"/>
        <item x="31"/>
        <item x="28"/>
        <item x="23"/>
        <item x="0"/>
        <item x="2"/>
        <item x="13"/>
        <item x="39"/>
        <item x="19"/>
        <item x="24"/>
        <item x="17"/>
        <item x="45"/>
        <item x="18"/>
        <item x="3"/>
        <item x="43"/>
        <item x="7"/>
        <item x="6"/>
        <item x="41"/>
        <item x="21"/>
        <item x="25"/>
        <item x="33"/>
        <item x="11"/>
        <item x="44"/>
        <item x="26"/>
        <item x="9"/>
        <item x="4"/>
        <item x="46"/>
        <item x="49"/>
        <item x="5"/>
        <item x="10"/>
        <item x="34"/>
        <item x="35"/>
        <item x="22"/>
        <item t="default"/>
      </items>
    </pivotField>
    <pivotField showAll="0"/>
    <pivotField showAll="0"/>
    <pivotField showAll="0">
      <items count="6">
        <item x="2"/>
        <item x="4"/>
        <item x="1"/>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s>
  <rowFields count="1">
    <field x="0"/>
  </rowFields>
  <rowItems count="1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8989FF4-307C-426F-8206-67E42BEAFD02}" name="PivotTable4" cacheId="0"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C13:C64" firstHeaderRow="1" firstDataRow="1" firstDataCol="1"/>
  <pivotFields count="32">
    <pivotField showAll="0">
      <items count="101">
        <item x="48"/>
        <item x="8"/>
        <item x="83"/>
        <item x="51"/>
        <item x="79"/>
        <item x="9"/>
        <item x="96"/>
        <item x="65"/>
        <item x="25"/>
        <item x="75"/>
        <item x="93"/>
        <item x="42"/>
        <item x="69"/>
        <item x="82"/>
        <item x="92"/>
        <item x="2"/>
        <item x="38"/>
        <item x="84"/>
        <item x="58"/>
        <item x="74"/>
        <item x="28"/>
        <item x="30"/>
        <item x="87"/>
        <item x="60"/>
        <item x="70"/>
        <item x="56"/>
        <item x="41"/>
        <item x="76"/>
        <item x="16"/>
        <item x="43"/>
        <item x="7"/>
        <item x="88"/>
        <item x="33"/>
        <item x="31"/>
        <item x="45"/>
        <item x="39"/>
        <item x="46"/>
        <item x="14"/>
        <item x="80"/>
        <item x="57"/>
        <item x="59"/>
        <item x="86"/>
        <item x="81"/>
        <item x="62"/>
        <item x="55"/>
        <item x="54"/>
        <item x="98"/>
        <item x="15"/>
        <item x="13"/>
        <item x="3"/>
        <item x="1"/>
        <item x="91"/>
        <item x="6"/>
        <item x="47"/>
        <item x="85"/>
        <item x="29"/>
        <item x="63"/>
        <item x="89"/>
        <item x="21"/>
        <item x="4"/>
        <item x="71"/>
        <item x="26"/>
        <item x="78"/>
        <item x="19"/>
        <item x="90"/>
        <item x="40"/>
        <item x="23"/>
        <item x="99"/>
        <item x="17"/>
        <item x="32"/>
        <item x="64"/>
        <item x="72"/>
        <item x="10"/>
        <item x="73"/>
        <item x="53"/>
        <item x="50"/>
        <item x="12"/>
        <item x="95"/>
        <item x="11"/>
        <item x="18"/>
        <item x="34"/>
        <item x="37"/>
        <item x="20"/>
        <item x="61"/>
        <item x="35"/>
        <item x="66"/>
        <item x="0"/>
        <item x="36"/>
        <item x="68"/>
        <item x="77"/>
        <item x="27"/>
        <item x="24"/>
        <item x="52"/>
        <item x="22"/>
        <item x="67"/>
        <item x="49"/>
        <item x="94"/>
        <item x="97"/>
        <item x="5"/>
        <item x="44"/>
        <item t="default"/>
      </items>
    </pivotField>
    <pivotField showAll="0"/>
    <pivotField showAll="0"/>
    <pivotField showAll="0" sortType="descending">
      <items count="101">
        <item x="91"/>
        <item x="55"/>
        <item x="88"/>
        <item x="27"/>
        <item x="61"/>
        <item x="16"/>
        <item x="33"/>
        <item x="81"/>
        <item x="34"/>
        <item x="25"/>
        <item x="23"/>
        <item x="73"/>
        <item x="48"/>
        <item x="96"/>
        <item x="49"/>
        <item x="89"/>
        <item x="32"/>
        <item x="94"/>
        <item x="43"/>
        <item x="95"/>
        <item x="75"/>
        <item x="76"/>
        <item x="47"/>
        <item x="80"/>
        <item x="66"/>
        <item x="86"/>
        <item x="40"/>
        <item x="78"/>
        <item x="19"/>
        <item x="6"/>
        <item x="41"/>
        <item x="15"/>
        <item x="44"/>
        <item x="65"/>
        <item x="69"/>
        <item x="72"/>
        <item x="24"/>
        <item x="90"/>
        <item x="92"/>
        <item x="68"/>
        <item x="62"/>
        <item x="56"/>
        <item x="93"/>
        <item x="50"/>
        <item x="2"/>
        <item x="10"/>
        <item x="30"/>
        <item x="12"/>
        <item x="9"/>
        <item x="57"/>
        <item x="38"/>
        <item x="20"/>
        <item x="53"/>
        <item x="83"/>
        <item x="28"/>
        <item x="51"/>
        <item x="36"/>
        <item x="87"/>
        <item x="98"/>
        <item x="71"/>
        <item x="26"/>
        <item x="84"/>
        <item x="63"/>
        <item x="14"/>
        <item x="97"/>
        <item x="79"/>
        <item x="13"/>
        <item x="70"/>
        <item x="31"/>
        <item x="99"/>
        <item x="7"/>
        <item x="45"/>
        <item x="17"/>
        <item x="5"/>
        <item x="29"/>
        <item x="60"/>
        <item x="4"/>
        <item x="77"/>
        <item x="18"/>
        <item x="64"/>
        <item x="46"/>
        <item x="42"/>
        <item x="82"/>
        <item x="52"/>
        <item x="8"/>
        <item x="59"/>
        <item x="67"/>
        <item x="22"/>
        <item x="54"/>
        <item x="1"/>
        <item x="0"/>
        <item x="3"/>
        <item x="21"/>
        <item x="85"/>
        <item x="11"/>
        <item x="74"/>
        <item x="58"/>
        <item x="39"/>
        <item x="37"/>
        <item x="35"/>
        <item t="default"/>
      </items>
    </pivotField>
    <pivotField showAll="0"/>
    <pivotField showAll="0">
      <items count="4">
        <item x="1"/>
        <item x="0"/>
        <item x="2"/>
        <item t="default"/>
      </items>
    </pivotField>
    <pivotField showAll="0">
      <items count="9">
        <item x="5"/>
        <item x="7"/>
        <item x="1"/>
        <item x="3"/>
        <item x="4"/>
        <item x="2"/>
        <item x="0"/>
        <item x="6"/>
        <item t="default"/>
      </items>
    </pivotField>
    <pivotField showAll="0"/>
    <pivotField showAll="0"/>
    <pivotField showAll="0"/>
    <pivotField numFmtId="14" showAll="0">
      <items count="366">
        <item x="16"/>
        <item x="200"/>
        <item x="57"/>
        <item x="244"/>
        <item x="287"/>
        <item x="246"/>
        <item x="283"/>
        <item x="120"/>
        <item x="342"/>
        <item x="147"/>
        <item x="276"/>
        <item x="133"/>
        <item x="28"/>
        <item x="134"/>
        <item x="215"/>
        <item x="12"/>
        <item x="178"/>
        <item x="59"/>
        <item x="109"/>
        <item x="101"/>
        <item x="289"/>
        <item x="281"/>
        <item x="159"/>
        <item x="221"/>
        <item x="343"/>
        <item x="224"/>
        <item x="43"/>
        <item x="100"/>
        <item x="107"/>
        <item x="231"/>
        <item x="212"/>
        <item x="271"/>
        <item x="361"/>
        <item x="310"/>
        <item x="168"/>
        <item x="31"/>
        <item x="8"/>
        <item x="73"/>
        <item x="144"/>
        <item x="228"/>
        <item x="154"/>
        <item x="174"/>
        <item x="46"/>
        <item x="232"/>
        <item x="280"/>
        <item x="166"/>
        <item x="243"/>
        <item x="26"/>
        <item x="167"/>
        <item x="354"/>
        <item x="176"/>
        <item x="83"/>
        <item x="15"/>
        <item x="219"/>
        <item x="270"/>
        <item x="345"/>
        <item x="142"/>
        <item x="227"/>
        <item x="302"/>
        <item x="230"/>
        <item x="118"/>
        <item x="162"/>
        <item x="165"/>
        <item x="346"/>
        <item x="236"/>
        <item x="187"/>
        <item x="108"/>
        <item x="255"/>
        <item x="125"/>
        <item x="196"/>
        <item x="182"/>
        <item x="96"/>
        <item x="299"/>
        <item x="191"/>
        <item x="88"/>
        <item x="151"/>
        <item x="263"/>
        <item x="22"/>
        <item x="356"/>
        <item x="138"/>
        <item x="105"/>
        <item x="71"/>
        <item x="25"/>
        <item x="249"/>
        <item x="50"/>
        <item x="24"/>
        <item x="251"/>
        <item x="265"/>
        <item x="54"/>
        <item x="42"/>
        <item x="106"/>
        <item x="235"/>
        <item x="189"/>
        <item x="94"/>
        <item x="332"/>
        <item x="34"/>
        <item x="303"/>
        <item x="334"/>
        <item x="329"/>
        <item x="360"/>
        <item x="89"/>
        <item x="27"/>
        <item x="112"/>
        <item x="274"/>
        <item x="211"/>
        <item x="275"/>
        <item x="37"/>
        <item x="23"/>
        <item x="257"/>
        <item x="130"/>
        <item x="136"/>
        <item x="225"/>
        <item x="92"/>
        <item x="358"/>
        <item x="239"/>
        <item x="148"/>
        <item x="169"/>
        <item x="250"/>
        <item x="55"/>
        <item x="321"/>
        <item x="188"/>
        <item x="29"/>
        <item x="285"/>
        <item x="122"/>
        <item x="82"/>
        <item x="53"/>
        <item x="206"/>
        <item x="293"/>
        <item x="170"/>
        <item x="36"/>
        <item x="295"/>
        <item x="35"/>
        <item x="292"/>
        <item x="123"/>
        <item x="135"/>
        <item x="80"/>
        <item x="171"/>
        <item x="194"/>
        <item x="352"/>
        <item x="296"/>
        <item x="13"/>
        <item x="325"/>
        <item x="294"/>
        <item x="183"/>
        <item x="241"/>
        <item x="190"/>
        <item x="104"/>
        <item x="66"/>
        <item x="238"/>
        <item x="119"/>
        <item x="9"/>
        <item x="126"/>
        <item x="177"/>
        <item x="262"/>
        <item x="355"/>
        <item x="140"/>
        <item x="307"/>
        <item x="300"/>
        <item x="268"/>
        <item x="85"/>
        <item x="331"/>
        <item x="51"/>
        <item x="45"/>
        <item x="155"/>
        <item x="175"/>
        <item x="91"/>
        <item x="65"/>
        <item x="240"/>
        <item x="311"/>
        <item x="137"/>
        <item x="124"/>
        <item x="222"/>
        <item x="317"/>
        <item x="111"/>
        <item x="44"/>
        <item x="179"/>
        <item x="305"/>
        <item x="2"/>
        <item x="161"/>
        <item x="306"/>
        <item x="62"/>
        <item x="193"/>
        <item x="180"/>
        <item x="314"/>
        <item x="218"/>
        <item x="21"/>
        <item x="351"/>
        <item x="350"/>
        <item x="70"/>
        <item x="357"/>
        <item x="0"/>
        <item x="316"/>
        <item x="301"/>
        <item x="348"/>
        <item x="49"/>
        <item x="217"/>
        <item x="322"/>
        <item x="353"/>
        <item x="14"/>
        <item x="1"/>
        <item x="335"/>
        <item x="340"/>
        <item x="363"/>
        <item x="205"/>
        <item x="259"/>
        <item x="203"/>
        <item x="272"/>
        <item x="260"/>
        <item x="30"/>
        <item x="195"/>
        <item x="4"/>
        <item x="192"/>
        <item x="210"/>
        <item x="320"/>
        <item x="103"/>
        <item x="328"/>
        <item x="319"/>
        <item x="248"/>
        <item x="297"/>
        <item x="102"/>
        <item x="33"/>
        <item x="186"/>
        <item x="347"/>
        <item x="233"/>
        <item x="198"/>
        <item x="256"/>
        <item x="284"/>
        <item x="223"/>
        <item x="267"/>
        <item x="3"/>
        <item x="99"/>
        <item x="220"/>
        <item x="338"/>
        <item x="98"/>
        <item x="58"/>
        <item x="75"/>
        <item x="291"/>
        <item x="315"/>
        <item x="114"/>
        <item x="64"/>
        <item x="201"/>
        <item x="213"/>
        <item x="164"/>
        <item x="160"/>
        <item x="7"/>
        <item x="298"/>
        <item x="199"/>
        <item x="313"/>
        <item x="364"/>
        <item x="286"/>
        <item x="277"/>
        <item x="308"/>
        <item x="158"/>
        <item x="253"/>
        <item x="173"/>
        <item x="141"/>
        <item x="95"/>
        <item x="288"/>
        <item x="87"/>
        <item x="362"/>
        <item x="69"/>
        <item x="273"/>
        <item x="11"/>
        <item x="110"/>
        <item x="254"/>
        <item x="63"/>
        <item x="86"/>
        <item x="79"/>
        <item x="156"/>
        <item x="209"/>
        <item x="149"/>
        <item x="245"/>
        <item x="312"/>
        <item x="20"/>
        <item x="226"/>
        <item x="172"/>
        <item x="77"/>
        <item x="234"/>
        <item x="349"/>
        <item x="145"/>
        <item x="97"/>
        <item x="204"/>
        <item x="146"/>
        <item x="330"/>
        <item x="127"/>
        <item x="337"/>
        <item x="185"/>
        <item x="17"/>
        <item x="5"/>
        <item x="48"/>
        <item x="214"/>
        <item x="32"/>
        <item x="181"/>
        <item x="150"/>
        <item x="279"/>
        <item x="84"/>
        <item x="19"/>
        <item x="40"/>
        <item x="153"/>
        <item x="237"/>
        <item x="68"/>
        <item x="41"/>
        <item x="341"/>
        <item x="258"/>
        <item x="39"/>
        <item x="129"/>
        <item x="184"/>
        <item x="157"/>
        <item x="132"/>
        <item x="139"/>
        <item x="67"/>
        <item x="327"/>
        <item x="10"/>
        <item x="116"/>
        <item x="359"/>
        <item x="152"/>
        <item x="81"/>
        <item x="344"/>
        <item x="115"/>
        <item x="52"/>
        <item x="278"/>
        <item x="202"/>
        <item x="128"/>
        <item x="143"/>
        <item x="197"/>
        <item x="47"/>
        <item x="290"/>
        <item x="261"/>
        <item x="78"/>
        <item x="264"/>
        <item x="333"/>
        <item x="61"/>
        <item x="336"/>
        <item x="93"/>
        <item x="252"/>
        <item x="339"/>
        <item x="309"/>
        <item x="72"/>
        <item x="163"/>
        <item x="324"/>
        <item x="56"/>
        <item x="38"/>
        <item x="304"/>
        <item x="208"/>
        <item x="323"/>
        <item x="6"/>
        <item x="121"/>
        <item x="18"/>
        <item x="269"/>
        <item x="113"/>
        <item x="207"/>
        <item x="242"/>
        <item x="216"/>
        <item x="90"/>
        <item x="76"/>
        <item x="229"/>
        <item x="131"/>
        <item x="282"/>
        <item x="60"/>
        <item x="318"/>
        <item x="266"/>
        <item x="74"/>
        <item x="247"/>
        <item x="117"/>
        <item x="326"/>
        <item t="default"/>
      </items>
    </pivotField>
    <pivotField showAll="0"/>
    <pivotField axis="axisRow" showAll="0">
      <items count="51">
        <item x="30"/>
        <item x="48"/>
        <item x="14"/>
        <item x="27"/>
        <item x="40"/>
        <item x="38"/>
        <item x="8"/>
        <item x="15"/>
        <item x="32"/>
        <item x="29"/>
        <item x="47"/>
        <item x="16"/>
        <item x="42"/>
        <item x="12"/>
        <item x="1"/>
        <item x="37"/>
        <item x="36"/>
        <item x="20"/>
        <item x="31"/>
        <item x="28"/>
        <item x="23"/>
        <item x="0"/>
        <item x="2"/>
        <item x="13"/>
        <item x="39"/>
        <item x="19"/>
        <item x="24"/>
        <item x="17"/>
        <item x="45"/>
        <item x="18"/>
        <item x="3"/>
        <item x="43"/>
        <item x="7"/>
        <item x="6"/>
        <item x="41"/>
        <item x="21"/>
        <item x="25"/>
        <item x="33"/>
        <item x="11"/>
        <item x="44"/>
        <item x="26"/>
        <item x="9"/>
        <item x="4"/>
        <item x="46"/>
        <item x="49"/>
        <item x="5"/>
        <item x="10"/>
        <item x="34"/>
        <item x="35"/>
        <item x="22"/>
        <item t="default"/>
      </items>
    </pivotField>
    <pivotField showAll="0"/>
    <pivotField showAll="0"/>
    <pivotField showAll="0">
      <items count="6">
        <item x="2"/>
        <item x="4"/>
        <item x="1"/>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s>
  <rowFields count="1">
    <field x="12"/>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D28374F-5F20-4095-99E2-DB0223549D73}" name="PivotTable20"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20">
  <location ref="Z17:AD31" firstHeaderRow="1" firstDataRow="2" firstDataCol="1"/>
  <pivotFields count="32">
    <pivotField showAll="0"/>
    <pivotField showAll="0"/>
    <pivotField showAll="0"/>
    <pivotField showAll="0"/>
    <pivotField showAll="0"/>
    <pivotField axis="axisCol" showAll="0">
      <items count="4">
        <item x="1"/>
        <item x="0"/>
        <item x="2"/>
        <item t="default"/>
      </items>
    </pivotField>
    <pivotField showAll="0">
      <items count="9">
        <item x="5"/>
        <item x="7"/>
        <item x="1"/>
        <item x="3"/>
        <item x="4"/>
        <item x="2"/>
        <item x="0"/>
        <item x="6"/>
        <item t="default"/>
      </items>
    </pivotField>
    <pivotField showAll="0"/>
    <pivotField showAll="0"/>
    <pivotField showAll="0"/>
    <pivotField showAll="0">
      <items count="366">
        <item x="16"/>
        <item x="200"/>
        <item x="57"/>
        <item x="244"/>
        <item x="287"/>
        <item x="246"/>
        <item x="283"/>
        <item x="120"/>
        <item x="342"/>
        <item x="147"/>
        <item x="276"/>
        <item x="133"/>
        <item x="28"/>
        <item x="134"/>
        <item x="215"/>
        <item x="12"/>
        <item x="178"/>
        <item x="59"/>
        <item x="109"/>
        <item x="101"/>
        <item x="289"/>
        <item x="281"/>
        <item x="159"/>
        <item x="221"/>
        <item x="343"/>
        <item x="224"/>
        <item x="43"/>
        <item x="100"/>
        <item x="107"/>
        <item x="231"/>
        <item x="212"/>
        <item x="271"/>
        <item x="361"/>
        <item x="310"/>
        <item x="168"/>
        <item x="31"/>
        <item x="8"/>
        <item x="73"/>
        <item x="144"/>
        <item x="228"/>
        <item x="154"/>
        <item x="174"/>
        <item x="46"/>
        <item x="232"/>
        <item x="280"/>
        <item x="166"/>
        <item x="243"/>
        <item x="26"/>
        <item x="167"/>
        <item x="354"/>
        <item x="176"/>
        <item x="83"/>
        <item x="15"/>
        <item x="219"/>
        <item x="270"/>
        <item x="345"/>
        <item x="142"/>
        <item x="227"/>
        <item x="302"/>
        <item x="230"/>
        <item x="118"/>
        <item x="162"/>
        <item x="165"/>
        <item x="346"/>
        <item x="236"/>
        <item x="187"/>
        <item x="108"/>
        <item x="255"/>
        <item x="125"/>
        <item x="196"/>
        <item x="182"/>
        <item x="96"/>
        <item x="299"/>
        <item x="191"/>
        <item x="88"/>
        <item x="151"/>
        <item x="263"/>
        <item x="22"/>
        <item x="356"/>
        <item x="138"/>
        <item x="105"/>
        <item x="71"/>
        <item x="25"/>
        <item x="249"/>
        <item x="50"/>
        <item x="24"/>
        <item x="251"/>
        <item x="265"/>
        <item x="54"/>
        <item x="42"/>
        <item x="106"/>
        <item x="235"/>
        <item x="189"/>
        <item x="94"/>
        <item x="332"/>
        <item x="34"/>
        <item x="303"/>
        <item x="334"/>
        <item x="329"/>
        <item x="360"/>
        <item x="89"/>
        <item x="27"/>
        <item x="112"/>
        <item x="274"/>
        <item x="211"/>
        <item x="275"/>
        <item x="37"/>
        <item x="23"/>
        <item x="257"/>
        <item x="130"/>
        <item x="136"/>
        <item x="225"/>
        <item x="92"/>
        <item x="358"/>
        <item x="239"/>
        <item x="148"/>
        <item x="169"/>
        <item x="250"/>
        <item x="55"/>
        <item x="321"/>
        <item x="188"/>
        <item x="29"/>
        <item x="285"/>
        <item x="122"/>
        <item x="82"/>
        <item x="53"/>
        <item x="206"/>
        <item x="293"/>
        <item x="170"/>
        <item x="36"/>
        <item x="295"/>
        <item x="35"/>
        <item x="292"/>
        <item x="123"/>
        <item x="135"/>
        <item x="80"/>
        <item x="171"/>
        <item x="194"/>
        <item x="352"/>
        <item x="296"/>
        <item x="13"/>
        <item x="325"/>
        <item x="294"/>
        <item x="183"/>
        <item x="241"/>
        <item x="190"/>
        <item x="104"/>
        <item x="66"/>
        <item x="238"/>
        <item x="119"/>
        <item x="9"/>
        <item x="126"/>
        <item x="177"/>
        <item x="262"/>
        <item x="355"/>
        <item x="140"/>
        <item x="307"/>
        <item x="300"/>
        <item x="268"/>
        <item x="85"/>
        <item x="331"/>
        <item x="51"/>
        <item x="45"/>
        <item x="155"/>
        <item x="175"/>
        <item x="91"/>
        <item x="65"/>
        <item x="240"/>
        <item x="311"/>
        <item x="137"/>
        <item x="124"/>
        <item x="222"/>
        <item x="317"/>
        <item x="111"/>
        <item x="44"/>
        <item x="179"/>
        <item x="305"/>
        <item x="2"/>
        <item x="161"/>
        <item x="306"/>
        <item x="62"/>
        <item x="193"/>
        <item x="180"/>
        <item x="314"/>
        <item x="218"/>
        <item x="21"/>
        <item x="351"/>
        <item x="350"/>
        <item x="70"/>
        <item x="357"/>
        <item x="0"/>
        <item x="316"/>
        <item x="301"/>
        <item x="348"/>
        <item x="49"/>
        <item x="217"/>
        <item x="322"/>
        <item x="353"/>
        <item x="14"/>
        <item x="1"/>
        <item x="335"/>
        <item x="340"/>
        <item x="363"/>
        <item x="205"/>
        <item x="259"/>
        <item x="203"/>
        <item x="272"/>
        <item x="260"/>
        <item x="30"/>
        <item x="195"/>
        <item x="4"/>
        <item x="192"/>
        <item x="210"/>
        <item x="320"/>
        <item x="103"/>
        <item x="328"/>
        <item x="319"/>
        <item x="248"/>
        <item x="297"/>
        <item x="102"/>
        <item x="33"/>
        <item x="186"/>
        <item x="347"/>
        <item x="233"/>
        <item x="198"/>
        <item x="256"/>
        <item x="284"/>
        <item x="223"/>
        <item x="267"/>
        <item x="3"/>
        <item x="99"/>
        <item x="220"/>
        <item x="338"/>
        <item x="98"/>
        <item x="58"/>
        <item x="75"/>
        <item x="291"/>
        <item x="315"/>
        <item x="114"/>
        <item x="64"/>
        <item x="201"/>
        <item x="213"/>
        <item x="164"/>
        <item x="160"/>
        <item x="7"/>
        <item x="298"/>
        <item x="199"/>
        <item x="313"/>
        <item x="364"/>
        <item x="286"/>
        <item x="277"/>
        <item x="308"/>
        <item x="158"/>
        <item x="253"/>
        <item x="173"/>
        <item x="141"/>
        <item x="95"/>
        <item x="288"/>
        <item x="87"/>
        <item x="362"/>
        <item x="69"/>
        <item x="273"/>
        <item x="11"/>
        <item x="110"/>
        <item x="254"/>
        <item x="63"/>
        <item x="86"/>
        <item x="79"/>
        <item x="156"/>
        <item x="209"/>
        <item x="149"/>
        <item x="245"/>
        <item x="312"/>
        <item x="20"/>
        <item x="226"/>
        <item x="172"/>
        <item x="77"/>
        <item x="234"/>
        <item x="349"/>
        <item x="145"/>
        <item x="97"/>
        <item x="204"/>
        <item x="146"/>
        <item x="330"/>
        <item x="127"/>
        <item x="337"/>
        <item x="185"/>
        <item x="17"/>
        <item x="5"/>
        <item x="48"/>
        <item x="214"/>
        <item x="32"/>
        <item x="181"/>
        <item x="150"/>
        <item x="279"/>
        <item x="84"/>
        <item x="19"/>
        <item x="40"/>
        <item x="153"/>
        <item x="237"/>
        <item x="68"/>
        <item x="41"/>
        <item x="341"/>
        <item x="258"/>
        <item x="39"/>
        <item x="129"/>
        <item x="184"/>
        <item x="157"/>
        <item x="132"/>
        <item x="139"/>
        <item x="67"/>
        <item x="327"/>
        <item x="10"/>
        <item x="116"/>
        <item x="359"/>
        <item x="152"/>
        <item x="81"/>
        <item x="344"/>
        <item x="115"/>
        <item x="52"/>
        <item x="278"/>
        <item x="202"/>
        <item x="128"/>
        <item x="143"/>
        <item x="197"/>
        <item x="47"/>
        <item x="290"/>
        <item x="261"/>
        <item x="78"/>
        <item x="264"/>
        <item x="333"/>
        <item x="61"/>
        <item x="336"/>
        <item x="93"/>
        <item x="252"/>
        <item x="339"/>
        <item x="309"/>
        <item x="72"/>
        <item x="163"/>
        <item x="324"/>
        <item x="56"/>
        <item x="38"/>
        <item x="304"/>
        <item x="208"/>
        <item x="323"/>
        <item x="6"/>
        <item x="121"/>
        <item x="18"/>
        <item x="269"/>
        <item x="113"/>
        <item x="207"/>
        <item x="242"/>
        <item x="216"/>
        <item x="90"/>
        <item x="76"/>
        <item x="229"/>
        <item x="131"/>
        <item x="282"/>
        <item x="60"/>
        <item x="318"/>
        <item x="266"/>
        <item x="74"/>
        <item x="247"/>
        <item x="117"/>
        <item x="326"/>
        <item t="default"/>
      </items>
    </pivotField>
    <pivotField showAll="0"/>
    <pivotField showAll="0">
      <items count="51">
        <item x="30"/>
        <item x="48"/>
        <item x="14"/>
        <item x="27"/>
        <item x="40"/>
        <item x="38"/>
        <item x="8"/>
        <item x="15"/>
        <item x="32"/>
        <item x="29"/>
        <item x="47"/>
        <item x="16"/>
        <item x="42"/>
        <item x="12"/>
        <item x="1"/>
        <item x="37"/>
        <item x="36"/>
        <item x="20"/>
        <item x="31"/>
        <item x="28"/>
        <item x="23"/>
        <item x="0"/>
        <item x="2"/>
        <item x="13"/>
        <item x="39"/>
        <item x="19"/>
        <item x="24"/>
        <item x="17"/>
        <item x="45"/>
        <item x="18"/>
        <item x="3"/>
        <item x="43"/>
        <item x="7"/>
        <item x="6"/>
        <item x="41"/>
        <item x="21"/>
        <item x="25"/>
        <item x="33"/>
        <item x="11"/>
        <item x="44"/>
        <item x="26"/>
        <item x="9"/>
        <item x="4"/>
        <item x="46"/>
        <item x="49"/>
        <item x="5"/>
        <item x="10"/>
        <item x="34"/>
        <item x="35"/>
        <item x="22"/>
        <item t="default"/>
      </items>
    </pivotField>
    <pivotField showAll="0"/>
    <pivotField showAll="0"/>
    <pivotField showAll="0">
      <items count="6">
        <item x="2"/>
        <item x="4"/>
        <item x="1"/>
        <item x="3"/>
        <item x="0"/>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29"/>
  </rowFields>
  <rowItems count="13">
    <i>
      <x v="1"/>
    </i>
    <i>
      <x v="2"/>
    </i>
    <i>
      <x v="3"/>
    </i>
    <i>
      <x v="4"/>
    </i>
    <i>
      <x v="5"/>
    </i>
    <i>
      <x v="6"/>
    </i>
    <i>
      <x v="7"/>
    </i>
    <i>
      <x v="8"/>
    </i>
    <i>
      <x v="9"/>
    </i>
    <i>
      <x v="10"/>
    </i>
    <i>
      <x v="11"/>
    </i>
    <i>
      <x v="12"/>
    </i>
    <i t="grand">
      <x/>
    </i>
  </rowItems>
  <colFields count="1">
    <field x="5"/>
  </colFields>
  <colItems count="4">
    <i>
      <x/>
    </i>
    <i>
      <x v="1"/>
    </i>
    <i>
      <x v="2"/>
    </i>
    <i t="grand">
      <x/>
    </i>
  </colItems>
  <dataFields count="1">
    <dataField name="Sum of Amount_with_Delivery_Charge " fld="24" baseField="0" baseItem="0"/>
  </dataFields>
  <chartFormats count="7">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2">
          <reference field="4294967294" count="1" selected="0">
            <x v="0"/>
          </reference>
          <reference field="5" count="1" selected="0">
            <x v="1"/>
          </reference>
        </references>
      </pivotArea>
    </chartFormat>
    <chartFormat chart="7" format="2" series="1">
      <pivotArea type="data" outline="0" fieldPosition="0">
        <references count="2">
          <reference field="4294967294" count="1" selected="0">
            <x v="0"/>
          </reference>
          <reference field="5" count="1" selected="0">
            <x v="2"/>
          </reference>
        </references>
      </pivotArea>
    </chartFormat>
    <chartFormat chart="7" format="3" series="1">
      <pivotArea type="data" outline="0" fieldPosition="0">
        <references count="2">
          <reference field="4294967294" count="1" selected="0">
            <x v="0"/>
          </reference>
          <reference field="5" count="1" selected="0">
            <x v="0"/>
          </reference>
        </references>
      </pivotArea>
    </chartFormat>
    <chartFormat chart="19" format="7" series="1">
      <pivotArea type="data" outline="0" fieldPosition="0">
        <references count="2">
          <reference field="4294967294" count="1" selected="0">
            <x v="0"/>
          </reference>
          <reference field="5" count="1" selected="0">
            <x v="0"/>
          </reference>
        </references>
      </pivotArea>
    </chartFormat>
    <chartFormat chart="19" format="8" series="1">
      <pivotArea type="data" outline="0" fieldPosition="0">
        <references count="2">
          <reference field="4294967294" count="1" selected="0">
            <x v="0"/>
          </reference>
          <reference field="5" count="1" selected="0">
            <x v="1"/>
          </reference>
        </references>
      </pivotArea>
    </chartFormat>
    <chartFormat chart="19" format="9"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97D01F4-7B4B-4EDA-BFF4-32EC9C5A8508}" name="PivotTable23"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27">
  <location ref="AN16:AO25" firstHeaderRow="1" firstDataRow="1" firstDataCol="1"/>
  <pivotFields count="32">
    <pivotField showAll="0"/>
    <pivotField showAll="0"/>
    <pivotField showAll="0"/>
    <pivotField showAll="0"/>
    <pivotField showAll="0"/>
    <pivotField showAll="0">
      <items count="4">
        <item x="1"/>
        <item x="0"/>
        <item x="2"/>
        <item t="default"/>
      </items>
    </pivotField>
    <pivotField axis="axisRow" showAll="0">
      <items count="9">
        <item x="5"/>
        <item x="7"/>
        <item x="1"/>
        <item x="3"/>
        <item x="4"/>
        <item x="2"/>
        <item x="0"/>
        <item x="6"/>
        <item t="default"/>
      </items>
    </pivotField>
    <pivotField showAll="0"/>
    <pivotField showAll="0"/>
    <pivotField dataField="1" showAll="0"/>
    <pivotField showAll="0">
      <items count="366">
        <item x="16"/>
        <item x="200"/>
        <item x="57"/>
        <item x="244"/>
        <item x="287"/>
        <item x="246"/>
        <item x="283"/>
        <item x="120"/>
        <item x="342"/>
        <item x="147"/>
        <item x="276"/>
        <item x="133"/>
        <item x="28"/>
        <item x="134"/>
        <item x="215"/>
        <item x="12"/>
        <item x="178"/>
        <item x="59"/>
        <item x="109"/>
        <item x="101"/>
        <item x="289"/>
        <item x="281"/>
        <item x="159"/>
        <item x="221"/>
        <item x="343"/>
        <item x="224"/>
        <item x="43"/>
        <item x="100"/>
        <item x="107"/>
        <item x="231"/>
        <item x="212"/>
        <item x="271"/>
        <item x="361"/>
        <item x="310"/>
        <item x="168"/>
        <item x="31"/>
        <item x="8"/>
        <item x="73"/>
        <item x="144"/>
        <item x="228"/>
        <item x="154"/>
        <item x="174"/>
        <item x="46"/>
        <item x="232"/>
        <item x="280"/>
        <item x="166"/>
        <item x="243"/>
        <item x="26"/>
        <item x="167"/>
        <item x="354"/>
        <item x="176"/>
        <item x="83"/>
        <item x="15"/>
        <item x="219"/>
        <item x="270"/>
        <item x="345"/>
        <item x="142"/>
        <item x="227"/>
        <item x="302"/>
        <item x="230"/>
        <item x="118"/>
        <item x="162"/>
        <item x="165"/>
        <item x="346"/>
        <item x="236"/>
        <item x="187"/>
        <item x="108"/>
        <item x="255"/>
        <item x="125"/>
        <item x="196"/>
        <item x="182"/>
        <item x="96"/>
        <item x="299"/>
        <item x="191"/>
        <item x="88"/>
        <item x="151"/>
        <item x="263"/>
        <item x="22"/>
        <item x="356"/>
        <item x="138"/>
        <item x="105"/>
        <item x="71"/>
        <item x="25"/>
        <item x="249"/>
        <item x="50"/>
        <item x="24"/>
        <item x="251"/>
        <item x="265"/>
        <item x="54"/>
        <item x="42"/>
        <item x="106"/>
        <item x="235"/>
        <item x="189"/>
        <item x="94"/>
        <item x="332"/>
        <item x="34"/>
        <item x="303"/>
        <item x="334"/>
        <item x="329"/>
        <item x="360"/>
        <item x="89"/>
        <item x="27"/>
        <item x="112"/>
        <item x="274"/>
        <item x="211"/>
        <item x="275"/>
        <item x="37"/>
        <item x="23"/>
        <item x="257"/>
        <item x="130"/>
        <item x="136"/>
        <item x="225"/>
        <item x="92"/>
        <item x="358"/>
        <item x="239"/>
        <item x="148"/>
        <item x="169"/>
        <item x="250"/>
        <item x="55"/>
        <item x="321"/>
        <item x="188"/>
        <item x="29"/>
        <item x="285"/>
        <item x="122"/>
        <item x="82"/>
        <item x="53"/>
        <item x="206"/>
        <item x="293"/>
        <item x="170"/>
        <item x="36"/>
        <item x="295"/>
        <item x="35"/>
        <item x="292"/>
        <item x="123"/>
        <item x="135"/>
        <item x="80"/>
        <item x="171"/>
        <item x="194"/>
        <item x="352"/>
        <item x="296"/>
        <item x="13"/>
        <item x="325"/>
        <item x="294"/>
        <item x="183"/>
        <item x="241"/>
        <item x="190"/>
        <item x="104"/>
        <item x="66"/>
        <item x="238"/>
        <item x="119"/>
        <item x="9"/>
        <item x="126"/>
        <item x="177"/>
        <item x="262"/>
        <item x="355"/>
        <item x="140"/>
        <item x="307"/>
        <item x="300"/>
        <item x="268"/>
        <item x="85"/>
        <item x="331"/>
        <item x="51"/>
        <item x="45"/>
        <item x="155"/>
        <item x="175"/>
        <item x="91"/>
        <item x="65"/>
        <item x="240"/>
        <item x="311"/>
        <item x="137"/>
        <item x="124"/>
        <item x="222"/>
        <item x="317"/>
        <item x="111"/>
        <item x="44"/>
        <item x="179"/>
        <item x="305"/>
        <item x="2"/>
        <item x="161"/>
        <item x="306"/>
        <item x="62"/>
        <item x="193"/>
        <item x="180"/>
        <item x="314"/>
        <item x="218"/>
        <item x="21"/>
        <item x="351"/>
        <item x="350"/>
        <item x="70"/>
        <item x="357"/>
        <item x="0"/>
        <item x="316"/>
        <item x="301"/>
        <item x="348"/>
        <item x="49"/>
        <item x="217"/>
        <item x="322"/>
        <item x="353"/>
        <item x="14"/>
        <item x="1"/>
        <item x="335"/>
        <item x="340"/>
        <item x="363"/>
        <item x="205"/>
        <item x="259"/>
        <item x="203"/>
        <item x="272"/>
        <item x="260"/>
        <item x="30"/>
        <item x="195"/>
        <item x="4"/>
        <item x="192"/>
        <item x="210"/>
        <item x="320"/>
        <item x="103"/>
        <item x="328"/>
        <item x="319"/>
        <item x="248"/>
        <item x="297"/>
        <item x="102"/>
        <item x="33"/>
        <item x="186"/>
        <item x="347"/>
        <item x="233"/>
        <item x="198"/>
        <item x="256"/>
        <item x="284"/>
        <item x="223"/>
        <item x="267"/>
        <item x="3"/>
        <item x="99"/>
        <item x="220"/>
        <item x="338"/>
        <item x="98"/>
        <item x="58"/>
        <item x="75"/>
        <item x="291"/>
        <item x="315"/>
        <item x="114"/>
        <item x="64"/>
        <item x="201"/>
        <item x="213"/>
        <item x="164"/>
        <item x="160"/>
        <item x="7"/>
        <item x="298"/>
        <item x="199"/>
        <item x="313"/>
        <item x="364"/>
        <item x="286"/>
        <item x="277"/>
        <item x="308"/>
        <item x="158"/>
        <item x="253"/>
        <item x="173"/>
        <item x="141"/>
        <item x="95"/>
        <item x="288"/>
        <item x="87"/>
        <item x="362"/>
        <item x="69"/>
        <item x="273"/>
        <item x="11"/>
        <item x="110"/>
        <item x="254"/>
        <item x="63"/>
        <item x="86"/>
        <item x="79"/>
        <item x="156"/>
        <item x="209"/>
        <item x="149"/>
        <item x="245"/>
        <item x="312"/>
        <item x="20"/>
        <item x="226"/>
        <item x="172"/>
        <item x="77"/>
        <item x="234"/>
        <item x="349"/>
        <item x="145"/>
        <item x="97"/>
        <item x="204"/>
        <item x="146"/>
        <item x="330"/>
        <item x="127"/>
        <item x="337"/>
        <item x="185"/>
        <item x="17"/>
        <item x="5"/>
        <item x="48"/>
        <item x="214"/>
        <item x="32"/>
        <item x="181"/>
        <item x="150"/>
        <item x="279"/>
        <item x="84"/>
        <item x="19"/>
        <item x="40"/>
        <item x="153"/>
        <item x="237"/>
        <item x="68"/>
        <item x="41"/>
        <item x="341"/>
        <item x="258"/>
        <item x="39"/>
        <item x="129"/>
        <item x="184"/>
        <item x="157"/>
        <item x="132"/>
        <item x="139"/>
        <item x="67"/>
        <item x="327"/>
        <item x="10"/>
        <item x="116"/>
        <item x="359"/>
        <item x="152"/>
        <item x="81"/>
        <item x="344"/>
        <item x="115"/>
        <item x="52"/>
        <item x="278"/>
        <item x="202"/>
        <item x="128"/>
        <item x="143"/>
        <item x="197"/>
        <item x="47"/>
        <item x="290"/>
        <item x="261"/>
        <item x="78"/>
        <item x="264"/>
        <item x="333"/>
        <item x="61"/>
        <item x="336"/>
        <item x="93"/>
        <item x="252"/>
        <item x="339"/>
        <item x="309"/>
        <item x="72"/>
        <item x="163"/>
        <item x="324"/>
        <item x="56"/>
        <item x="38"/>
        <item x="304"/>
        <item x="208"/>
        <item x="323"/>
        <item x="6"/>
        <item x="121"/>
        <item x="18"/>
        <item x="269"/>
        <item x="113"/>
        <item x="207"/>
        <item x="242"/>
        <item x="216"/>
        <item x="90"/>
        <item x="76"/>
        <item x="229"/>
        <item x="131"/>
        <item x="282"/>
        <item x="60"/>
        <item x="318"/>
        <item x="266"/>
        <item x="74"/>
        <item x="247"/>
        <item x="117"/>
        <item x="326"/>
        <item t="default"/>
      </items>
    </pivotField>
    <pivotField showAll="0"/>
    <pivotField showAll="0">
      <items count="51">
        <item x="30"/>
        <item x="48"/>
        <item x="14"/>
        <item x="27"/>
        <item x="40"/>
        <item x="38"/>
        <item x="8"/>
        <item x="15"/>
        <item x="32"/>
        <item x="29"/>
        <item x="47"/>
        <item x="16"/>
        <item x="42"/>
        <item x="12"/>
        <item x="1"/>
        <item x="37"/>
        <item x="36"/>
        <item x="20"/>
        <item x="31"/>
        <item x="28"/>
        <item x="23"/>
        <item x="0"/>
        <item x="2"/>
        <item x="13"/>
        <item x="39"/>
        <item x="19"/>
        <item x="24"/>
        <item x="17"/>
        <item x="45"/>
        <item x="18"/>
        <item x="3"/>
        <item x="43"/>
        <item x="7"/>
        <item x="6"/>
        <item x="41"/>
        <item x="21"/>
        <item x="25"/>
        <item x="33"/>
        <item x="11"/>
        <item x="44"/>
        <item x="26"/>
        <item x="9"/>
        <item x="4"/>
        <item x="46"/>
        <item x="49"/>
        <item x="5"/>
        <item x="10"/>
        <item x="34"/>
        <item x="35"/>
        <item x="22"/>
        <item t="default"/>
      </items>
    </pivotField>
    <pivotField showAll="0"/>
    <pivotField showAll="0"/>
    <pivotField showAll="0">
      <items count="6">
        <item x="2"/>
        <item x="4"/>
        <item x="1"/>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6"/>
  </rowFields>
  <rowItems count="9">
    <i>
      <x/>
    </i>
    <i>
      <x v="1"/>
    </i>
    <i>
      <x v="2"/>
    </i>
    <i>
      <x v="3"/>
    </i>
    <i>
      <x v="4"/>
    </i>
    <i>
      <x v="5"/>
    </i>
    <i>
      <x v="6"/>
    </i>
    <i>
      <x v="7"/>
    </i>
    <i t="grand">
      <x/>
    </i>
  </rowItems>
  <colItems count="1">
    <i/>
  </colItems>
  <dataFields count="1">
    <dataField name="Count of Order_ID"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3D89EAD-7750-499B-A24A-A825CE8D45D4}" name="PivotTable30" cacheId="0"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AI3:AI4" firstHeaderRow="1" firstDataRow="1" firstDataCol="0"/>
  <pivotFields count="32">
    <pivotField showAll="0"/>
    <pivotField showAll="0"/>
    <pivotField showAll="0"/>
    <pivotField showAll="0"/>
    <pivotField showAll="0"/>
    <pivotField showAll="0">
      <items count="4">
        <item x="1"/>
        <item x="0"/>
        <item x="2"/>
        <item t="default"/>
      </items>
    </pivotField>
    <pivotField showAll="0">
      <items count="9">
        <item x="5"/>
        <item x="7"/>
        <item x="1"/>
        <item x="3"/>
        <item x="4"/>
        <item x="2"/>
        <item x="0"/>
        <item x="6"/>
        <item t="default"/>
      </items>
    </pivotField>
    <pivotField showAll="0"/>
    <pivotField showAll="0"/>
    <pivotField showAll="0"/>
    <pivotField showAll="0">
      <items count="366">
        <item x="16"/>
        <item x="200"/>
        <item x="57"/>
        <item x="244"/>
        <item x="287"/>
        <item x="246"/>
        <item x="283"/>
        <item x="120"/>
        <item x="342"/>
        <item x="147"/>
        <item x="276"/>
        <item x="133"/>
        <item x="28"/>
        <item x="134"/>
        <item x="215"/>
        <item x="12"/>
        <item x="178"/>
        <item x="59"/>
        <item x="109"/>
        <item x="101"/>
        <item x="289"/>
        <item x="281"/>
        <item x="159"/>
        <item x="221"/>
        <item x="343"/>
        <item x="224"/>
        <item x="43"/>
        <item x="100"/>
        <item x="107"/>
        <item x="231"/>
        <item x="212"/>
        <item x="271"/>
        <item x="361"/>
        <item x="310"/>
        <item x="168"/>
        <item x="31"/>
        <item x="8"/>
        <item x="73"/>
        <item x="144"/>
        <item x="228"/>
        <item x="154"/>
        <item x="174"/>
        <item x="46"/>
        <item x="232"/>
        <item x="280"/>
        <item x="166"/>
        <item x="243"/>
        <item x="26"/>
        <item x="167"/>
        <item x="354"/>
        <item x="176"/>
        <item x="83"/>
        <item x="15"/>
        <item x="219"/>
        <item x="270"/>
        <item x="345"/>
        <item x="142"/>
        <item x="227"/>
        <item x="302"/>
        <item x="230"/>
        <item x="118"/>
        <item x="162"/>
        <item x="165"/>
        <item x="346"/>
        <item x="236"/>
        <item x="187"/>
        <item x="108"/>
        <item x="255"/>
        <item x="125"/>
        <item x="196"/>
        <item x="182"/>
        <item x="96"/>
        <item x="299"/>
        <item x="191"/>
        <item x="88"/>
        <item x="151"/>
        <item x="263"/>
        <item x="22"/>
        <item x="356"/>
        <item x="138"/>
        <item x="105"/>
        <item x="71"/>
        <item x="25"/>
        <item x="249"/>
        <item x="50"/>
        <item x="24"/>
        <item x="251"/>
        <item x="265"/>
        <item x="54"/>
        <item x="42"/>
        <item x="106"/>
        <item x="235"/>
        <item x="189"/>
        <item x="94"/>
        <item x="332"/>
        <item x="34"/>
        <item x="303"/>
        <item x="334"/>
        <item x="329"/>
        <item x="360"/>
        <item x="89"/>
        <item x="27"/>
        <item x="112"/>
        <item x="274"/>
        <item x="211"/>
        <item x="275"/>
        <item x="37"/>
        <item x="23"/>
        <item x="257"/>
        <item x="130"/>
        <item x="136"/>
        <item x="225"/>
        <item x="92"/>
        <item x="358"/>
        <item x="239"/>
        <item x="148"/>
        <item x="169"/>
        <item x="250"/>
        <item x="55"/>
        <item x="321"/>
        <item x="188"/>
        <item x="29"/>
        <item x="285"/>
        <item x="122"/>
        <item x="82"/>
        <item x="53"/>
        <item x="206"/>
        <item x="293"/>
        <item x="170"/>
        <item x="36"/>
        <item x="295"/>
        <item x="35"/>
        <item x="292"/>
        <item x="123"/>
        <item x="135"/>
        <item x="80"/>
        <item x="171"/>
        <item x="194"/>
        <item x="352"/>
        <item x="296"/>
        <item x="13"/>
        <item x="325"/>
        <item x="294"/>
        <item x="183"/>
        <item x="241"/>
        <item x="190"/>
        <item x="104"/>
        <item x="66"/>
        <item x="238"/>
        <item x="119"/>
        <item x="9"/>
        <item x="126"/>
        <item x="177"/>
        <item x="262"/>
        <item x="355"/>
        <item x="140"/>
        <item x="307"/>
        <item x="300"/>
        <item x="268"/>
        <item x="85"/>
        <item x="331"/>
        <item x="51"/>
        <item x="45"/>
        <item x="155"/>
        <item x="175"/>
        <item x="91"/>
        <item x="65"/>
        <item x="240"/>
        <item x="311"/>
        <item x="137"/>
        <item x="124"/>
        <item x="222"/>
        <item x="317"/>
        <item x="111"/>
        <item x="44"/>
        <item x="179"/>
        <item x="305"/>
        <item x="2"/>
        <item x="161"/>
        <item x="306"/>
        <item x="62"/>
        <item x="193"/>
        <item x="180"/>
        <item x="314"/>
        <item x="218"/>
        <item x="21"/>
        <item x="351"/>
        <item x="350"/>
        <item x="70"/>
        <item x="357"/>
        <item x="0"/>
        <item x="316"/>
        <item x="301"/>
        <item x="348"/>
        <item x="49"/>
        <item x="217"/>
        <item x="322"/>
        <item x="353"/>
        <item x="14"/>
        <item x="1"/>
        <item x="335"/>
        <item x="340"/>
        <item x="363"/>
        <item x="205"/>
        <item x="259"/>
        <item x="203"/>
        <item x="272"/>
        <item x="260"/>
        <item x="30"/>
        <item x="195"/>
        <item x="4"/>
        <item x="192"/>
        <item x="210"/>
        <item x="320"/>
        <item x="103"/>
        <item x="328"/>
        <item x="319"/>
        <item x="248"/>
        <item x="297"/>
        <item x="102"/>
        <item x="33"/>
        <item x="186"/>
        <item x="347"/>
        <item x="233"/>
        <item x="198"/>
        <item x="256"/>
        <item x="284"/>
        <item x="223"/>
        <item x="267"/>
        <item x="3"/>
        <item x="99"/>
        <item x="220"/>
        <item x="338"/>
        <item x="98"/>
        <item x="58"/>
        <item x="75"/>
        <item x="291"/>
        <item x="315"/>
        <item x="114"/>
        <item x="64"/>
        <item x="201"/>
        <item x="213"/>
        <item x="164"/>
        <item x="160"/>
        <item x="7"/>
        <item x="298"/>
        <item x="199"/>
        <item x="313"/>
        <item x="364"/>
        <item x="286"/>
        <item x="277"/>
        <item x="308"/>
        <item x="158"/>
        <item x="253"/>
        <item x="173"/>
        <item x="141"/>
        <item x="95"/>
        <item x="288"/>
        <item x="87"/>
        <item x="362"/>
        <item x="69"/>
        <item x="273"/>
        <item x="11"/>
        <item x="110"/>
        <item x="254"/>
        <item x="63"/>
        <item x="86"/>
        <item x="79"/>
        <item x="156"/>
        <item x="209"/>
        <item x="149"/>
        <item x="245"/>
        <item x="312"/>
        <item x="20"/>
        <item x="226"/>
        <item x="172"/>
        <item x="77"/>
        <item x="234"/>
        <item x="349"/>
        <item x="145"/>
        <item x="97"/>
        <item x="204"/>
        <item x="146"/>
        <item x="330"/>
        <item x="127"/>
        <item x="337"/>
        <item x="185"/>
        <item x="17"/>
        <item x="5"/>
        <item x="48"/>
        <item x="214"/>
        <item x="32"/>
        <item x="181"/>
        <item x="150"/>
        <item x="279"/>
        <item x="84"/>
        <item x="19"/>
        <item x="40"/>
        <item x="153"/>
        <item x="237"/>
        <item x="68"/>
        <item x="41"/>
        <item x="341"/>
        <item x="258"/>
        <item x="39"/>
        <item x="129"/>
        <item x="184"/>
        <item x="157"/>
        <item x="132"/>
        <item x="139"/>
        <item x="67"/>
        <item x="327"/>
        <item x="10"/>
        <item x="116"/>
        <item x="359"/>
        <item x="152"/>
        <item x="81"/>
        <item x="344"/>
        <item x="115"/>
        <item x="52"/>
        <item x="278"/>
        <item x="202"/>
        <item x="128"/>
        <item x="143"/>
        <item x="197"/>
        <item x="47"/>
        <item x="290"/>
        <item x="261"/>
        <item x="78"/>
        <item x="264"/>
        <item x="333"/>
        <item x="61"/>
        <item x="336"/>
        <item x="93"/>
        <item x="252"/>
        <item x="339"/>
        <item x="309"/>
        <item x="72"/>
        <item x="163"/>
        <item x="324"/>
        <item x="56"/>
        <item x="38"/>
        <item x="304"/>
        <item x="208"/>
        <item x="323"/>
        <item x="6"/>
        <item x="121"/>
        <item x="18"/>
        <item x="269"/>
        <item x="113"/>
        <item x="207"/>
        <item x="242"/>
        <item x="216"/>
        <item x="90"/>
        <item x="76"/>
        <item x="229"/>
        <item x="131"/>
        <item x="282"/>
        <item x="60"/>
        <item x="318"/>
        <item x="266"/>
        <item x="74"/>
        <item x="247"/>
        <item x="117"/>
        <item x="326"/>
        <item t="default"/>
      </items>
    </pivotField>
    <pivotField showAll="0"/>
    <pivotField showAll="0">
      <items count="51">
        <item x="30"/>
        <item x="48"/>
        <item x="14"/>
        <item x="27"/>
        <item x="40"/>
        <item x="38"/>
        <item x="8"/>
        <item x="15"/>
        <item x="32"/>
        <item x="29"/>
        <item x="47"/>
        <item x="16"/>
        <item x="42"/>
        <item x="12"/>
        <item x="1"/>
        <item x="37"/>
        <item x="36"/>
        <item x="20"/>
        <item x="31"/>
        <item x="28"/>
        <item x="23"/>
        <item x="0"/>
        <item x="2"/>
        <item x="13"/>
        <item x="39"/>
        <item x="19"/>
        <item x="24"/>
        <item x="17"/>
        <item x="45"/>
        <item x="18"/>
        <item x="3"/>
        <item x="43"/>
        <item x="7"/>
        <item x="6"/>
        <item x="41"/>
        <item x="21"/>
        <item x="25"/>
        <item x="33"/>
        <item x="11"/>
        <item x="44"/>
        <item x="26"/>
        <item x="9"/>
        <item x="4"/>
        <item x="46"/>
        <item x="49"/>
        <item x="5"/>
        <item x="10"/>
        <item x="34"/>
        <item x="35"/>
        <item x="22"/>
        <item t="default"/>
      </items>
    </pivotField>
    <pivotField showAll="0"/>
    <pivotField showAll="0"/>
    <pivotField showAll="0">
      <items count="6">
        <item x="2"/>
        <item x="4"/>
        <item x="1"/>
        <item x="3"/>
        <item x="0"/>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Amount" fld="2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44A5C62-199B-46A1-B9E4-E690C9E3F701}" name="PivotTable28" cacheId="0"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E4" firstHeaderRow="0" firstDataRow="0" firstDataCol="0"/>
  <pivotFields count="32">
    <pivotField showAll="0"/>
    <pivotField showAll="0"/>
    <pivotField showAll="0"/>
    <pivotField showAll="0"/>
    <pivotField showAll="0"/>
    <pivotField showAll="0">
      <items count="4">
        <item x="1"/>
        <item x="0"/>
        <item x="2"/>
        <item t="default"/>
      </items>
    </pivotField>
    <pivotField showAll="0">
      <items count="9">
        <item x="5"/>
        <item x="7"/>
        <item x="1"/>
        <item x="3"/>
        <item x="4"/>
        <item x="2"/>
        <item x="0"/>
        <item x="6"/>
        <item t="default"/>
      </items>
    </pivotField>
    <pivotField showAll="0"/>
    <pivotField showAll="0"/>
    <pivotField axis="axisRow" showAll="0">
      <items count="501">
        <item x="352"/>
        <item x="448"/>
        <item x="301"/>
        <item x="67"/>
        <item x="402"/>
        <item x="255"/>
        <item x="230"/>
        <item x="446"/>
        <item x="207"/>
        <item x="438"/>
        <item x="203"/>
        <item x="411"/>
        <item x="115"/>
        <item x="266"/>
        <item x="107"/>
        <item x="171"/>
        <item x="69"/>
        <item x="277"/>
        <item x="457"/>
        <item x="300"/>
        <item x="353"/>
        <item x="329"/>
        <item x="285"/>
        <item x="90"/>
        <item x="129"/>
        <item x="160"/>
        <item x="308"/>
        <item x="216"/>
        <item x="126"/>
        <item x="125"/>
        <item x="374"/>
        <item x="281"/>
        <item x="5"/>
        <item x="259"/>
        <item x="76"/>
        <item x="72"/>
        <item x="243"/>
        <item x="395"/>
        <item x="313"/>
        <item x="422"/>
        <item x="168"/>
        <item x="355"/>
        <item x="110"/>
        <item x="148"/>
        <item x="302"/>
        <item x="436"/>
        <item x="18"/>
        <item x="173"/>
        <item x="441"/>
        <item x="445"/>
        <item x="419"/>
        <item x="334"/>
        <item x="432"/>
        <item x="474"/>
        <item x="196"/>
        <item x="398"/>
        <item x="335"/>
        <item x="463"/>
        <item x="247"/>
        <item x="10"/>
        <item x="15"/>
        <item x="51"/>
        <item x="339"/>
        <item x="475"/>
        <item x="468"/>
        <item x="409"/>
        <item x="379"/>
        <item x="256"/>
        <item x="25"/>
        <item x="55"/>
        <item x="77"/>
        <item x="50"/>
        <item x="348"/>
        <item x="433"/>
        <item x="473"/>
        <item x="239"/>
        <item x="241"/>
        <item x="274"/>
        <item x="459"/>
        <item x="362"/>
        <item x="161"/>
        <item x="369"/>
        <item x="0"/>
        <item x="321"/>
        <item x="337"/>
        <item x="114"/>
        <item x="365"/>
        <item x="392"/>
        <item x="306"/>
        <item x="455"/>
        <item x="249"/>
        <item x="336"/>
        <item x="175"/>
        <item x="66"/>
        <item x="34"/>
        <item x="236"/>
        <item x="130"/>
        <item x="471"/>
        <item x="327"/>
        <item x="4"/>
        <item x="28"/>
        <item x="421"/>
        <item x="491"/>
        <item x="357"/>
        <item x="205"/>
        <item x="211"/>
        <item x="282"/>
        <item x="229"/>
        <item x="56"/>
        <item x="119"/>
        <item x="64"/>
        <item x="393"/>
        <item x="486"/>
        <item x="190"/>
        <item x="11"/>
        <item x="85"/>
        <item x="297"/>
        <item x="289"/>
        <item x="373"/>
        <item x="145"/>
        <item x="492"/>
        <item x="43"/>
        <item x="92"/>
        <item x="271"/>
        <item x="497"/>
        <item x="410"/>
        <item x="197"/>
        <item x="74"/>
        <item x="151"/>
        <item x="251"/>
        <item x="489"/>
        <item x="36"/>
        <item x="13"/>
        <item x="381"/>
        <item x="8"/>
        <item x="233"/>
        <item x="412"/>
        <item x="150"/>
        <item x="113"/>
        <item x="280"/>
        <item x="104"/>
        <item x="49"/>
        <item x="408"/>
        <item x="331"/>
        <item x="14"/>
        <item x="417"/>
        <item x="310"/>
        <item x="460"/>
        <item x="342"/>
        <item x="19"/>
        <item x="382"/>
        <item x="340"/>
        <item x="315"/>
        <item x="237"/>
        <item x="464"/>
        <item x="135"/>
        <item x="260"/>
        <item x="264"/>
        <item x="424"/>
        <item x="394"/>
        <item x="182"/>
        <item x="23"/>
        <item x="465"/>
        <item x="62"/>
        <item x="134"/>
        <item x="221"/>
        <item x="235"/>
        <item x="6"/>
        <item x="330"/>
        <item x="359"/>
        <item x="328"/>
        <item x="435"/>
        <item x="416"/>
        <item x="27"/>
        <item x="170"/>
        <item x="147"/>
        <item x="227"/>
        <item x="7"/>
        <item x="400"/>
        <item x="128"/>
        <item x="37"/>
        <item x="314"/>
        <item x="140"/>
        <item x="35"/>
        <item x="375"/>
        <item x="428"/>
        <item x="177"/>
        <item x="100"/>
        <item x="452"/>
        <item x="157"/>
        <item x="162"/>
        <item x="479"/>
        <item x="377"/>
        <item x="439"/>
        <item x="120"/>
        <item x="414"/>
        <item x="30"/>
        <item x="215"/>
        <item x="258"/>
        <item x="240"/>
        <item x="293"/>
        <item x="124"/>
        <item x="494"/>
        <item x="201"/>
        <item x="29"/>
        <item x="268"/>
        <item x="42"/>
        <item x="108"/>
        <item x="26"/>
        <item x="272"/>
        <item x="188"/>
        <item x="53"/>
        <item x="444"/>
        <item x="246"/>
        <item x="461"/>
        <item x="324"/>
        <item x="61"/>
        <item x="186"/>
        <item x="466"/>
        <item x="358"/>
        <item x="144"/>
        <item x="429"/>
        <item x="97"/>
        <item x="123"/>
        <item x="39"/>
        <item x="283"/>
        <item x="397"/>
        <item x="278"/>
        <item x="399"/>
        <item x="139"/>
        <item x="332"/>
        <item x="275"/>
        <item x="111"/>
        <item x="228"/>
        <item x="176"/>
        <item x="167"/>
        <item x="349"/>
        <item x="220"/>
        <item x="325"/>
        <item x="180"/>
        <item x="32"/>
        <item x="431"/>
        <item x="252"/>
        <item x="318"/>
        <item x="404"/>
        <item x="82"/>
        <item x="57"/>
        <item x="98"/>
        <item x="296"/>
        <item x="73"/>
        <item x="172"/>
        <item x="442"/>
        <item x="390"/>
        <item x="84"/>
        <item x="257"/>
        <item x="420"/>
        <item x="59"/>
        <item x="263"/>
        <item x="80"/>
        <item x="319"/>
        <item x="210"/>
        <item x="488"/>
        <item x="121"/>
        <item x="305"/>
        <item x="138"/>
        <item x="387"/>
        <item x="224"/>
        <item x="307"/>
        <item x="189"/>
        <item x="238"/>
        <item x="146"/>
        <item x="17"/>
        <item x="152"/>
        <item x="95"/>
        <item x="163"/>
        <item x="295"/>
        <item x="450"/>
        <item x="166"/>
        <item x="122"/>
        <item x="38"/>
        <item x="477"/>
        <item x="184"/>
        <item x="320"/>
        <item x="481"/>
        <item x="209"/>
        <item x="78"/>
        <item x="376"/>
        <item x="174"/>
        <item x="485"/>
        <item x="469"/>
        <item x="132"/>
        <item x="351"/>
        <item x="476"/>
        <item x="48"/>
        <item x="454"/>
        <item x="16"/>
        <item x="232"/>
        <item x="79"/>
        <item x="323"/>
        <item x="250"/>
        <item x="185"/>
        <item x="118"/>
        <item x="425"/>
        <item x="199"/>
        <item x="490"/>
        <item x="141"/>
        <item x="101"/>
        <item x="164"/>
        <item x="226"/>
        <item x="86"/>
        <item x="458"/>
        <item x="361"/>
        <item x="427"/>
        <item x="499"/>
        <item x="371"/>
        <item x="195"/>
        <item x="198"/>
        <item x="12"/>
        <item x="384"/>
        <item x="46"/>
        <item x="344"/>
        <item x="44"/>
        <item x="96"/>
        <item x="204"/>
        <item x="94"/>
        <item x="360"/>
        <item x="322"/>
        <item x="33"/>
        <item x="462"/>
        <item x="262"/>
        <item x="219"/>
        <item x="311"/>
        <item x="1"/>
        <item x="165"/>
        <item x="343"/>
        <item x="3"/>
        <item x="222"/>
        <item x="287"/>
        <item x="309"/>
        <item x="279"/>
        <item x="269"/>
        <item x="482"/>
        <item x="370"/>
        <item x="154"/>
        <item x="407"/>
        <item x="292"/>
        <item x="347"/>
        <item x="356"/>
        <item x="70"/>
        <item x="112"/>
        <item x="202"/>
        <item x="366"/>
        <item x="388"/>
        <item x="231"/>
        <item x="405"/>
        <item x="496"/>
        <item x="192"/>
        <item x="447"/>
        <item x="71"/>
        <item x="248"/>
        <item x="443"/>
        <item x="498"/>
        <item x="495"/>
        <item x="214"/>
        <item x="437"/>
        <item x="2"/>
        <item x="451"/>
        <item x="288"/>
        <item x="367"/>
        <item x="47"/>
        <item x="21"/>
        <item x="430"/>
        <item x="20"/>
        <item x="169"/>
        <item x="396"/>
        <item x="63"/>
        <item x="41"/>
        <item x="158"/>
        <item x="284"/>
        <item x="99"/>
        <item x="60"/>
        <item x="234"/>
        <item x="403"/>
        <item x="338"/>
        <item x="106"/>
        <item x="386"/>
        <item x="299"/>
        <item x="276"/>
        <item x="294"/>
        <item x="191"/>
        <item x="345"/>
        <item x="406"/>
        <item x="245"/>
        <item x="81"/>
        <item x="206"/>
        <item x="440"/>
        <item x="401"/>
        <item x="217"/>
        <item x="363"/>
        <item x="58"/>
        <item x="385"/>
        <item x="273"/>
        <item x="378"/>
        <item x="116"/>
        <item x="453"/>
        <item x="200"/>
        <item x="317"/>
        <item x="208"/>
        <item x="155"/>
        <item x="83"/>
        <item x="93"/>
        <item x="483"/>
        <item x="415"/>
        <item x="45"/>
        <item x="75"/>
        <item x="183"/>
        <item x="298"/>
        <item x="40"/>
        <item x="225"/>
        <item x="303"/>
        <item x="52"/>
        <item x="137"/>
        <item x="326"/>
        <item x="286"/>
        <item x="102"/>
        <item x="127"/>
        <item x="159"/>
        <item x="389"/>
        <item x="181"/>
        <item x="223"/>
        <item x="449"/>
        <item x="253"/>
        <item x="364"/>
        <item x="65"/>
        <item x="22"/>
        <item x="312"/>
        <item x="68"/>
        <item x="418"/>
        <item x="487"/>
        <item x="261"/>
        <item x="472"/>
        <item x="87"/>
        <item x="434"/>
        <item x="426"/>
        <item x="136"/>
        <item x="423"/>
        <item x="391"/>
        <item x="341"/>
        <item x="380"/>
        <item x="156"/>
        <item x="346"/>
        <item x="153"/>
        <item x="179"/>
        <item x="178"/>
        <item x="131"/>
        <item x="470"/>
        <item x="88"/>
        <item x="413"/>
        <item x="267"/>
        <item x="484"/>
        <item x="478"/>
        <item x="193"/>
        <item x="456"/>
        <item x="117"/>
        <item x="254"/>
        <item x="31"/>
        <item x="304"/>
        <item x="109"/>
        <item x="372"/>
        <item x="212"/>
        <item x="290"/>
        <item x="244"/>
        <item x="9"/>
        <item x="467"/>
        <item x="187"/>
        <item x="103"/>
        <item x="265"/>
        <item x="213"/>
        <item x="270"/>
        <item x="105"/>
        <item x="133"/>
        <item x="350"/>
        <item x="316"/>
        <item x="291"/>
        <item x="143"/>
        <item x="142"/>
        <item x="218"/>
        <item x="149"/>
        <item x="242"/>
        <item x="89"/>
        <item x="480"/>
        <item x="194"/>
        <item x="54"/>
        <item x="91"/>
        <item x="493"/>
        <item x="24"/>
        <item x="383"/>
        <item x="368"/>
        <item x="354"/>
        <item x="333"/>
        <item t="default"/>
      </items>
    </pivotField>
    <pivotField showAll="0">
      <items count="366">
        <item x="16"/>
        <item x="200"/>
        <item x="57"/>
        <item x="244"/>
        <item x="287"/>
        <item x="246"/>
        <item x="283"/>
        <item x="120"/>
        <item x="342"/>
        <item x="147"/>
        <item x="276"/>
        <item x="133"/>
        <item x="28"/>
        <item x="134"/>
        <item x="215"/>
        <item x="12"/>
        <item x="178"/>
        <item x="59"/>
        <item x="109"/>
        <item x="101"/>
        <item x="289"/>
        <item x="281"/>
        <item x="159"/>
        <item x="221"/>
        <item x="343"/>
        <item x="224"/>
        <item x="43"/>
        <item x="100"/>
        <item x="107"/>
        <item x="231"/>
        <item x="212"/>
        <item x="271"/>
        <item x="361"/>
        <item x="310"/>
        <item x="168"/>
        <item x="31"/>
        <item x="8"/>
        <item x="73"/>
        <item x="144"/>
        <item x="228"/>
        <item x="154"/>
        <item x="174"/>
        <item x="46"/>
        <item x="232"/>
        <item x="280"/>
        <item x="166"/>
        <item x="243"/>
        <item x="26"/>
        <item x="167"/>
        <item x="354"/>
        <item x="176"/>
        <item x="83"/>
        <item x="15"/>
        <item x="219"/>
        <item x="270"/>
        <item x="345"/>
        <item x="142"/>
        <item x="227"/>
        <item x="302"/>
        <item x="230"/>
        <item x="118"/>
        <item x="162"/>
        <item x="165"/>
        <item x="346"/>
        <item x="236"/>
        <item x="187"/>
        <item x="108"/>
        <item x="255"/>
        <item x="125"/>
        <item x="196"/>
        <item x="182"/>
        <item x="96"/>
        <item x="299"/>
        <item x="191"/>
        <item x="88"/>
        <item x="151"/>
        <item x="263"/>
        <item x="22"/>
        <item x="356"/>
        <item x="138"/>
        <item x="105"/>
        <item x="71"/>
        <item x="25"/>
        <item x="249"/>
        <item x="50"/>
        <item x="24"/>
        <item x="251"/>
        <item x="265"/>
        <item x="54"/>
        <item x="42"/>
        <item x="106"/>
        <item x="235"/>
        <item x="189"/>
        <item x="94"/>
        <item x="332"/>
        <item x="34"/>
        <item x="303"/>
        <item x="334"/>
        <item x="329"/>
        <item x="360"/>
        <item x="89"/>
        <item x="27"/>
        <item x="112"/>
        <item x="274"/>
        <item x="211"/>
        <item x="275"/>
        <item x="37"/>
        <item x="23"/>
        <item x="257"/>
        <item x="130"/>
        <item x="136"/>
        <item x="225"/>
        <item x="92"/>
        <item x="358"/>
        <item x="239"/>
        <item x="148"/>
        <item x="169"/>
        <item x="250"/>
        <item x="55"/>
        <item x="321"/>
        <item x="188"/>
        <item x="29"/>
        <item x="285"/>
        <item x="122"/>
        <item x="82"/>
        <item x="53"/>
        <item x="206"/>
        <item x="293"/>
        <item x="170"/>
        <item x="36"/>
        <item x="295"/>
        <item x="35"/>
        <item x="292"/>
        <item x="123"/>
        <item x="135"/>
        <item x="80"/>
        <item x="171"/>
        <item x="194"/>
        <item x="352"/>
        <item x="296"/>
        <item x="13"/>
        <item x="325"/>
        <item x="294"/>
        <item x="183"/>
        <item x="241"/>
        <item x="190"/>
        <item x="104"/>
        <item x="66"/>
        <item x="238"/>
        <item x="119"/>
        <item x="9"/>
        <item x="126"/>
        <item x="177"/>
        <item x="262"/>
        <item x="355"/>
        <item x="140"/>
        <item x="307"/>
        <item x="300"/>
        <item x="268"/>
        <item x="85"/>
        <item x="331"/>
        <item x="51"/>
        <item x="45"/>
        <item x="155"/>
        <item x="175"/>
        <item x="91"/>
        <item x="65"/>
        <item x="240"/>
        <item x="311"/>
        <item x="137"/>
        <item x="124"/>
        <item x="222"/>
        <item x="317"/>
        <item x="111"/>
        <item x="44"/>
        <item x="179"/>
        <item x="305"/>
        <item x="2"/>
        <item x="161"/>
        <item x="306"/>
        <item x="62"/>
        <item x="193"/>
        <item x="180"/>
        <item x="314"/>
        <item x="218"/>
        <item x="21"/>
        <item x="351"/>
        <item x="350"/>
        <item x="70"/>
        <item x="357"/>
        <item x="0"/>
        <item x="316"/>
        <item x="301"/>
        <item x="348"/>
        <item x="49"/>
        <item x="217"/>
        <item x="322"/>
        <item x="353"/>
        <item x="14"/>
        <item x="1"/>
        <item x="335"/>
        <item x="340"/>
        <item x="363"/>
        <item x="205"/>
        <item x="259"/>
        <item x="203"/>
        <item x="272"/>
        <item x="260"/>
        <item x="30"/>
        <item x="195"/>
        <item x="4"/>
        <item x="192"/>
        <item x="210"/>
        <item x="320"/>
        <item x="103"/>
        <item x="328"/>
        <item x="319"/>
        <item x="248"/>
        <item x="297"/>
        <item x="102"/>
        <item x="33"/>
        <item x="186"/>
        <item x="347"/>
        <item x="233"/>
        <item x="198"/>
        <item x="256"/>
        <item x="284"/>
        <item x="223"/>
        <item x="267"/>
        <item x="3"/>
        <item x="99"/>
        <item x="220"/>
        <item x="338"/>
        <item x="98"/>
        <item x="58"/>
        <item x="75"/>
        <item x="291"/>
        <item x="315"/>
        <item x="114"/>
        <item x="64"/>
        <item x="201"/>
        <item x="213"/>
        <item x="164"/>
        <item x="160"/>
        <item x="7"/>
        <item x="298"/>
        <item x="199"/>
        <item x="313"/>
        <item x="364"/>
        <item x="286"/>
        <item x="277"/>
        <item x="308"/>
        <item x="158"/>
        <item x="253"/>
        <item x="173"/>
        <item x="141"/>
        <item x="95"/>
        <item x="288"/>
        <item x="87"/>
        <item x="362"/>
        <item x="69"/>
        <item x="273"/>
        <item x="11"/>
        <item x="110"/>
        <item x="254"/>
        <item x="63"/>
        <item x="86"/>
        <item x="79"/>
        <item x="156"/>
        <item x="209"/>
        <item x="149"/>
        <item x="245"/>
        <item x="312"/>
        <item x="20"/>
        <item x="226"/>
        <item x="172"/>
        <item x="77"/>
        <item x="234"/>
        <item x="349"/>
        <item x="145"/>
        <item x="97"/>
        <item x="204"/>
        <item x="146"/>
        <item x="330"/>
        <item x="127"/>
        <item x="337"/>
        <item x="185"/>
        <item x="17"/>
        <item x="5"/>
        <item x="48"/>
        <item x="214"/>
        <item x="32"/>
        <item x="181"/>
        <item x="150"/>
        <item x="279"/>
        <item x="84"/>
        <item x="19"/>
        <item x="40"/>
        <item x="153"/>
        <item x="237"/>
        <item x="68"/>
        <item x="41"/>
        <item x="341"/>
        <item x="258"/>
        <item x="39"/>
        <item x="129"/>
        <item x="184"/>
        <item x="157"/>
        <item x="132"/>
        <item x="139"/>
        <item x="67"/>
        <item x="327"/>
        <item x="10"/>
        <item x="116"/>
        <item x="359"/>
        <item x="152"/>
        <item x="81"/>
        <item x="344"/>
        <item x="115"/>
        <item x="52"/>
        <item x="278"/>
        <item x="202"/>
        <item x="128"/>
        <item x="143"/>
        <item x="197"/>
        <item x="47"/>
        <item x="290"/>
        <item x="261"/>
        <item x="78"/>
        <item x="264"/>
        <item x="333"/>
        <item x="61"/>
        <item x="336"/>
        <item x="93"/>
        <item x="252"/>
        <item x="339"/>
        <item x="309"/>
        <item x="72"/>
        <item x="163"/>
        <item x="324"/>
        <item x="56"/>
        <item x="38"/>
        <item x="304"/>
        <item x="208"/>
        <item x="323"/>
        <item x="6"/>
        <item x="121"/>
        <item x="18"/>
        <item x="269"/>
        <item x="113"/>
        <item x="207"/>
        <item x="242"/>
        <item x="216"/>
        <item x="90"/>
        <item x="76"/>
        <item x="229"/>
        <item x="131"/>
        <item x="282"/>
        <item x="60"/>
        <item x="318"/>
        <item x="266"/>
        <item x="74"/>
        <item x="247"/>
        <item x="117"/>
        <item x="326"/>
        <item t="default"/>
      </items>
    </pivotField>
    <pivotField showAll="0"/>
    <pivotField showAll="0">
      <items count="51">
        <item x="30"/>
        <item x="48"/>
        <item x="14"/>
        <item x="27"/>
        <item x="40"/>
        <item x="38"/>
        <item x="8"/>
        <item x="15"/>
        <item x="32"/>
        <item x="29"/>
        <item x="47"/>
        <item x="16"/>
        <item x="42"/>
        <item x="12"/>
        <item x="1"/>
        <item x="37"/>
        <item x="36"/>
        <item x="20"/>
        <item x="31"/>
        <item x="28"/>
        <item x="23"/>
        <item x="0"/>
        <item x="2"/>
        <item x="13"/>
        <item x="39"/>
        <item x="19"/>
        <item x="24"/>
        <item x="17"/>
        <item x="45"/>
        <item x="18"/>
        <item x="3"/>
        <item x="43"/>
        <item x="7"/>
        <item x="6"/>
        <item x="41"/>
        <item x="21"/>
        <item x="25"/>
        <item x="33"/>
        <item x="11"/>
        <item x="44"/>
        <item x="26"/>
        <item x="9"/>
        <item x="4"/>
        <item x="46"/>
        <item x="49"/>
        <item x="5"/>
        <item x="10"/>
        <item x="34"/>
        <item x="35"/>
        <item x="22"/>
        <item t="default"/>
      </items>
    </pivotField>
    <pivotField showAll="0"/>
    <pivotField showAll="0"/>
    <pivotField showAll="0">
      <items count="6">
        <item x="2"/>
        <item x="4"/>
        <item x="1"/>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9"/>
  </rowFields>
  <rowItems count="5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293E4CF-9C26-41C1-9876-05181F657464}" name="PivotTable12" cacheId="0"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H43" firstHeaderRow="0" firstDataRow="0" firstDataCol="0"/>
  <pivotFields count="32">
    <pivotField showAll="0"/>
    <pivotField showAll="0"/>
    <pivotField showAll="0"/>
    <pivotField showAll="0"/>
    <pivotField showAll="0"/>
    <pivotField showAll="0">
      <items count="4">
        <item x="1"/>
        <item x="0"/>
        <item x="2"/>
        <item t="default"/>
      </items>
    </pivotField>
    <pivotField showAll="0">
      <items count="9">
        <item x="5"/>
        <item x="7"/>
        <item x="1"/>
        <item x="3"/>
        <item x="4"/>
        <item x="2"/>
        <item x="0"/>
        <item x="6"/>
        <item t="default"/>
      </items>
    </pivotField>
    <pivotField showAll="0"/>
    <pivotField showAll="0"/>
    <pivotField showAll="0"/>
    <pivotField showAll="0">
      <items count="366">
        <item x="16"/>
        <item x="200"/>
        <item x="57"/>
        <item x="244"/>
        <item x="287"/>
        <item x="246"/>
        <item x="283"/>
        <item x="120"/>
        <item x="342"/>
        <item x="147"/>
        <item x="276"/>
        <item x="133"/>
        <item x="28"/>
        <item x="134"/>
        <item x="215"/>
        <item x="12"/>
        <item x="178"/>
        <item x="59"/>
        <item x="109"/>
        <item x="101"/>
        <item x="289"/>
        <item x="281"/>
        <item x="159"/>
        <item x="221"/>
        <item x="343"/>
        <item x="224"/>
        <item x="43"/>
        <item x="100"/>
        <item x="107"/>
        <item x="231"/>
        <item x="212"/>
        <item x="271"/>
        <item x="361"/>
        <item x="310"/>
        <item x="168"/>
        <item x="31"/>
        <item x="8"/>
        <item x="73"/>
        <item x="144"/>
        <item x="228"/>
        <item x="154"/>
        <item x="174"/>
        <item x="46"/>
        <item x="232"/>
        <item x="280"/>
        <item x="166"/>
        <item x="243"/>
        <item x="26"/>
        <item x="167"/>
        <item x="354"/>
        <item x="176"/>
        <item x="83"/>
        <item x="15"/>
        <item x="219"/>
        <item x="270"/>
        <item x="345"/>
        <item x="142"/>
        <item x="227"/>
        <item x="302"/>
        <item x="230"/>
        <item x="118"/>
        <item x="162"/>
        <item x="165"/>
        <item x="346"/>
        <item x="236"/>
        <item x="187"/>
        <item x="108"/>
        <item x="255"/>
        <item x="125"/>
        <item x="196"/>
        <item x="182"/>
        <item x="96"/>
        <item x="299"/>
        <item x="191"/>
        <item x="88"/>
        <item x="151"/>
        <item x="263"/>
        <item x="22"/>
        <item x="356"/>
        <item x="138"/>
        <item x="105"/>
        <item x="71"/>
        <item x="25"/>
        <item x="249"/>
        <item x="50"/>
        <item x="24"/>
        <item x="251"/>
        <item x="265"/>
        <item x="54"/>
        <item x="42"/>
        <item x="106"/>
        <item x="235"/>
        <item x="189"/>
        <item x="94"/>
        <item x="332"/>
        <item x="34"/>
        <item x="303"/>
        <item x="334"/>
        <item x="329"/>
        <item x="360"/>
        <item x="89"/>
        <item x="27"/>
        <item x="112"/>
        <item x="274"/>
        <item x="211"/>
        <item x="275"/>
        <item x="37"/>
        <item x="23"/>
        <item x="257"/>
        <item x="130"/>
        <item x="136"/>
        <item x="225"/>
        <item x="92"/>
        <item x="358"/>
        <item x="239"/>
        <item x="148"/>
        <item x="169"/>
        <item x="250"/>
        <item x="55"/>
        <item x="321"/>
        <item x="188"/>
        <item x="29"/>
        <item x="285"/>
        <item x="122"/>
        <item x="82"/>
        <item x="53"/>
        <item x="206"/>
        <item x="293"/>
        <item x="170"/>
        <item x="36"/>
        <item x="295"/>
        <item x="35"/>
        <item x="292"/>
        <item x="123"/>
        <item x="135"/>
        <item x="80"/>
        <item x="171"/>
        <item x="194"/>
        <item x="352"/>
        <item x="296"/>
        <item x="13"/>
        <item x="325"/>
        <item x="294"/>
        <item x="183"/>
        <item x="241"/>
        <item x="190"/>
        <item x="104"/>
        <item x="66"/>
        <item x="238"/>
        <item x="119"/>
        <item x="9"/>
        <item x="126"/>
        <item x="177"/>
        <item x="262"/>
        <item x="355"/>
        <item x="140"/>
        <item x="307"/>
        <item x="300"/>
        <item x="268"/>
        <item x="85"/>
        <item x="331"/>
        <item x="51"/>
        <item x="45"/>
        <item x="155"/>
        <item x="175"/>
        <item x="91"/>
        <item x="65"/>
        <item x="240"/>
        <item x="311"/>
        <item x="137"/>
        <item x="124"/>
        <item x="222"/>
        <item x="317"/>
        <item x="111"/>
        <item x="44"/>
        <item x="179"/>
        <item x="305"/>
        <item x="2"/>
        <item x="161"/>
        <item x="306"/>
        <item x="62"/>
        <item x="193"/>
        <item x="180"/>
        <item x="314"/>
        <item x="218"/>
        <item x="21"/>
        <item x="351"/>
        <item x="350"/>
        <item x="70"/>
        <item x="357"/>
        <item x="0"/>
        <item x="316"/>
        <item x="301"/>
        <item x="348"/>
        <item x="49"/>
        <item x="217"/>
        <item x="322"/>
        <item x="353"/>
        <item x="14"/>
        <item x="1"/>
        <item x="335"/>
        <item x="340"/>
        <item x="363"/>
        <item x="205"/>
        <item x="259"/>
        <item x="203"/>
        <item x="272"/>
        <item x="260"/>
        <item x="30"/>
        <item x="195"/>
        <item x="4"/>
        <item x="192"/>
        <item x="210"/>
        <item x="320"/>
        <item x="103"/>
        <item x="328"/>
        <item x="319"/>
        <item x="248"/>
        <item x="297"/>
        <item x="102"/>
        <item x="33"/>
        <item x="186"/>
        <item x="347"/>
        <item x="233"/>
        <item x="198"/>
        <item x="256"/>
        <item x="284"/>
        <item x="223"/>
        <item x="267"/>
        <item x="3"/>
        <item x="99"/>
        <item x="220"/>
        <item x="338"/>
        <item x="98"/>
        <item x="58"/>
        <item x="75"/>
        <item x="291"/>
        <item x="315"/>
        <item x="114"/>
        <item x="64"/>
        <item x="201"/>
        <item x="213"/>
        <item x="164"/>
        <item x="160"/>
        <item x="7"/>
        <item x="298"/>
        <item x="199"/>
        <item x="313"/>
        <item x="364"/>
        <item x="286"/>
        <item x="277"/>
        <item x="308"/>
        <item x="158"/>
        <item x="253"/>
        <item x="173"/>
        <item x="141"/>
        <item x="95"/>
        <item x="288"/>
        <item x="87"/>
        <item x="362"/>
        <item x="69"/>
        <item x="273"/>
        <item x="11"/>
        <item x="110"/>
        <item x="254"/>
        <item x="63"/>
        <item x="86"/>
        <item x="79"/>
        <item x="156"/>
        <item x="209"/>
        <item x="149"/>
        <item x="245"/>
        <item x="312"/>
        <item x="20"/>
        <item x="226"/>
        <item x="172"/>
        <item x="77"/>
        <item x="234"/>
        <item x="349"/>
        <item x="145"/>
        <item x="97"/>
        <item x="204"/>
        <item x="146"/>
        <item x="330"/>
        <item x="127"/>
        <item x="337"/>
        <item x="185"/>
        <item x="17"/>
        <item x="5"/>
        <item x="48"/>
        <item x="214"/>
        <item x="32"/>
        <item x="181"/>
        <item x="150"/>
        <item x="279"/>
        <item x="84"/>
        <item x="19"/>
        <item x="40"/>
        <item x="153"/>
        <item x="237"/>
        <item x="68"/>
        <item x="41"/>
        <item x="341"/>
        <item x="258"/>
        <item x="39"/>
        <item x="129"/>
        <item x="184"/>
        <item x="157"/>
        <item x="132"/>
        <item x="139"/>
        <item x="67"/>
        <item x="327"/>
        <item x="10"/>
        <item x="116"/>
        <item x="359"/>
        <item x="152"/>
        <item x="81"/>
        <item x="344"/>
        <item x="115"/>
        <item x="52"/>
        <item x="278"/>
        <item x="202"/>
        <item x="128"/>
        <item x="143"/>
        <item x="197"/>
        <item x="47"/>
        <item x="290"/>
        <item x="261"/>
        <item x="78"/>
        <item x="264"/>
        <item x="333"/>
        <item x="61"/>
        <item x="336"/>
        <item x="93"/>
        <item x="252"/>
        <item x="339"/>
        <item x="309"/>
        <item x="72"/>
        <item x="163"/>
        <item x="324"/>
        <item x="56"/>
        <item x="38"/>
        <item x="304"/>
        <item x="208"/>
        <item x="323"/>
        <item x="6"/>
        <item x="121"/>
        <item x="18"/>
        <item x="269"/>
        <item x="113"/>
        <item x="207"/>
        <item x="242"/>
        <item x="216"/>
        <item x="90"/>
        <item x="76"/>
        <item x="229"/>
        <item x="131"/>
        <item x="282"/>
        <item x="60"/>
        <item x="318"/>
        <item x="266"/>
        <item x="74"/>
        <item x="247"/>
        <item x="117"/>
        <item x="326"/>
        <item t="default"/>
      </items>
    </pivotField>
    <pivotField showAll="0"/>
    <pivotField axis="axisRow" showAll="0">
      <items count="51">
        <item x="30"/>
        <item x="48"/>
        <item x="14"/>
        <item x="27"/>
        <item x="40"/>
        <item x="38"/>
        <item x="8"/>
        <item x="15"/>
        <item x="32"/>
        <item x="29"/>
        <item x="47"/>
        <item x="16"/>
        <item x="42"/>
        <item x="12"/>
        <item x="1"/>
        <item x="37"/>
        <item x="36"/>
        <item x="20"/>
        <item x="31"/>
        <item x="28"/>
        <item x="23"/>
        <item x="0"/>
        <item x="2"/>
        <item x="13"/>
        <item x="39"/>
        <item x="19"/>
        <item x="24"/>
        <item x="17"/>
        <item x="45"/>
        <item x="18"/>
        <item x="3"/>
        <item x="43"/>
        <item x="7"/>
        <item x="6"/>
        <item x="41"/>
        <item x="21"/>
        <item x="25"/>
        <item x="33"/>
        <item x="11"/>
        <item x="44"/>
        <item x="26"/>
        <item x="9"/>
        <item x="4"/>
        <item x="46"/>
        <item x="49"/>
        <item x="5"/>
        <item x="10"/>
        <item x="34"/>
        <item x="35"/>
        <item x="22"/>
        <item t="default"/>
      </items>
    </pivotField>
    <pivotField showAll="0"/>
    <pivotField showAll="0"/>
    <pivotField showAll="0">
      <items count="6">
        <item x="2"/>
        <item x="4"/>
        <item x="1"/>
        <item x="3"/>
        <item x="0"/>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2"/>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Sum of Amount_with_Delivery_Charge " fld="2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DE2FB4D-834E-4E46-B18F-7200DF10172C}" name="PivotTable15" cacheId="0"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B58:B59" firstHeaderRow="1" firstDataRow="1" firstDataCol="0"/>
  <pivotFields count="32">
    <pivotField showAll="0"/>
    <pivotField showAll="0"/>
    <pivotField showAll="0"/>
    <pivotField showAll="0"/>
    <pivotField showAll="0"/>
    <pivotField showAll="0">
      <items count="4">
        <item x="1"/>
        <item x="0"/>
        <item x="2"/>
        <item t="default"/>
      </items>
    </pivotField>
    <pivotField showAll="0">
      <items count="9">
        <item x="5"/>
        <item x="7"/>
        <item x="1"/>
        <item x="3"/>
        <item x="4"/>
        <item x="2"/>
        <item x="0"/>
        <item x="6"/>
        <item t="default"/>
      </items>
    </pivotField>
    <pivotField showAll="0"/>
    <pivotField showAll="0"/>
    <pivotField showAll="0"/>
    <pivotField showAll="0">
      <items count="366">
        <item x="16"/>
        <item x="200"/>
        <item x="57"/>
        <item x="244"/>
        <item x="287"/>
        <item x="246"/>
        <item x="283"/>
        <item x="120"/>
        <item x="342"/>
        <item x="147"/>
        <item x="276"/>
        <item x="133"/>
        <item x="28"/>
        <item x="134"/>
        <item x="215"/>
        <item x="12"/>
        <item x="178"/>
        <item x="59"/>
        <item x="109"/>
        <item x="101"/>
        <item x="289"/>
        <item x="281"/>
        <item x="159"/>
        <item x="221"/>
        <item x="343"/>
        <item x="224"/>
        <item x="43"/>
        <item x="100"/>
        <item x="107"/>
        <item x="231"/>
        <item x="212"/>
        <item x="271"/>
        <item x="361"/>
        <item x="310"/>
        <item x="168"/>
        <item x="31"/>
        <item x="8"/>
        <item x="73"/>
        <item x="144"/>
        <item x="228"/>
        <item x="154"/>
        <item x="174"/>
        <item x="46"/>
        <item x="232"/>
        <item x="280"/>
        <item x="166"/>
        <item x="243"/>
        <item x="26"/>
        <item x="167"/>
        <item x="354"/>
        <item x="176"/>
        <item x="83"/>
        <item x="15"/>
        <item x="219"/>
        <item x="270"/>
        <item x="345"/>
        <item x="142"/>
        <item x="227"/>
        <item x="302"/>
        <item x="230"/>
        <item x="118"/>
        <item x="162"/>
        <item x="165"/>
        <item x="346"/>
        <item x="236"/>
        <item x="187"/>
        <item x="108"/>
        <item x="255"/>
        <item x="125"/>
        <item x="196"/>
        <item x="182"/>
        <item x="96"/>
        <item x="299"/>
        <item x="191"/>
        <item x="88"/>
        <item x="151"/>
        <item x="263"/>
        <item x="22"/>
        <item x="356"/>
        <item x="138"/>
        <item x="105"/>
        <item x="71"/>
        <item x="25"/>
        <item x="249"/>
        <item x="50"/>
        <item x="24"/>
        <item x="251"/>
        <item x="265"/>
        <item x="54"/>
        <item x="42"/>
        <item x="106"/>
        <item x="235"/>
        <item x="189"/>
        <item x="94"/>
        <item x="332"/>
        <item x="34"/>
        <item x="303"/>
        <item x="334"/>
        <item x="329"/>
        <item x="360"/>
        <item x="89"/>
        <item x="27"/>
        <item x="112"/>
        <item x="274"/>
        <item x="211"/>
        <item x="275"/>
        <item x="37"/>
        <item x="23"/>
        <item x="257"/>
        <item x="130"/>
        <item x="136"/>
        <item x="225"/>
        <item x="92"/>
        <item x="358"/>
        <item x="239"/>
        <item x="148"/>
        <item x="169"/>
        <item x="250"/>
        <item x="55"/>
        <item x="321"/>
        <item x="188"/>
        <item x="29"/>
        <item x="285"/>
        <item x="122"/>
        <item x="82"/>
        <item x="53"/>
        <item x="206"/>
        <item x="293"/>
        <item x="170"/>
        <item x="36"/>
        <item x="295"/>
        <item x="35"/>
        <item x="292"/>
        <item x="123"/>
        <item x="135"/>
        <item x="80"/>
        <item x="171"/>
        <item x="194"/>
        <item x="352"/>
        <item x="296"/>
        <item x="13"/>
        <item x="325"/>
        <item x="294"/>
        <item x="183"/>
        <item x="241"/>
        <item x="190"/>
        <item x="104"/>
        <item x="66"/>
        <item x="238"/>
        <item x="119"/>
        <item x="9"/>
        <item x="126"/>
        <item x="177"/>
        <item x="262"/>
        <item x="355"/>
        <item x="140"/>
        <item x="307"/>
        <item x="300"/>
        <item x="268"/>
        <item x="85"/>
        <item x="331"/>
        <item x="51"/>
        <item x="45"/>
        <item x="155"/>
        <item x="175"/>
        <item x="91"/>
        <item x="65"/>
        <item x="240"/>
        <item x="311"/>
        <item x="137"/>
        <item x="124"/>
        <item x="222"/>
        <item x="317"/>
        <item x="111"/>
        <item x="44"/>
        <item x="179"/>
        <item x="305"/>
        <item x="2"/>
        <item x="161"/>
        <item x="306"/>
        <item x="62"/>
        <item x="193"/>
        <item x="180"/>
        <item x="314"/>
        <item x="218"/>
        <item x="21"/>
        <item x="351"/>
        <item x="350"/>
        <item x="70"/>
        <item x="357"/>
        <item x="0"/>
        <item x="316"/>
        <item x="301"/>
        <item x="348"/>
        <item x="49"/>
        <item x="217"/>
        <item x="322"/>
        <item x="353"/>
        <item x="14"/>
        <item x="1"/>
        <item x="335"/>
        <item x="340"/>
        <item x="363"/>
        <item x="205"/>
        <item x="259"/>
        <item x="203"/>
        <item x="272"/>
        <item x="260"/>
        <item x="30"/>
        <item x="195"/>
        <item x="4"/>
        <item x="192"/>
        <item x="210"/>
        <item x="320"/>
        <item x="103"/>
        <item x="328"/>
        <item x="319"/>
        <item x="248"/>
        <item x="297"/>
        <item x="102"/>
        <item x="33"/>
        <item x="186"/>
        <item x="347"/>
        <item x="233"/>
        <item x="198"/>
        <item x="256"/>
        <item x="284"/>
        <item x="223"/>
        <item x="267"/>
        <item x="3"/>
        <item x="99"/>
        <item x="220"/>
        <item x="338"/>
        <item x="98"/>
        <item x="58"/>
        <item x="75"/>
        <item x="291"/>
        <item x="315"/>
        <item x="114"/>
        <item x="64"/>
        <item x="201"/>
        <item x="213"/>
        <item x="164"/>
        <item x="160"/>
        <item x="7"/>
        <item x="298"/>
        <item x="199"/>
        <item x="313"/>
        <item x="364"/>
        <item x="286"/>
        <item x="277"/>
        <item x="308"/>
        <item x="158"/>
        <item x="253"/>
        <item x="173"/>
        <item x="141"/>
        <item x="95"/>
        <item x="288"/>
        <item x="87"/>
        <item x="362"/>
        <item x="69"/>
        <item x="273"/>
        <item x="11"/>
        <item x="110"/>
        <item x="254"/>
        <item x="63"/>
        <item x="86"/>
        <item x="79"/>
        <item x="156"/>
        <item x="209"/>
        <item x="149"/>
        <item x="245"/>
        <item x="312"/>
        <item x="20"/>
        <item x="226"/>
        <item x="172"/>
        <item x="77"/>
        <item x="234"/>
        <item x="349"/>
        <item x="145"/>
        <item x="97"/>
        <item x="204"/>
        <item x="146"/>
        <item x="330"/>
        <item x="127"/>
        <item x="337"/>
        <item x="185"/>
        <item x="17"/>
        <item x="5"/>
        <item x="48"/>
        <item x="214"/>
        <item x="32"/>
        <item x="181"/>
        <item x="150"/>
        <item x="279"/>
        <item x="84"/>
        <item x="19"/>
        <item x="40"/>
        <item x="153"/>
        <item x="237"/>
        <item x="68"/>
        <item x="41"/>
        <item x="341"/>
        <item x="258"/>
        <item x="39"/>
        <item x="129"/>
        <item x="184"/>
        <item x="157"/>
        <item x="132"/>
        <item x="139"/>
        <item x="67"/>
        <item x="327"/>
        <item x="10"/>
        <item x="116"/>
        <item x="359"/>
        <item x="152"/>
        <item x="81"/>
        <item x="344"/>
        <item x="115"/>
        <item x="52"/>
        <item x="278"/>
        <item x="202"/>
        <item x="128"/>
        <item x="143"/>
        <item x="197"/>
        <item x="47"/>
        <item x="290"/>
        <item x="261"/>
        <item x="78"/>
        <item x="264"/>
        <item x="333"/>
        <item x="61"/>
        <item x="336"/>
        <item x="93"/>
        <item x="252"/>
        <item x="339"/>
        <item x="309"/>
        <item x="72"/>
        <item x="163"/>
        <item x="324"/>
        <item x="56"/>
        <item x="38"/>
        <item x="304"/>
        <item x="208"/>
        <item x="323"/>
        <item x="6"/>
        <item x="121"/>
        <item x="18"/>
        <item x="269"/>
        <item x="113"/>
        <item x="207"/>
        <item x="242"/>
        <item x="216"/>
        <item x="90"/>
        <item x="76"/>
        <item x="229"/>
        <item x="131"/>
        <item x="282"/>
        <item x="60"/>
        <item x="318"/>
        <item x="266"/>
        <item x="74"/>
        <item x="247"/>
        <item x="117"/>
        <item x="326"/>
        <item t="default"/>
      </items>
    </pivotField>
    <pivotField showAll="0"/>
    <pivotField showAll="0">
      <items count="51">
        <item x="30"/>
        <item x="48"/>
        <item x="14"/>
        <item x="27"/>
        <item x="40"/>
        <item x="38"/>
        <item x="8"/>
        <item x="15"/>
        <item x="32"/>
        <item x="29"/>
        <item x="47"/>
        <item x="16"/>
        <item x="42"/>
        <item x="12"/>
        <item x="1"/>
        <item x="37"/>
        <item x="36"/>
        <item x="20"/>
        <item x="31"/>
        <item x="28"/>
        <item x="23"/>
        <item x="0"/>
        <item x="2"/>
        <item x="13"/>
        <item x="39"/>
        <item x="19"/>
        <item x="24"/>
        <item x="17"/>
        <item x="45"/>
        <item x="18"/>
        <item x="3"/>
        <item x="43"/>
        <item x="7"/>
        <item x="6"/>
        <item x="41"/>
        <item x="21"/>
        <item x="25"/>
        <item x="33"/>
        <item x="11"/>
        <item x="44"/>
        <item x="26"/>
        <item x="9"/>
        <item x="4"/>
        <item x="46"/>
        <item x="49"/>
        <item x="5"/>
        <item x="10"/>
        <item x="34"/>
        <item x="35"/>
        <item x="22"/>
        <item t="default"/>
      </items>
    </pivotField>
    <pivotField showAll="0"/>
    <pivotField showAll="0"/>
    <pivotField showAll="0">
      <items count="6">
        <item x="2"/>
        <item x="4"/>
        <item x="1"/>
        <item x="3"/>
        <item x="0"/>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Discount_Amount" fld="23" baseField="0" baseItem="0"/>
  </dataFields>
  <formats count="1">
    <format dxfId="5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9879BE5-769C-4D95-8BA7-A9B5EA87143F}" name="PivotTable2" cacheId="0"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E23:E24" firstHeaderRow="1" firstDataRow="1" firstDataCol="0"/>
  <pivotFields count="32">
    <pivotField showAll="0"/>
    <pivotField showAll="0"/>
    <pivotField showAll="0"/>
    <pivotField showAll="0"/>
    <pivotField showAll="0"/>
    <pivotField showAll="0">
      <items count="4">
        <item x="1"/>
        <item x="0"/>
        <item x="2"/>
        <item t="default"/>
      </items>
    </pivotField>
    <pivotField showAll="0">
      <items count="9">
        <item x="5"/>
        <item x="7"/>
        <item x="1"/>
        <item x="3"/>
        <item x="4"/>
        <item x="2"/>
        <item x="0"/>
        <item x="6"/>
        <item t="default"/>
      </items>
    </pivotField>
    <pivotField showAll="0"/>
    <pivotField showAll="0"/>
    <pivotField showAll="0"/>
    <pivotField showAll="0">
      <items count="366">
        <item x="16"/>
        <item x="200"/>
        <item x="57"/>
        <item x="244"/>
        <item x="287"/>
        <item x="246"/>
        <item x="283"/>
        <item x="120"/>
        <item x="342"/>
        <item x="147"/>
        <item x="276"/>
        <item x="133"/>
        <item x="28"/>
        <item x="134"/>
        <item x="215"/>
        <item x="12"/>
        <item x="178"/>
        <item x="59"/>
        <item x="109"/>
        <item x="101"/>
        <item x="289"/>
        <item x="281"/>
        <item x="159"/>
        <item x="221"/>
        <item x="343"/>
        <item x="224"/>
        <item x="43"/>
        <item x="100"/>
        <item x="107"/>
        <item x="231"/>
        <item x="212"/>
        <item x="271"/>
        <item x="361"/>
        <item x="310"/>
        <item x="168"/>
        <item x="31"/>
        <item x="8"/>
        <item x="73"/>
        <item x="144"/>
        <item x="228"/>
        <item x="154"/>
        <item x="174"/>
        <item x="46"/>
        <item x="232"/>
        <item x="280"/>
        <item x="166"/>
        <item x="243"/>
        <item x="26"/>
        <item x="167"/>
        <item x="354"/>
        <item x="176"/>
        <item x="83"/>
        <item x="15"/>
        <item x="219"/>
        <item x="270"/>
        <item x="345"/>
        <item x="142"/>
        <item x="227"/>
        <item x="302"/>
        <item x="230"/>
        <item x="118"/>
        <item x="162"/>
        <item x="165"/>
        <item x="346"/>
        <item x="236"/>
        <item x="187"/>
        <item x="108"/>
        <item x="255"/>
        <item x="125"/>
        <item x="196"/>
        <item x="182"/>
        <item x="96"/>
        <item x="299"/>
        <item x="191"/>
        <item x="88"/>
        <item x="151"/>
        <item x="263"/>
        <item x="22"/>
        <item x="356"/>
        <item x="138"/>
        <item x="105"/>
        <item x="71"/>
        <item x="25"/>
        <item x="249"/>
        <item x="50"/>
        <item x="24"/>
        <item x="251"/>
        <item x="265"/>
        <item x="54"/>
        <item x="42"/>
        <item x="106"/>
        <item x="235"/>
        <item x="189"/>
        <item x="94"/>
        <item x="332"/>
        <item x="34"/>
        <item x="303"/>
        <item x="334"/>
        <item x="329"/>
        <item x="360"/>
        <item x="89"/>
        <item x="27"/>
        <item x="112"/>
        <item x="274"/>
        <item x="211"/>
        <item x="275"/>
        <item x="37"/>
        <item x="23"/>
        <item x="257"/>
        <item x="130"/>
        <item x="136"/>
        <item x="225"/>
        <item x="92"/>
        <item x="358"/>
        <item x="239"/>
        <item x="148"/>
        <item x="169"/>
        <item x="250"/>
        <item x="55"/>
        <item x="321"/>
        <item x="188"/>
        <item x="29"/>
        <item x="285"/>
        <item x="122"/>
        <item x="82"/>
        <item x="53"/>
        <item x="206"/>
        <item x="293"/>
        <item x="170"/>
        <item x="36"/>
        <item x="295"/>
        <item x="35"/>
        <item x="292"/>
        <item x="123"/>
        <item x="135"/>
        <item x="80"/>
        <item x="171"/>
        <item x="194"/>
        <item x="352"/>
        <item x="296"/>
        <item x="13"/>
        <item x="325"/>
        <item x="294"/>
        <item x="183"/>
        <item x="241"/>
        <item x="190"/>
        <item x="104"/>
        <item x="66"/>
        <item x="238"/>
        <item x="119"/>
        <item x="9"/>
        <item x="126"/>
        <item x="177"/>
        <item x="262"/>
        <item x="355"/>
        <item x="140"/>
        <item x="307"/>
        <item x="300"/>
        <item x="268"/>
        <item x="85"/>
        <item x="331"/>
        <item x="51"/>
        <item x="45"/>
        <item x="155"/>
        <item x="175"/>
        <item x="91"/>
        <item x="65"/>
        <item x="240"/>
        <item x="311"/>
        <item x="137"/>
        <item x="124"/>
        <item x="222"/>
        <item x="317"/>
        <item x="111"/>
        <item x="44"/>
        <item x="179"/>
        <item x="305"/>
        <item x="2"/>
        <item x="161"/>
        <item x="306"/>
        <item x="62"/>
        <item x="193"/>
        <item x="180"/>
        <item x="314"/>
        <item x="218"/>
        <item x="21"/>
        <item x="351"/>
        <item x="350"/>
        <item x="70"/>
        <item x="357"/>
        <item x="0"/>
        <item x="316"/>
        <item x="301"/>
        <item x="348"/>
        <item x="49"/>
        <item x="217"/>
        <item x="322"/>
        <item x="353"/>
        <item x="14"/>
        <item x="1"/>
        <item x="335"/>
        <item x="340"/>
        <item x="363"/>
        <item x="205"/>
        <item x="259"/>
        <item x="203"/>
        <item x="272"/>
        <item x="260"/>
        <item x="30"/>
        <item x="195"/>
        <item x="4"/>
        <item x="192"/>
        <item x="210"/>
        <item x="320"/>
        <item x="103"/>
        <item x="328"/>
        <item x="319"/>
        <item x="248"/>
        <item x="297"/>
        <item x="102"/>
        <item x="33"/>
        <item x="186"/>
        <item x="347"/>
        <item x="233"/>
        <item x="198"/>
        <item x="256"/>
        <item x="284"/>
        <item x="223"/>
        <item x="267"/>
        <item x="3"/>
        <item x="99"/>
        <item x="220"/>
        <item x="338"/>
        <item x="98"/>
        <item x="58"/>
        <item x="75"/>
        <item x="291"/>
        <item x="315"/>
        <item x="114"/>
        <item x="64"/>
        <item x="201"/>
        <item x="213"/>
        <item x="164"/>
        <item x="160"/>
        <item x="7"/>
        <item x="298"/>
        <item x="199"/>
        <item x="313"/>
        <item x="364"/>
        <item x="286"/>
        <item x="277"/>
        <item x="308"/>
        <item x="158"/>
        <item x="253"/>
        <item x="173"/>
        <item x="141"/>
        <item x="95"/>
        <item x="288"/>
        <item x="87"/>
        <item x="362"/>
        <item x="69"/>
        <item x="273"/>
        <item x="11"/>
        <item x="110"/>
        <item x="254"/>
        <item x="63"/>
        <item x="86"/>
        <item x="79"/>
        <item x="156"/>
        <item x="209"/>
        <item x="149"/>
        <item x="245"/>
        <item x="312"/>
        <item x="20"/>
        <item x="226"/>
        <item x="172"/>
        <item x="77"/>
        <item x="234"/>
        <item x="349"/>
        <item x="145"/>
        <item x="97"/>
        <item x="204"/>
        <item x="146"/>
        <item x="330"/>
        <item x="127"/>
        <item x="337"/>
        <item x="185"/>
        <item x="17"/>
        <item x="5"/>
        <item x="48"/>
        <item x="214"/>
        <item x="32"/>
        <item x="181"/>
        <item x="150"/>
        <item x="279"/>
        <item x="84"/>
        <item x="19"/>
        <item x="40"/>
        <item x="153"/>
        <item x="237"/>
        <item x="68"/>
        <item x="41"/>
        <item x="341"/>
        <item x="258"/>
        <item x="39"/>
        <item x="129"/>
        <item x="184"/>
        <item x="157"/>
        <item x="132"/>
        <item x="139"/>
        <item x="67"/>
        <item x="327"/>
        <item x="10"/>
        <item x="116"/>
        <item x="359"/>
        <item x="152"/>
        <item x="81"/>
        <item x="344"/>
        <item x="115"/>
        <item x="52"/>
        <item x="278"/>
        <item x="202"/>
        <item x="128"/>
        <item x="143"/>
        <item x="197"/>
        <item x="47"/>
        <item x="290"/>
        <item x="261"/>
        <item x="78"/>
        <item x="264"/>
        <item x="333"/>
        <item x="61"/>
        <item x="336"/>
        <item x="93"/>
        <item x="252"/>
        <item x="339"/>
        <item x="309"/>
        <item x="72"/>
        <item x="163"/>
        <item x="324"/>
        <item x="56"/>
        <item x="38"/>
        <item x="304"/>
        <item x="208"/>
        <item x="323"/>
        <item x="6"/>
        <item x="121"/>
        <item x="18"/>
        <item x="269"/>
        <item x="113"/>
        <item x="207"/>
        <item x="242"/>
        <item x="216"/>
        <item x="90"/>
        <item x="76"/>
        <item x="229"/>
        <item x="131"/>
        <item x="282"/>
        <item x="60"/>
        <item x="318"/>
        <item x="266"/>
        <item x="74"/>
        <item x="247"/>
        <item x="117"/>
        <item x="326"/>
        <item t="default"/>
      </items>
    </pivotField>
    <pivotField showAll="0"/>
    <pivotField showAll="0">
      <items count="51">
        <item x="30"/>
        <item x="48"/>
        <item x="14"/>
        <item x="27"/>
        <item x="40"/>
        <item x="38"/>
        <item x="8"/>
        <item x="15"/>
        <item x="32"/>
        <item x="29"/>
        <item x="47"/>
        <item x="16"/>
        <item x="42"/>
        <item x="12"/>
        <item x="1"/>
        <item x="37"/>
        <item x="36"/>
        <item x="20"/>
        <item x="31"/>
        <item x="28"/>
        <item x="23"/>
        <item x="0"/>
        <item x="2"/>
        <item x="13"/>
        <item x="39"/>
        <item x="19"/>
        <item x="24"/>
        <item x="17"/>
        <item x="45"/>
        <item x="18"/>
        <item x="3"/>
        <item x="43"/>
        <item x="7"/>
        <item x="6"/>
        <item x="41"/>
        <item x="21"/>
        <item x="25"/>
        <item x="33"/>
        <item x="11"/>
        <item x="44"/>
        <item x="26"/>
        <item x="9"/>
        <item x="4"/>
        <item x="46"/>
        <item x="49"/>
        <item x="5"/>
        <item x="10"/>
        <item x="34"/>
        <item x="35"/>
        <item x="22"/>
        <item t="default"/>
      </items>
    </pivotField>
    <pivotField showAll="0"/>
    <pivotField showAll="0"/>
    <pivotField showAll="0">
      <items count="6">
        <item x="2"/>
        <item x="4"/>
        <item x="1"/>
        <item x="3"/>
        <item x="0"/>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Average of Delivery_Charge" fld="17"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515FC2B-D1B4-4970-A656-72F7AED302B8}" name="PivotTable7" cacheId="0"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B22:B23" firstHeaderRow="1" firstDataRow="1" firstDataCol="0"/>
  <pivotFields count="32">
    <pivotField showAll="0"/>
    <pivotField showAll="0"/>
    <pivotField showAll="0"/>
    <pivotField showAll="0"/>
    <pivotField showAll="0"/>
    <pivotField showAll="0">
      <items count="4">
        <item x="1"/>
        <item x="0"/>
        <item x="2"/>
        <item t="default"/>
      </items>
    </pivotField>
    <pivotField showAll="0">
      <items count="9">
        <item x="5"/>
        <item x="7"/>
        <item x="1"/>
        <item x="3"/>
        <item x="4"/>
        <item x="2"/>
        <item x="0"/>
        <item x="6"/>
        <item t="default"/>
      </items>
    </pivotField>
    <pivotField showAll="0"/>
    <pivotField showAll="0"/>
    <pivotField dataField="1" showAll="0"/>
    <pivotField showAll="0">
      <items count="366">
        <item x="16"/>
        <item x="200"/>
        <item x="57"/>
        <item x="244"/>
        <item x="287"/>
        <item x="246"/>
        <item x="283"/>
        <item x="120"/>
        <item x="342"/>
        <item x="147"/>
        <item x="276"/>
        <item x="133"/>
        <item x="28"/>
        <item x="134"/>
        <item x="215"/>
        <item x="12"/>
        <item x="178"/>
        <item x="59"/>
        <item x="109"/>
        <item x="101"/>
        <item x="289"/>
        <item x="281"/>
        <item x="159"/>
        <item x="221"/>
        <item x="343"/>
        <item x="224"/>
        <item x="43"/>
        <item x="100"/>
        <item x="107"/>
        <item x="231"/>
        <item x="212"/>
        <item x="271"/>
        <item x="361"/>
        <item x="310"/>
        <item x="168"/>
        <item x="31"/>
        <item x="8"/>
        <item x="73"/>
        <item x="144"/>
        <item x="228"/>
        <item x="154"/>
        <item x="174"/>
        <item x="46"/>
        <item x="232"/>
        <item x="280"/>
        <item x="166"/>
        <item x="243"/>
        <item x="26"/>
        <item x="167"/>
        <item x="354"/>
        <item x="176"/>
        <item x="83"/>
        <item x="15"/>
        <item x="219"/>
        <item x="270"/>
        <item x="345"/>
        <item x="142"/>
        <item x="227"/>
        <item x="302"/>
        <item x="230"/>
        <item x="118"/>
        <item x="162"/>
        <item x="165"/>
        <item x="346"/>
        <item x="236"/>
        <item x="187"/>
        <item x="108"/>
        <item x="255"/>
        <item x="125"/>
        <item x="196"/>
        <item x="182"/>
        <item x="96"/>
        <item x="299"/>
        <item x="191"/>
        <item x="88"/>
        <item x="151"/>
        <item x="263"/>
        <item x="22"/>
        <item x="356"/>
        <item x="138"/>
        <item x="105"/>
        <item x="71"/>
        <item x="25"/>
        <item x="249"/>
        <item x="50"/>
        <item x="24"/>
        <item x="251"/>
        <item x="265"/>
        <item x="54"/>
        <item x="42"/>
        <item x="106"/>
        <item x="235"/>
        <item x="189"/>
        <item x="94"/>
        <item x="332"/>
        <item x="34"/>
        <item x="303"/>
        <item x="334"/>
        <item x="329"/>
        <item x="360"/>
        <item x="89"/>
        <item x="27"/>
        <item x="112"/>
        <item x="274"/>
        <item x="211"/>
        <item x="275"/>
        <item x="37"/>
        <item x="23"/>
        <item x="257"/>
        <item x="130"/>
        <item x="136"/>
        <item x="225"/>
        <item x="92"/>
        <item x="358"/>
        <item x="239"/>
        <item x="148"/>
        <item x="169"/>
        <item x="250"/>
        <item x="55"/>
        <item x="321"/>
        <item x="188"/>
        <item x="29"/>
        <item x="285"/>
        <item x="122"/>
        <item x="82"/>
        <item x="53"/>
        <item x="206"/>
        <item x="293"/>
        <item x="170"/>
        <item x="36"/>
        <item x="295"/>
        <item x="35"/>
        <item x="292"/>
        <item x="123"/>
        <item x="135"/>
        <item x="80"/>
        <item x="171"/>
        <item x="194"/>
        <item x="352"/>
        <item x="296"/>
        <item x="13"/>
        <item x="325"/>
        <item x="294"/>
        <item x="183"/>
        <item x="241"/>
        <item x="190"/>
        <item x="104"/>
        <item x="66"/>
        <item x="238"/>
        <item x="119"/>
        <item x="9"/>
        <item x="126"/>
        <item x="177"/>
        <item x="262"/>
        <item x="355"/>
        <item x="140"/>
        <item x="307"/>
        <item x="300"/>
        <item x="268"/>
        <item x="85"/>
        <item x="331"/>
        <item x="51"/>
        <item x="45"/>
        <item x="155"/>
        <item x="175"/>
        <item x="91"/>
        <item x="65"/>
        <item x="240"/>
        <item x="311"/>
        <item x="137"/>
        <item x="124"/>
        <item x="222"/>
        <item x="317"/>
        <item x="111"/>
        <item x="44"/>
        <item x="179"/>
        <item x="305"/>
        <item x="2"/>
        <item x="161"/>
        <item x="306"/>
        <item x="62"/>
        <item x="193"/>
        <item x="180"/>
        <item x="314"/>
        <item x="218"/>
        <item x="21"/>
        <item x="351"/>
        <item x="350"/>
        <item x="70"/>
        <item x="357"/>
        <item x="0"/>
        <item x="316"/>
        <item x="301"/>
        <item x="348"/>
        <item x="49"/>
        <item x="217"/>
        <item x="322"/>
        <item x="353"/>
        <item x="14"/>
        <item x="1"/>
        <item x="335"/>
        <item x="340"/>
        <item x="363"/>
        <item x="205"/>
        <item x="259"/>
        <item x="203"/>
        <item x="272"/>
        <item x="260"/>
        <item x="30"/>
        <item x="195"/>
        <item x="4"/>
        <item x="192"/>
        <item x="210"/>
        <item x="320"/>
        <item x="103"/>
        <item x="328"/>
        <item x="319"/>
        <item x="248"/>
        <item x="297"/>
        <item x="102"/>
        <item x="33"/>
        <item x="186"/>
        <item x="347"/>
        <item x="233"/>
        <item x="198"/>
        <item x="256"/>
        <item x="284"/>
        <item x="223"/>
        <item x="267"/>
        <item x="3"/>
        <item x="99"/>
        <item x="220"/>
        <item x="338"/>
        <item x="98"/>
        <item x="58"/>
        <item x="75"/>
        <item x="291"/>
        <item x="315"/>
        <item x="114"/>
        <item x="64"/>
        <item x="201"/>
        <item x="213"/>
        <item x="164"/>
        <item x="160"/>
        <item x="7"/>
        <item x="298"/>
        <item x="199"/>
        <item x="313"/>
        <item x="364"/>
        <item x="286"/>
        <item x="277"/>
        <item x="308"/>
        <item x="158"/>
        <item x="253"/>
        <item x="173"/>
        <item x="141"/>
        <item x="95"/>
        <item x="288"/>
        <item x="87"/>
        <item x="362"/>
        <item x="69"/>
        <item x="273"/>
        <item x="11"/>
        <item x="110"/>
        <item x="254"/>
        <item x="63"/>
        <item x="86"/>
        <item x="79"/>
        <item x="156"/>
        <item x="209"/>
        <item x="149"/>
        <item x="245"/>
        <item x="312"/>
        <item x="20"/>
        <item x="226"/>
        <item x="172"/>
        <item x="77"/>
        <item x="234"/>
        <item x="349"/>
        <item x="145"/>
        <item x="97"/>
        <item x="204"/>
        <item x="146"/>
        <item x="330"/>
        <item x="127"/>
        <item x="337"/>
        <item x="185"/>
        <item x="17"/>
        <item x="5"/>
        <item x="48"/>
        <item x="214"/>
        <item x="32"/>
        <item x="181"/>
        <item x="150"/>
        <item x="279"/>
        <item x="84"/>
        <item x="19"/>
        <item x="40"/>
        <item x="153"/>
        <item x="237"/>
        <item x="68"/>
        <item x="41"/>
        <item x="341"/>
        <item x="258"/>
        <item x="39"/>
        <item x="129"/>
        <item x="184"/>
        <item x="157"/>
        <item x="132"/>
        <item x="139"/>
        <item x="67"/>
        <item x="327"/>
        <item x="10"/>
        <item x="116"/>
        <item x="359"/>
        <item x="152"/>
        <item x="81"/>
        <item x="344"/>
        <item x="115"/>
        <item x="52"/>
        <item x="278"/>
        <item x="202"/>
        <item x="128"/>
        <item x="143"/>
        <item x="197"/>
        <item x="47"/>
        <item x="290"/>
        <item x="261"/>
        <item x="78"/>
        <item x="264"/>
        <item x="333"/>
        <item x="61"/>
        <item x="336"/>
        <item x="93"/>
        <item x="252"/>
        <item x="339"/>
        <item x="309"/>
        <item x="72"/>
        <item x="163"/>
        <item x="324"/>
        <item x="56"/>
        <item x="38"/>
        <item x="304"/>
        <item x="208"/>
        <item x="323"/>
        <item x="6"/>
        <item x="121"/>
        <item x="18"/>
        <item x="269"/>
        <item x="113"/>
        <item x="207"/>
        <item x="242"/>
        <item x="216"/>
        <item x="90"/>
        <item x="76"/>
        <item x="229"/>
        <item x="131"/>
        <item x="282"/>
        <item x="60"/>
        <item x="318"/>
        <item x="266"/>
        <item x="74"/>
        <item x="247"/>
        <item x="117"/>
        <item x="326"/>
        <item t="default"/>
      </items>
    </pivotField>
    <pivotField showAll="0"/>
    <pivotField showAll="0">
      <items count="51">
        <item x="30"/>
        <item x="48"/>
        <item x="14"/>
        <item x="27"/>
        <item x="40"/>
        <item x="38"/>
        <item x="8"/>
        <item x="15"/>
        <item x="32"/>
        <item x="29"/>
        <item x="47"/>
        <item x="16"/>
        <item x="42"/>
        <item x="12"/>
        <item x="1"/>
        <item x="37"/>
        <item x="36"/>
        <item x="20"/>
        <item x="31"/>
        <item x="28"/>
        <item x="23"/>
        <item x="0"/>
        <item x="2"/>
        <item x="13"/>
        <item x="39"/>
        <item x="19"/>
        <item x="24"/>
        <item x="17"/>
        <item x="45"/>
        <item x="18"/>
        <item x="3"/>
        <item x="43"/>
        <item x="7"/>
        <item x="6"/>
        <item x="41"/>
        <item x="21"/>
        <item x="25"/>
        <item x="33"/>
        <item x="11"/>
        <item x="44"/>
        <item x="26"/>
        <item x="9"/>
        <item x="4"/>
        <item x="46"/>
        <item x="49"/>
        <item x="5"/>
        <item x="10"/>
        <item x="34"/>
        <item x="35"/>
        <item x="22"/>
        <item t="default"/>
      </items>
    </pivotField>
    <pivotField showAll="0"/>
    <pivotField showAll="0"/>
    <pivotField showAll="0">
      <items count="6">
        <item x="2"/>
        <item x="4"/>
        <item x="1"/>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Count of Order_ID"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656B4CF0-E7E1-46FC-B339-B48DEE35EE03}" name="PivotTable11" cacheId="0"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H30" firstHeaderRow="0" firstDataRow="0" firstDataCol="0"/>
  <pivotFields count="32">
    <pivotField showAll="0"/>
    <pivotField showAll="0"/>
    <pivotField showAll="0"/>
    <pivotField showAll="0"/>
    <pivotField showAll="0"/>
    <pivotField showAll="0">
      <items count="4">
        <item x="1"/>
        <item x="0"/>
        <item x="2"/>
        <item t="default"/>
      </items>
    </pivotField>
    <pivotField showAll="0">
      <items count="9">
        <item x="5"/>
        <item x="7"/>
        <item x="1"/>
        <item x="3"/>
        <item x="4"/>
        <item x="2"/>
        <item x="0"/>
        <item x="6"/>
        <item t="default"/>
      </items>
    </pivotField>
    <pivotField showAll="0"/>
    <pivotField showAll="0"/>
    <pivotField showAll="0"/>
    <pivotField showAll="0">
      <items count="366">
        <item x="16"/>
        <item x="200"/>
        <item x="57"/>
        <item x="244"/>
        <item x="287"/>
        <item x="246"/>
        <item x="283"/>
        <item x="120"/>
        <item x="342"/>
        <item x="147"/>
        <item x="276"/>
        <item x="133"/>
        <item x="28"/>
        <item x="134"/>
        <item x="215"/>
        <item x="12"/>
        <item x="178"/>
        <item x="59"/>
        <item x="109"/>
        <item x="101"/>
        <item x="289"/>
        <item x="281"/>
        <item x="159"/>
        <item x="221"/>
        <item x="343"/>
        <item x="224"/>
        <item x="43"/>
        <item x="100"/>
        <item x="107"/>
        <item x="231"/>
        <item x="212"/>
        <item x="271"/>
        <item x="361"/>
        <item x="310"/>
        <item x="168"/>
        <item x="31"/>
        <item x="8"/>
        <item x="73"/>
        <item x="144"/>
        <item x="228"/>
        <item x="154"/>
        <item x="174"/>
        <item x="46"/>
        <item x="232"/>
        <item x="280"/>
        <item x="166"/>
        <item x="243"/>
        <item x="26"/>
        <item x="167"/>
        <item x="354"/>
        <item x="176"/>
        <item x="83"/>
        <item x="15"/>
        <item x="219"/>
        <item x="270"/>
        <item x="345"/>
        <item x="142"/>
        <item x="227"/>
        <item x="302"/>
        <item x="230"/>
        <item x="118"/>
        <item x="162"/>
        <item x="165"/>
        <item x="346"/>
        <item x="236"/>
        <item x="187"/>
        <item x="108"/>
        <item x="255"/>
        <item x="125"/>
        <item x="196"/>
        <item x="182"/>
        <item x="96"/>
        <item x="299"/>
        <item x="191"/>
        <item x="88"/>
        <item x="151"/>
        <item x="263"/>
        <item x="22"/>
        <item x="356"/>
        <item x="138"/>
        <item x="105"/>
        <item x="71"/>
        <item x="25"/>
        <item x="249"/>
        <item x="50"/>
        <item x="24"/>
        <item x="251"/>
        <item x="265"/>
        <item x="54"/>
        <item x="42"/>
        <item x="106"/>
        <item x="235"/>
        <item x="189"/>
        <item x="94"/>
        <item x="332"/>
        <item x="34"/>
        <item x="303"/>
        <item x="334"/>
        <item x="329"/>
        <item x="360"/>
        <item x="89"/>
        <item x="27"/>
        <item x="112"/>
        <item x="274"/>
        <item x="211"/>
        <item x="275"/>
        <item x="37"/>
        <item x="23"/>
        <item x="257"/>
        <item x="130"/>
        <item x="136"/>
        <item x="225"/>
        <item x="92"/>
        <item x="358"/>
        <item x="239"/>
        <item x="148"/>
        <item x="169"/>
        <item x="250"/>
        <item x="55"/>
        <item x="321"/>
        <item x="188"/>
        <item x="29"/>
        <item x="285"/>
        <item x="122"/>
        <item x="82"/>
        <item x="53"/>
        <item x="206"/>
        <item x="293"/>
        <item x="170"/>
        <item x="36"/>
        <item x="295"/>
        <item x="35"/>
        <item x="292"/>
        <item x="123"/>
        <item x="135"/>
        <item x="80"/>
        <item x="171"/>
        <item x="194"/>
        <item x="352"/>
        <item x="296"/>
        <item x="13"/>
        <item x="325"/>
        <item x="294"/>
        <item x="183"/>
        <item x="241"/>
        <item x="190"/>
        <item x="104"/>
        <item x="66"/>
        <item x="238"/>
        <item x="119"/>
        <item x="9"/>
        <item x="126"/>
        <item x="177"/>
        <item x="262"/>
        <item x="355"/>
        <item x="140"/>
        <item x="307"/>
        <item x="300"/>
        <item x="268"/>
        <item x="85"/>
        <item x="331"/>
        <item x="51"/>
        <item x="45"/>
        <item x="155"/>
        <item x="175"/>
        <item x="91"/>
        <item x="65"/>
        <item x="240"/>
        <item x="311"/>
        <item x="137"/>
        <item x="124"/>
        <item x="222"/>
        <item x="317"/>
        <item x="111"/>
        <item x="44"/>
        <item x="179"/>
        <item x="305"/>
        <item x="2"/>
        <item x="161"/>
        <item x="306"/>
        <item x="62"/>
        <item x="193"/>
        <item x="180"/>
        <item x="314"/>
        <item x="218"/>
        <item x="21"/>
        <item x="351"/>
        <item x="350"/>
        <item x="70"/>
        <item x="357"/>
        <item x="0"/>
        <item x="316"/>
        <item x="301"/>
        <item x="348"/>
        <item x="49"/>
        <item x="217"/>
        <item x="322"/>
        <item x="353"/>
        <item x="14"/>
        <item x="1"/>
        <item x="335"/>
        <item x="340"/>
        <item x="363"/>
        <item x="205"/>
        <item x="259"/>
        <item x="203"/>
        <item x="272"/>
        <item x="260"/>
        <item x="30"/>
        <item x="195"/>
        <item x="4"/>
        <item x="192"/>
        <item x="210"/>
        <item x="320"/>
        <item x="103"/>
        <item x="328"/>
        <item x="319"/>
        <item x="248"/>
        <item x="297"/>
        <item x="102"/>
        <item x="33"/>
        <item x="186"/>
        <item x="347"/>
        <item x="233"/>
        <item x="198"/>
        <item x="256"/>
        <item x="284"/>
        <item x="223"/>
        <item x="267"/>
        <item x="3"/>
        <item x="99"/>
        <item x="220"/>
        <item x="338"/>
        <item x="98"/>
        <item x="58"/>
        <item x="75"/>
        <item x="291"/>
        <item x="315"/>
        <item x="114"/>
        <item x="64"/>
        <item x="201"/>
        <item x="213"/>
        <item x="164"/>
        <item x="160"/>
        <item x="7"/>
        <item x="298"/>
        <item x="199"/>
        <item x="313"/>
        <item x="364"/>
        <item x="286"/>
        <item x="277"/>
        <item x="308"/>
        <item x="158"/>
        <item x="253"/>
        <item x="173"/>
        <item x="141"/>
        <item x="95"/>
        <item x="288"/>
        <item x="87"/>
        <item x="362"/>
        <item x="69"/>
        <item x="273"/>
        <item x="11"/>
        <item x="110"/>
        <item x="254"/>
        <item x="63"/>
        <item x="86"/>
        <item x="79"/>
        <item x="156"/>
        <item x="209"/>
        <item x="149"/>
        <item x="245"/>
        <item x="312"/>
        <item x="20"/>
        <item x="226"/>
        <item x="172"/>
        <item x="77"/>
        <item x="234"/>
        <item x="349"/>
        <item x="145"/>
        <item x="97"/>
        <item x="204"/>
        <item x="146"/>
        <item x="330"/>
        <item x="127"/>
        <item x="337"/>
        <item x="185"/>
        <item x="17"/>
        <item x="5"/>
        <item x="48"/>
        <item x="214"/>
        <item x="32"/>
        <item x="181"/>
        <item x="150"/>
        <item x="279"/>
        <item x="84"/>
        <item x="19"/>
        <item x="40"/>
        <item x="153"/>
        <item x="237"/>
        <item x="68"/>
        <item x="41"/>
        <item x="341"/>
        <item x="258"/>
        <item x="39"/>
        <item x="129"/>
        <item x="184"/>
        <item x="157"/>
        <item x="132"/>
        <item x="139"/>
        <item x="67"/>
        <item x="327"/>
        <item x="10"/>
        <item x="116"/>
        <item x="359"/>
        <item x="152"/>
        <item x="81"/>
        <item x="344"/>
        <item x="115"/>
        <item x="52"/>
        <item x="278"/>
        <item x="202"/>
        <item x="128"/>
        <item x="143"/>
        <item x="197"/>
        <item x="47"/>
        <item x="290"/>
        <item x="261"/>
        <item x="78"/>
        <item x="264"/>
        <item x="333"/>
        <item x="61"/>
        <item x="336"/>
        <item x="93"/>
        <item x="252"/>
        <item x="339"/>
        <item x="309"/>
        <item x="72"/>
        <item x="163"/>
        <item x="324"/>
        <item x="56"/>
        <item x="38"/>
        <item x="304"/>
        <item x="208"/>
        <item x="323"/>
        <item x="6"/>
        <item x="121"/>
        <item x="18"/>
        <item x="269"/>
        <item x="113"/>
        <item x="207"/>
        <item x="242"/>
        <item x="216"/>
        <item x="90"/>
        <item x="76"/>
        <item x="229"/>
        <item x="131"/>
        <item x="282"/>
        <item x="60"/>
        <item x="318"/>
        <item x="266"/>
        <item x="74"/>
        <item x="247"/>
        <item x="117"/>
        <item x="326"/>
        <item t="default"/>
      </items>
    </pivotField>
    <pivotField showAll="0"/>
    <pivotField axis="axisRow" dataField="1" showAll="0" sortType="ascending">
      <items count="51">
        <item x="30"/>
        <item x="48"/>
        <item x="14"/>
        <item x="27"/>
        <item x="40"/>
        <item x="38"/>
        <item x="8"/>
        <item x="15"/>
        <item x="32"/>
        <item x="29"/>
        <item x="47"/>
        <item x="16"/>
        <item x="42"/>
        <item x="12"/>
        <item x="1"/>
        <item x="37"/>
        <item x="36"/>
        <item x="20"/>
        <item x="31"/>
        <item x="28"/>
        <item x="23"/>
        <item x="0"/>
        <item x="2"/>
        <item x="13"/>
        <item x="39"/>
        <item x="19"/>
        <item x="24"/>
        <item x="17"/>
        <item x="45"/>
        <item x="18"/>
        <item x="3"/>
        <item x="43"/>
        <item x="7"/>
        <item x="6"/>
        <item x="41"/>
        <item x="21"/>
        <item x="25"/>
        <item x="33"/>
        <item x="11"/>
        <item x="44"/>
        <item x="26"/>
        <item x="9"/>
        <item x="4"/>
        <item x="46"/>
        <item x="49"/>
        <item x="5"/>
        <item x="10"/>
        <item x="34"/>
        <item x="35"/>
        <item x="22"/>
        <item t="default"/>
      </items>
    </pivotField>
    <pivotField showAll="0"/>
    <pivotField showAll="0"/>
    <pivotField showAll="0">
      <items count="6">
        <item x="2"/>
        <item x="4"/>
        <item x="1"/>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2"/>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Count of Product_ID" fld="1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91D0E61C-8AE0-4620-8DB2-94BAC1E71532}" name="PivotTable16" cacheId="0"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H58:H59" firstHeaderRow="1" firstDataRow="1" firstDataCol="0"/>
  <pivotFields count="32">
    <pivotField showAll="0"/>
    <pivotField showAll="0"/>
    <pivotField showAll="0"/>
    <pivotField showAll="0"/>
    <pivotField showAll="0"/>
    <pivotField showAll="0">
      <items count="4">
        <item x="1"/>
        <item x="0"/>
        <item x="2"/>
        <item t="default"/>
      </items>
    </pivotField>
    <pivotField showAll="0">
      <items count="9">
        <item x="5"/>
        <item x="7"/>
        <item x="1"/>
        <item x="3"/>
        <item x="4"/>
        <item x="2"/>
        <item x="0"/>
        <item x="6"/>
        <item t="default"/>
      </items>
    </pivotField>
    <pivotField showAll="0"/>
    <pivotField showAll="0"/>
    <pivotField showAll="0"/>
    <pivotField showAll="0">
      <items count="366">
        <item x="16"/>
        <item x="200"/>
        <item x="57"/>
        <item x="244"/>
        <item x="287"/>
        <item x="246"/>
        <item x="283"/>
        <item x="120"/>
        <item x="342"/>
        <item x="147"/>
        <item x="276"/>
        <item x="133"/>
        <item x="28"/>
        <item x="134"/>
        <item x="215"/>
        <item x="12"/>
        <item x="178"/>
        <item x="59"/>
        <item x="109"/>
        <item x="101"/>
        <item x="289"/>
        <item x="281"/>
        <item x="159"/>
        <item x="221"/>
        <item x="343"/>
        <item x="224"/>
        <item x="43"/>
        <item x="100"/>
        <item x="107"/>
        <item x="231"/>
        <item x="212"/>
        <item x="271"/>
        <item x="361"/>
        <item x="310"/>
        <item x="168"/>
        <item x="31"/>
        <item x="8"/>
        <item x="73"/>
        <item x="144"/>
        <item x="228"/>
        <item x="154"/>
        <item x="174"/>
        <item x="46"/>
        <item x="232"/>
        <item x="280"/>
        <item x="166"/>
        <item x="243"/>
        <item x="26"/>
        <item x="167"/>
        <item x="354"/>
        <item x="176"/>
        <item x="83"/>
        <item x="15"/>
        <item x="219"/>
        <item x="270"/>
        <item x="345"/>
        <item x="142"/>
        <item x="227"/>
        <item x="302"/>
        <item x="230"/>
        <item x="118"/>
        <item x="162"/>
        <item x="165"/>
        <item x="346"/>
        <item x="236"/>
        <item x="187"/>
        <item x="108"/>
        <item x="255"/>
        <item x="125"/>
        <item x="196"/>
        <item x="182"/>
        <item x="96"/>
        <item x="299"/>
        <item x="191"/>
        <item x="88"/>
        <item x="151"/>
        <item x="263"/>
        <item x="22"/>
        <item x="356"/>
        <item x="138"/>
        <item x="105"/>
        <item x="71"/>
        <item x="25"/>
        <item x="249"/>
        <item x="50"/>
        <item x="24"/>
        <item x="251"/>
        <item x="265"/>
        <item x="54"/>
        <item x="42"/>
        <item x="106"/>
        <item x="235"/>
        <item x="189"/>
        <item x="94"/>
        <item x="332"/>
        <item x="34"/>
        <item x="303"/>
        <item x="334"/>
        <item x="329"/>
        <item x="360"/>
        <item x="89"/>
        <item x="27"/>
        <item x="112"/>
        <item x="274"/>
        <item x="211"/>
        <item x="275"/>
        <item x="37"/>
        <item x="23"/>
        <item x="257"/>
        <item x="130"/>
        <item x="136"/>
        <item x="225"/>
        <item x="92"/>
        <item x="358"/>
        <item x="239"/>
        <item x="148"/>
        <item x="169"/>
        <item x="250"/>
        <item x="55"/>
        <item x="321"/>
        <item x="188"/>
        <item x="29"/>
        <item x="285"/>
        <item x="122"/>
        <item x="82"/>
        <item x="53"/>
        <item x="206"/>
        <item x="293"/>
        <item x="170"/>
        <item x="36"/>
        <item x="295"/>
        <item x="35"/>
        <item x="292"/>
        <item x="123"/>
        <item x="135"/>
        <item x="80"/>
        <item x="171"/>
        <item x="194"/>
        <item x="352"/>
        <item x="296"/>
        <item x="13"/>
        <item x="325"/>
        <item x="294"/>
        <item x="183"/>
        <item x="241"/>
        <item x="190"/>
        <item x="104"/>
        <item x="66"/>
        <item x="238"/>
        <item x="119"/>
        <item x="9"/>
        <item x="126"/>
        <item x="177"/>
        <item x="262"/>
        <item x="355"/>
        <item x="140"/>
        <item x="307"/>
        <item x="300"/>
        <item x="268"/>
        <item x="85"/>
        <item x="331"/>
        <item x="51"/>
        <item x="45"/>
        <item x="155"/>
        <item x="175"/>
        <item x="91"/>
        <item x="65"/>
        <item x="240"/>
        <item x="311"/>
        <item x="137"/>
        <item x="124"/>
        <item x="222"/>
        <item x="317"/>
        <item x="111"/>
        <item x="44"/>
        <item x="179"/>
        <item x="305"/>
        <item x="2"/>
        <item x="161"/>
        <item x="306"/>
        <item x="62"/>
        <item x="193"/>
        <item x="180"/>
        <item x="314"/>
        <item x="218"/>
        <item x="21"/>
        <item x="351"/>
        <item x="350"/>
        <item x="70"/>
        <item x="357"/>
        <item x="0"/>
        <item x="316"/>
        <item x="301"/>
        <item x="348"/>
        <item x="49"/>
        <item x="217"/>
        <item x="322"/>
        <item x="353"/>
        <item x="14"/>
        <item x="1"/>
        <item x="335"/>
        <item x="340"/>
        <item x="363"/>
        <item x="205"/>
        <item x="259"/>
        <item x="203"/>
        <item x="272"/>
        <item x="260"/>
        <item x="30"/>
        <item x="195"/>
        <item x="4"/>
        <item x="192"/>
        <item x="210"/>
        <item x="320"/>
        <item x="103"/>
        <item x="328"/>
        <item x="319"/>
        <item x="248"/>
        <item x="297"/>
        <item x="102"/>
        <item x="33"/>
        <item x="186"/>
        <item x="347"/>
        <item x="233"/>
        <item x="198"/>
        <item x="256"/>
        <item x="284"/>
        <item x="223"/>
        <item x="267"/>
        <item x="3"/>
        <item x="99"/>
        <item x="220"/>
        <item x="338"/>
        <item x="98"/>
        <item x="58"/>
        <item x="75"/>
        <item x="291"/>
        <item x="315"/>
        <item x="114"/>
        <item x="64"/>
        <item x="201"/>
        <item x="213"/>
        <item x="164"/>
        <item x="160"/>
        <item x="7"/>
        <item x="298"/>
        <item x="199"/>
        <item x="313"/>
        <item x="364"/>
        <item x="286"/>
        <item x="277"/>
        <item x="308"/>
        <item x="158"/>
        <item x="253"/>
        <item x="173"/>
        <item x="141"/>
        <item x="95"/>
        <item x="288"/>
        <item x="87"/>
        <item x="362"/>
        <item x="69"/>
        <item x="273"/>
        <item x="11"/>
        <item x="110"/>
        <item x="254"/>
        <item x="63"/>
        <item x="86"/>
        <item x="79"/>
        <item x="156"/>
        <item x="209"/>
        <item x="149"/>
        <item x="245"/>
        <item x="312"/>
        <item x="20"/>
        <item x="226"/>
        <item x="172"/>
        <item x="77"/>
        <item x="234"/>
        <item x="349"/>
        <item x="145"/>
        <item x="97"/>
        <item x="204"/>
        <item x="146"/>
        <item x="330"/>
        <item x="127"/>
        <item x="337"/>
        <item x="185"/>
        <item x="17"/>
        <item x="5"/>
        <item x="48"/>
        <item x="214"/>
        <item x="32"/>
        <item x="181"/>
        <item x="150"/>
        <item x="279"/>
        <item x="84"/>
        <item x="19"/>
        <item x="40"/>
        <item x="153"/>
        <item x="237"/>
        <item x="68"/>
        <item x="41"/>
        <item x="341"/>
        <item x="258"/>
        <item x="39"/>
        <item x="129"/>
        <item x="184"/>
        <item x="157"/>
        <item x="132"/>
        <item x="139"/>
        <item x="67"/>
        <item x="327"/>
        <item x="10"/>
        <item x="116"/>
        <item x="359"/>
        <item x="152"/>
        <item x="81"/>
        <item x="344"/>
        <item x="115"/>
        <item x="52"/>
        <item x="278"/>
        <item x="202"/>
        <item x="128"/>
        <item x="143"/>
        <item x="197"/>
        <item x="47"/>
        <item x="290"/>
        <item x="261"/>
        <item x="78"/>
        <item x="264"/>
        <item x="333"/>
        <item x="61"/>
        <item x="336"/>
        <item x="93"/>
        <item x="252"/>
        <item x="339"/>
        <item x="309"/>
        <item x="72"/>
        <item x="163"/>
        <item x="324"/>
        <item x="56"/>
        <item x="38"/>
        <item x="304"/>
        <item x="208"/>
        <item x="323"/>
        <item x="6"/>
        <item x="121"/>
        <item x="18"/>
        <item x="269"/>
        <item x="113"/>
        <item x="207"/>
        <item x="242"/>
        <item x="216"/>
        <item x="90"/>
        <item x="76"/>
        <item x="229"/>
        <item x="131"/>
        <item x="282"/>
        <item x="60"/>
        <item x="318"/>
        <item x="266"/>
        <item x="74"/>
        <item x="247"/>
        <item x="117"/>
        <item x="326"/>
        <item t="default"/>
      </items>
    </pivotField>
    <pivotField showAll="0"/>
    <pivotField showAll="0">
      <items count="51">
        <item x="30"/>
        <item x="48"/>
        <item x="14"/>
        <item x="27"/>
        <item x="40"/>
        <item x="38"/>
        <item x="8"/>
        <item x="15"/>
        <item x="32"/>
        <item x="29"/>
        <item x="47"/>
        <item x="16"/>
        <item x="42"/>
        <item x="12"/>
        <item x="1"/>
        <item x="37"/>
        <item x="36"/>
        <item x="20"/>
        <item x="31"/>
        <item x="28"/>
        <item x="23"/>
        <item x="0"/>
        <item x="2"/>
        <item x="13"/>
        <item x="39"/>
        <item x="19"/>
        <item x="24"/>
        <item x="17"/>
        <item x="45"/>
        <item x="18"/>
        <item x="3"/>
        <item x="43"/>
        <item x="7"/>
        <item x="6"/>
        <item x="41"/>
        <item x="21"/>
        <item x="25"/>
        <item x="33"/>
        <item x="11"/>
        <item x="44"/>
        <item x="26"/>
        <item x="9"/>
        <item x="4"/>
        <item x="46"/>
        <item x="49"/>
        <item x="5"/>
        <item x="10"/>
        <item x="34"/>
        <item x="35"/>
        <item x="22"/>
        <item t="default"/>
      </items>
    </pivotField>
    <pivotField showAll="0"/>
    <pivotField showAll="0"/>
    <pivotField showAll="0">
      <items count="6">
        <item x="2"/>
        <item x="4"/>
        <item x="1"/>
        <item x="3"/>
        <item x="0"/>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Amount_with_Delivery_Charge " fld="2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5DD678EE-D430-4155-8703-D3B46D0D2EE8}" name="PivotTable4" cacheId="0"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H26" firstHeaderRow="0" firstDataRow="0" firstDataCol="0"/>
  <pivotFields count="32">
    <pivotField showAll="0"/>
    <pivotField showAll="0"/>
    <pivotField showAll="0"/>
    <pivotField showAll="0"/>
    <pivotField showAll="0"/>
    <pivotField showAll="0">
      <items count="4">
        <item x="1"/>
        <item x="0"/>
        <item x="2"/>
        <item t="default"/>
      </items>
    </pivotField>
    <pivotField showAll="0">
      <items count="9">
        <item x="5"/>
        <item x="7"/>
        <item x="1"/>
        <item x="3"/>
        <item x="4"/>
        <item x="2"/>
        <item x="0"/>
        <item x="6"/>
        <item t="default"/>
      </items>
    </pivotField>
    <pivotField showAll="0"/>
    <pivotField showAll="0"/>
    <pivotField showAll="0"/>
    <pivotField showAll="0">
      <items count="366">
        <item x="16"/>
        <item x="200"/>
        <item x="57"/>
        <item x="244"/>
        <item x="287"/>
        <item x="246"/>
        <item x="283"/>
        <item x="120"/>
        <item x="342"/>
        <item x="147"/>
        <item x="276"/>
        <item x="133"/>
        <item x="28"/>
        <item x="134"/>
        <item x="215"/>
        <item x="12"/>
        <item x="178"/>
        <item x="59"/>
        <item x="109"/>
        <item x="101"/>
        <item x="289"/>
        <item x="281"/>
        <item x="159"/>
        <item x="221"/>
        <item x="343"/>
        <item x="224"/>
        <item x="43"/>
        <item x="100"/>
        <item x="107"/>
        <item x="231"/>
        <item x="212"/>
        <item x="271"/>
        <item x="361"/>
        <item x="310"/>
        <item x="168"/>
        <item x="31"/>
        <item x="8"/>
        <item x="73"/>
        <item x="144"/>
        <item x="228"/>
        <item x="154"/>
        <item x="174"/>
        <item x="46"/>
        <item x="232"/>
        <item x="280"/>
        <item x="166"/>
        <item x="243"/>
        <item x="26"/>
        <item x="167"/>
        <item x="354"/>
        <item x="176"/>
        <item x="83"/>
        <item x="15"/>
        <item x="219"/>
        <item x="270"/>
        <item x="345"/>
        <item x="142"/>
        <item x="227"/>
        <item x="302"/>
        <item x="230"/>
        <item x="118"/>
        <item x="162"/>
        <item x="165"/>
        <item x="346"/>
        <item x="236"/>
        <item x="187"/>
        <item x="108"/>
        <item x="255"/>
        <item x="125"/>
        <item x="196"/>
        <item x="182"/>
        <item x="96"/>
        <item x="299"/>
        <item x="191"/>
        <item x="88"/>
        <item x="151"/>
        <item x="263"/>
        <item x="22"/>
        <item x="356"/>
        <item x="138"/>
        <item x="105"/>
        <item x="71"/>
        <item x="25"/>
        <item x="249"/>
        <item x="50"/>
        <item x="24"/>
        <item x="251"/>
        <item x="265"/>
        <item x="54"/>
        <item x="42"/>
        <item x="106"/>
        <item x="235"/>
        <item x="189"/>
        <item x="94"/>
        <item x="332"/>
        <item x="34"/>
        <item x="303"/>
        <item x="334"/>
        <item x="329"/>
        <item x="360"/>
        <item x="89"/>
        <item x="27"/>
        <item x="112"/>
        <item x="274"/>
        <item x="211"/>
        <item x="275"/>
        <item x="37"/>
        <item x="23"/>
        <item x="257"/>
        <item x="130"/>
        <item x="136"/>
        <item x="225"/>
        <item x="92"/>
        <item x="358"/>
        <item x="239"/>
        <item x="148"/>
        <item x="169"/>
        <item x="250"/>
        <item x="55"/>
        <item x="321"/>
        <item x="188"/>
        <item x="29"/>
        <item x="285"/>
        <item x="122"/>
        <item x="82"/>
        <item x="53"/>
        <item x="206"/>
        <item x="293"/>
        <item x="170"/>
        <item x="36"/>
        <item x="295"/>
        <item x="35"/>
        <item x="292"/>
        <item x="123"/>
        <item x="135"/>
        <item x="80"/>
        <item x="171"/>
        <item x="194"/>
        <item x="352"/>
        <item x="296"/>
        <item x="13"/>
        <item x="325"/>
        <item x="294"/>
        <item x="183"/>
        <item x="241"/>
        <item x="190"/>
        <item x="104"/>
        <item x="66"/>
        <item x="238"/>
        <item x="119"/>
        <item x="9"/>
        <item x="126"/>
        <item x="177"/>
        <item x="262"/>
        <item x="355"/>
        <item x="140"/>
        <item x="307"/>
        <item x="300"/>
        <item x="268"/>
        <item x="85"/>
        <item x="331"/>
        <item x="51"/>
        <item x="45"/>
        <item x="155"/>
        <item x="175"/>
        <item x="91"/>
        <item x="65"/>
        <item x="240"/>
        <item x="311"/>
        <item x="137"/>
        <item x="124"/>
        <item x="222"/>
        <item x="317"/>
        <item x="111"/>
        <item x="44"/>
        <item x="179"/>
        <item x="305"/>
        <item x="2"/>
        <item x="161"/>
        <item x="306"/>
        <item x="62"/>
        <item x="193"/>
        <item x="180"/>
        <item x="314"/>
        <item x="218"/>
        <item x="21"/>
        <item x="351"/>
        <item x="350"/>
        <item x="70"/>
        <item x="357"/>
        <item x="0"/>
        <item x="316"/>
        <item x="301"/>
        <item x="348"/>
        <item x="49"/>
        <item x="217"/>
        <item x="322"/>
        <item x="353"/>
        <item x="14"/>
        <item x="1"/>
        <item x="335"/>
        <item x="340"/>
        <item x="363"/>
        <item x="205"/>
        <item x="259"/>
        <item x="203"/>
        <item x="272"/>
        <item x="260"/>
        <item x="30"/>
        <item x="195"/>
        <item x="4"/>
        <item x="192"/>
        <item x="210"/>
        <item x="320"/>
        <item x="103"/>
        <item x="328"/>
        <item x="319"/>
        <item x="248"/>
        <item x="297"/>
        <item x="102"/>
        <item x="33"/>
        <item x="186"/>
        <item x="347"/>
        <item x="233"/>
        <item x="198"/>
        <item x="256"/>
        <item x="284"/>
        <item x="223"/>
        <item x="267"/>
        <item x="3"/>
        <item x="99"/>
        <item x="220"/>
        <item x="338"/>
        <item x="98"/>
        <item x="58"/>
        <item x="75"/>
        <item x="291"/>
        <item x="315"/>
        <item x="114"/>
        <item x="64"/>
        <item x="201"/>
        <item x="213"/>
        <item x="164"/>
        <item x="160"/>
        <item x="7"/>
        <item x="298"/>
        <item x="199"/>
        <item x="313"/>
        <item x="364"/>
        <item x="286"/>
        <item x="277"/>
        <item x="308"/>
        <item x="158"/>
        <item x="253"/>
        <item x="173"/>
        <item x="141"/>
        <item x="95"/>
        <item x="288"/>
        <item x="87"/>
        <item x="362"/>
        <item x="69"/>
        <item x="273"/>
        <item x="11"/>
        <item x="110"/>
        <item x="254"/>
        <item x="63"/>
        <item x="86"/>
        <item x="79"/>
        <item x="156"/>
        <item x="209"/>
        <item x="149"/>
        <item x="245"/>
        <item x="312"/>
        <item x="20"/>
        <item x="226"/>
        <item x="172"/>
        <item x="77"/>
        <item x="234"/>
        <item x="349"/>
        <item x="145"/>
        <item x="97"/>
        <item x="204"/>
        <item x="146"/>
        <item x="330"/>
        <item x="127"/>
        <item x="337"/>
        <item x="185"/>
        <item x="17"/>
        <item x="5"/>
        <item x="48"/>
        <item x="214"/>
        <item x="32"/>
        <item x="181"/>
        <item x="150"/>
        <item x="279"/>
        <item x="84"/>
        <item x="19"/>
        <item x="40"/>
        <item x="153"/>
        <item x="237"/>
        <item x="68"/>
        <item x="41"/>
        <item x="341"/>
        <item x="258"/>
        <item x="39"/>
        <item x="129"/>
        <item x="184"/>
        <item x="157"/>
        <item x="132"/>
        <item x="139"/>
        <item x="67"/>
        <item x="327"/>
        <item x="10"/>
        <item x="116"/>
        <item x="359"/>
        <item x="152"/>
        <item x="81"/>
        <item x="344"/>
        <item x="115"/>
        <item x="52"/>
        <item x="278"/>
        <item x="202"/>
        <item x="128"/>
        <item x="143"/>
        <item x="197"/>
        <item x="47"/>
        <item x="290"/>
        <item x="261"/>
        <item x="78"/>
        <item x="264"/>
        <item x="333"/>
        <item x="61"/>
        <item x="336"/>
        <item x="93"/>
        <item x="252"/>
        <item x="339"/>
        <item x="309"/>
        <item x="72"/>
        <item x="163"/>
        <item x="324"/>
        <item x="56"/>
        <item x="38"/>
        <item x="304"/>
        <item x="208"/>
        <item x="323"/>
        <item x="6"/>
        <item x="121"/>
        <item x="18"/>
        <item x="269"/>
        <item x="113"/>
        <item x="207"/>
        <item x="242"/>
        <item x="216"/>
        <item x="90"/>
        <item x="76"/>
        <item x="229"/>
        <item x="131"/>
        <item x="282"/>
        <item x="60"/>
        <item x="318"/>
        <item x="266"/>
        <item x="74"/>
        <item x="247"/>
        <item x="117"/>
        <item x="326"/>
        <item t="default"/>
      </items>
    </pivotField>
    <pivotField showAll="0"/>
    <pivotField axis="axisRow" dataField="1" showAll="0">
      <items count="51">
        <item x="30"/>
        <item x="48"/>
        <item x="14"/>
        <item x="27"/>
        <item x="40"/>
        <item x="38"/>
        <item x="8"/>
        <item x="15"/>
        <item x="32"/>
        <item x="29"/>
        <item x="47"/>
        <item x="16"/>
        <item x="42"/>
        <item x="12"/>
        <item x="1"/>
        <item x="37"/>
        <item x="36"/>
        <item x="20"/>
        <item x="31"/>
        <item x="28"/>
        <item x="23"/>
        <item x="0"/>
        <item x="2"/>
        <item x="13"/>
        <item x="39"/>
        <item x="19"/>
        <item x="24"/>
        <item x="17"/>
        <item x="45"/>
        <item x="18"/>
        <item x="3"/>
        <item x="43"/>
        <item x="7"/>
        <item x="6"/>
        <item x="41"/>
        <item x="21"/>
        <item x="25"/>
        <item x="33"/>
        <item x="11"/>
        <item x="44"/>
        <item x="26"/>
        <item x="9"/>
        <item x="4"/>
        <item x="46"/>
        <item x="49"/>
        <item x="5"/>
        <item x="10"/>
        <item x="34"/>
        <item x="35"/>
        <item x="22"/>
        <item t="default"/>
      </items>
    </pivotField>
    <pivotField showAll="0"/>
    <pivotField showAll="0"/>
    <pivotField showAll="0">
      <items count="6">
        <item x="2"/>
        <item x="4"/>
        <item x="1"/>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2"/>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Count of Product_ID" fld="1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BD881360-623A-49E5-A722-0B5770AC9688}" name="PivotTable9" cacheId="0"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B32" firstHeaderRow="0" firstDataRow="0" firstDataCol="0"/>
  <pivotFields count="32">
    <pivotField showAll="0"/>
    <pivotField showAll="0"/>
    <pivotField showAll="0"/>
    <pivotField showAll="0"/>
    <pivotField showAll="0"/>
    <pivotField showAll="0">
      <items count="4">
        <item x="1"/>
        <item x="0"/>
        <item x="2"/>
        <item t="default"/>
      </items>
    </pivotField>
    <pivotField showAll="0">
      <items count="9">
        <item x="5"/>
        <item x="7"/>
        <item x="1"/>
        <item x="3"/>
        <item x="4"/>
        <item x="2"/>
        <item x="0"/>
        <item x="6"/>
        <item t="default"/>
      </items>
    </pivotField>
    <pivotField showAll="0"/>
    <pivotField showAll="0"/>
    <pivotField axis="axisRow" showAll="0">
      <items count="501">
        <item x="352"/>
        <item x="448"/>
        <item x="301"/>
        <item x="67"/>
        <item x="402"/>
        <item x="255"/>
        <item x="230"/>
        <item x="446"/>
        <item x="207"/>
        <item x="438"/>
        <item x="203"/>
        <item x="411"/>
        <item x="115"/>
        <item x="266"/>
        <item x="107"/>
        <item x="171"/>
        <item x="69"/>
        <item x="277"/>
        <item x="457"/>
        <item x="300"/>
        <item x="353"/>
        <item x="329"/>
        <item x="285"/>
        <item x="90"/>
        <item x="129"/>
        <item x="160"/>
        <item x="308"/>
        <item x="216"/>
        <item x="126"/>
        <item x="125"/>
        <item x="374"/>
        <item x="281"/>
        <item x="5"/>
        <item x="259"/>
        <item x="76"/>
        <item x="72"/>
        <item x="243"/>
        <item x="395"/>
        <item x="313"/>
        <item x="422"/>
        <item x="168"/>
        <item x="355"/>
        <item x="110"/>
        <item x="148"/>
        <item x="302"/>
        <item x="436"/>
        <item x="18"/>
        <item x="173"/>
        <item x="441"/>
        <item x="445"/>
        <item x="419"/>
        <item x="334"/>
        <item x="432"/>
        <item x="474"/>
        <item x="196"/>
        <item x="398"/>
        <item x="335"/>
        <item x="463"/>
        <item x="247"/>
        <item x="10"/>
        <item x="15"/>
        <item x="51"/>
        <item x="339"/>
        <item x="475"/>
        <item x="468"/>
        <item x="409"/>
        <item x="379"/>
        <item x="256"/>
        <item x="25"/>
        <item x="55"/>
        <item x="77"/>
        <item x="50"/>
        <item x="348"/>
        <item x="433"/>
        <item x="473"/>
        <item x="239"/>
        <item x="241"/>
        <item x="274"/>
        <item x="459"/>
        <item x="362"/>
        <item x="161"/>
        <item x="369"/>
        <item x="0"/>
        <item x="321"/>
        <item x="337"/>
        <item x="114"/>
        <item x="365"/>
        <item x="392"/>
        <item x="306"/>
        <item x="455"/>
        <item x="249"/>
        <item x="336"/>
        <item x="175"/>
        <item x="66"/>
        <item x="34"/>
        <item x="236"/>
        <item x="130"/>
        <item x="471"/>
        <item x="327"/>
        <item x="4"/>
        <item x="28"/>
        <item x="421"/>
        <item x="491"/>
        <item x="357"/>
        <item x="205"/>
        <item x="211"/>
        <item x="282"/>
        <item x="229"/>
        <item x="56"/>
        <item x="119"/>
        <item x="64"/>
        <item x="393"/>
        <item x="486"/>
        <item x="190"/>
        <item x="11"/>
        <item x="85"/>
        <item x="297"/>
        <item x="289"/>
        <item x="373"/>
        <item x="145"/>
        <item x="492"/>
        <item x="43"/>
        <item x="92"/>
        <item x="271"/>
        <item x="497"/>
        <item x="410"/>
        <item x="197"/>
        <item x="74"/>
        <item x="151"/>
        <item x="251"/>
        <item x="489"/>
        <item x="36"/>
        <item x="13"/>
        <item x="381"/>
        <item x="8"/>
        <item x="233"/>
        <item x="412"/>
        <item x="150"/>
        <item x="113"/>
        <item x="280"/>
        <item x="104"/>
        <item x="49"/>
        <item x="408"/>
        <item x="331"/>
        <item x="14"/>
        <item x="417"/>
        <item x="310"/>
        <item x="460"/>
        <item x="342"/>
        <item x="19"/>
        <item x="382"/>
        <item x="340"/>
        <item x="315"/>
        <item x="237"/>
        <item x="464"/>
        <item x="135"/>
        <item x="260"/>
        <item x="264"/>
        <item x="424"/>
        <item x="394"/>
        <item x="182"/>
        <item x="23"/>
        <item x="465"/>
        <item x="62"/>
        <item x="134"/>
        <item x="221"/>
        <item x="235"/>
        <item x="6"/>
        <item x="330"/>
        <item x="359"/>
        <item x="328"/>
        <item x="435"/>
        <item x="416"/>
        <item x="27"/>
        <item x="170"/>
        <item x="147"/>
        <item x="227"/>
        <item x="7"/>
        <item x="400"/>
        <item x="128"/>
        <item x="37"/>
        <item x="314"/>
        <item x="140"/>
        <item x="35"/>
        <item x="375"/>
        <item x="428"/>
        <item x="177"/>
        <item x="100"/>
        <item x="452"/>
        <item x="157"/>
        <item x="162"/>
        <item x="479"/>
        <item x="377"/>
        <item x="439"/>
        <item x="120"/>
        <item x="414"/>
        <item x="30"/>
        <item x="215"/>
        <item x="258"/>
        <item x="240"/>
        <item x="293"/>
        <item x="124"/>
        <item x="494"/>
        <item x="201"/>
        <item x="29"/>
        <item x="268"/>
        <item x="42"/>
        <item x="108"/>
        <item x="26"/>
        <item x="272"/>
        <item x="188"/>
        <item x="53"/>
        <item x="444"/>
        <item x="246"/>
        <item x="461"/>
        <item x="324"/>
        <item x="61"/>
        <item x="186"/>
        <item x="466"/>
        <item x="358"/>
        <item x="144"/>
        <item x="429"/>
        <item x="97"/>
        <item x="123"/>
        <item x="39"/>
        <item x="283"/>
        <item x="397"/>
        <item x="278"/>
        <item x="399"/>
        <item x="139"/>
        <item x="332"/>
        <item x="275"/>
        <item x="111"/>
        <item x="228"/>
        <item x="176"/>
        <item x="167"/>
        <item x="349"/>
        <item x="220"/>
        <item x="325"/>
        <item x="180"/>
        <item x="32"/>
        <item x="431"/>
        <item x="252"/>
        <item x="318"/>
        <item x="404"/>
        <item x="82"/>
        <item x="57"/>
        <item x="98"/>
        <item x="296"/>
        <item x="73"/>
        <item x="172"/>
        <item x="442"/>
        <item x="390"/>
        <item x="84"/>
        <item x="257"/>
        <item x="420"/>
        <item x="59"/>
        <item x="263"/>
        <item x="80"/>
        <item x="319"/>
        <item x="210"/>
        <item x="488"/>
        <item x="121"/>
        <item x="305"/>
        <item x="138"/>
        <item x="387"/>
        <item x="224"/>
        <item x="307"/>
        <item x="189"/>
        <item x="238"/>
        <item x="146"/>
        <item x="17"/>
        <item x="152"/>
        <item x="95"/>
        <item x="163"/>
        <item x="295"/>
        <item x="450"/>
        <item x="166"/>
        <item x="122"/>
        <item x="38"/>
        <item x="477"/>
        <item x="184"/>
        <item x="320"/>
        <item x="481"/>
        <item x="209"/>
        <item x="78"/>
        <item x="376"/>
        <item x="174"/>
        <item x="485"/>
        <item x="469"/>
        <item x="132"/>
        <item x="351"/>
        <item x="476"/>
        <item x="48"/>
        <item x="454"/>
        <item x="16"/>
        <item x="232"/>
        <item x="79"/>
        <item x="323"/>
        <item x="250"/>
        <item x="185"/>
        <item x="118"/>
        <item x="425"/>
        <item x="199"/>
        <item x="490"/>
        <item x="141"/>
        <item x="101"/>
        <item x="164"/>
        <item x="226"/>
        <item x="86"/>
        <item x="458"/>
        <item x="361"/>
        <item x="427"/>
        <item x="499"/>
        <item x="371"/>
        <item x="195"/>
        <item x="198"/>
        <item x="12"/>
        <item x="384"/>
        <item x="46"/>
        <item x="344"/>
        <item x="44"/>
        <item x="96"/>
        <item x="204"/>
        <item x="94"/>
        <item x="360"/>
        <item x="322"/>
        <item x="33"/>
        <item x="462"/>
        <item x="262"/>
        <item x="219"/>
        <item x="311"/>
        <item x="1"/>
        <item x="165"/>
        <item x="343"/>
        <item x="3"/>
        <item x="222"/>
        <item x="287"/>
        <item x="309"/>
        <item x="279"/>
        <item x="269"/>
        <item x="482"/>
        <item x="370"/>
        <item x="154"/>
        <item x="407"/>
        <item x="292"/>
        <item x="347"/>
        <item x="356"/>
        <item x="70"/>
        <item x="112"/>
        <item x="202"/>
        <item x="366"/>
        <item x="388"/>
        <item x="231"/>
        <item x="405"/>
        <item x="496"/>
        <item x="192"/>
        <item x="447"/>
        <item x="71"/>
        <item x="248"/>
        <item x="443"/>
        <item x="498"/>
        <item x="495"/>
        <item x="214"/>
        <item x="437"/>
        <item x="2"/>
        <item x="451"/>
        <item x="288"/>
        <item x="367"/>
        <item x="47"/>
        <item x="21"/>
        <item x="430"/>
        <item x="20"/>
        <item x="169"/>
        <item x="396"/>
        <item x="63"/>
        <item x="41"/>
        <item x="158"/>
        <item x="284"/>
        <item x="99"/>
        <item x="60"/>
        <item x="234"/>
        <item x="403"/>
        <item x="338"/>
        <item x="106"/>
        <item x="386"/>
        <item x="299"/>
        <item x="276"/>
        <item x="294"/>
        <item x="191"/>
        <item x="345"/>
        <item x="406"/>
        <item x="245"/>
        <item x="81"/>
        <item x="206"/>
        <item x="440"/>
        <item x="401"/>
        <item x="217"/>
        <item x="363"/>
        <item x="58"/>
        <item x="385"/>
        <item x="273"/>
        <item x="378"/>
        <item x="116"/>
        <item x="453"/>
        <item x="200"/>
        <item x="317"/>
        <item x="208"/>
        <item x="155"/>
        <item x="83"/>
        <item x="93"/>
        <item x="483"/>
        <item x="415"/>
        <item x="45"/>
        <item x="75"/>
        <item x="183"/>
        <item x="298"/>
        <item x="40"/>
        <item x="225"/>
        <item x="303"/>
        <item x="52"/>
        <item x="137"/>
        <item x="326"/>
        <item x="286"/>
        <item x="102"/>
        <item x="127"/>
        <item x="159"/>
        <item x="389"/>
        <item x="181"/>
        <item x="223"/>
        <item x="449"/>
        <item x="253"/>
        <item x="364"/>
        <item x="65"/>
        <item x="22"/>
        <item x="312"/>
        <item x="68"/>
        <item x="418"/>
        <item x="487"/>
        <item x="261"/>
        <item x="472"/>
        <item x="87"/>
        <item x="434"/>
        <item x="426"/>
        <item x="136"/>
        <item x="423"/>
        <item x="391"/>
        <item x="341"/>
        <item x="380"/>
        <item x="156"/>
        <item x="346"/>
        <item x="153"/>
        <item x="179"/>
        <item x="178"/>
        <item x="131"/>
        <item x="470"/>
        <item x="88"/>
        <item x="413"/>
        <item x="267"/>
        <item x="484"/>
        <item x="478"/>
        <item x="193"/>
        <item x="456"/>
        <item x="117"/>
        <item x="254"/>
        <item x="31"/>
        <item x="304"/>
        <item x="109"/>
        <item x="372"/>
        <item x="212"/>
        <item x="290"/>
        <item x="244"/>
        <item x="9"/>
        <item x="467"/>
        <item x="187"/>
        <item x="103"/>
        <item x="265"/>
        <item x="213"/>
        <item x="270"/>
        <item x="105"/>
        <item x="133"/>
        <item x="350"/>
        <item x="316"/>
        <item x="291"/>
        <item x="143"/>
        <item x="142"/>
        <item x="218"/>
        <item x="149"/>
        <item x="242"/>
        <item x="89"/>
        <item x="480"/>
        <item x="194"/>
        <item x="54"/>
        <item x="91"/>
        <item x="493"/>
        <item x="24"/>
        <item x="383"/>
        <item x="368"/>
        <item x="354"/>
        <item x="333"/>
        <item t="default"/>
      </items>
    </pivotField>
    <pivotField showAll="0">
      <items count="366">
        <item x="16"/>
        <item x="200"/>
        <item x="57"/>
        <item x="244"/>
        <item x="287"/>
        <item x="246"/>
        <item x="283"/>
        <item x="120"/>
        <item x="342"/>
        <item x="147"/>
        <item x="276"/>
        <item x="133"/>
        <item x="28"/>
        <item x="134"/>
        <item x="215"/>
        <item x="12"/>
        <item x="178"/>
        <item x="59"/>
        <item x="109"/>
        <item x="101"/>
        <item x="289"/>
        <item x="281"/>
        <item x="159"/>
        <item x="221"/>
        <item x="343"/>
        <item x="224"/>
        <item x="43"/>
        <item x="100"/>
        <item x="107"/>
        <item x="231"/>
        <item x="212"/>
        <item x="271"/>
        <item x="361"/>
        <item x="310"/>
        <item x="168"/>
        <item x="31"/>
        <item x="8"/>
        <item x="73"/>
        <item x="144"/>
        <item x="228"/>
        <item x="154"/>
        <item x="174"/>
        <item x="46"/>
        <item x="232"/>
        <item x="280"/>
        <item x="166"/>
        <item x="243"/>
        <item x="26"/>
        <item x="167"/>
        <item x="354"/>
        <item x="176"/>
        <item x="83"/>
        <item x="15"/>
        <item x="219"/>
        <item x="270"/>
        <item x="345"/>
        <item x="142"/>
        <item x="227"/>
        <item x="302"/>
        <item x="230"/>
        <item x="118"/>
        <item x="162"/>
        <item x="165"/>
        <item x="346"/>
        <item x="236"/>
        <item x="187"/>
        <item x="108"/>
        <item x="255"/>
        <item x="125"/>
        <item x="196"/>
        <item x="182"/>
        <item x="96"/>
        <item x="299"/>
        <item x="191"/>
        <item x="88"/>
        <item x="151"/>
        <item x="263"/>
        <item x="22"/>
        <item x="356"/>
        <item x="138"/>
        <item x="105"/>
        <item x="71"/>
        <item x="25"/>
        <item x="249"/>
        <item x="50"/>
        <item x="24"/>
        <item x="251"/>
        <item x="265"/>
        <item x="54"/>
        <item x="42"/>
        <item x="106"/>
        <item x="235"/>
        <item x="189"/>
        <item x="94"/>
        <item x="332"/>
        <item x="34"/>
        <item x="303"/>
        <item x="334"/>
        <item x="329"/>
        <item x="360"/>
        <item x="89"/>
        <item x="27"/>
        <item x="112"/>
        <item x="274"/>
        <item x="211"/>
        <item x="275"/>
        <item x="37"/>
        <item x="23"/>
        <item x="257"/>
        <item x="130"/>
        <item x="136"/>
        <item x="225"/>
        <item x="92"/>
        <item x="358"/>
        <item x="239"/>
        <item x="148"/>
        <item x="169"/>
        <item x="250"/>
        <item x="55"/>
        <item x="321"/>
        <item x="188"/>
        <item x="29"/>
        <item x="285"/>
        <item x="122"/>
        <item x="82"/>
        <item x="53"/>
        <item x="206"/>
        <item x="293"/>
        <item x="170"/>
        <item x="36"/>
        <item x="295"/>
        <item x="35"/>
        <item x="292"/>
        <item x="123"/>
        <item x="135"/>
        <item x="80"/>
        <item x="171"/>
        <item x="194"/>
        <item x="352"/>
        <item x="296"/>
        <item x="13"/>
        <item x="325"/>
        <item x="294"/>
        <item x="183"/>
        <item x="241"/>
        <item x="190"/>
        <item x="104"/>
        <item x="66"/>
        <item x="238"/>
        <item x="119"/>
        <item x="9"/>
        <item x="126"/>
        <item x="177"/>
        <item x="262"/>
        <item x="355"/>
        <item x="140"/>
        <item x="307"/>
        <item x="300"/>
        <item x="268"/>
        <item x="85"/>
        <item x="331"/>
        <item x="51"/>
        <item x="45"/>
        <item x="155"/>
        <item x="175"/>
        <item x="91"/>
        <item x="65"/>
        <item x="240"/>
        <item x="311"/>
        <item x="137"/>
        <item x="124"/>
        <item x="222"/>
        <item x="317"/>
        <item x="111"/>
        <item x="44"/>
        <item x="179"/>
        <item x="305"/>
        <item x="2"/>
        <item x="161"/>
        <item x="306"/>
        <item x="62"/>
        <item x="193"/>
        <item x="180"/>
        <item x="314"/>
        <item x="218"/>
        <item x="21"/>
        <item x="351"/>
        <item x="350"/>
        <item x="70"/>
        <item x="357"/>
        <item x="0"/>
        <item x="316"/>
        <item x="301"/>
        <item x="348"/>
        <item x="49"/>
        <item x="217"/>
        <item x="322"/>
        <item x="353"/>
        <item x="14"/>
        <item x="1"/>
        <item x="335"/>
        <item x="340"/>
        <item x="363"/>
        <item x="205"/>
        <item x="259"/>
        <item x="203"/>
        <item x="272"/>
        <item x="260"/>
        <item x="30"/>
        <item x="195"/>
        <item x="4"/>
        <item x="192"/>
        <item x="210"/>
        <item x="320"/>
        <item x="103"/>
        <item x="328"/>
        <item x="319"/>
        <item x="248"/>
        <item x="297"/>
        <item x="102"/>
        <item x="33"/>
        <item x="186"/>
        <item x="347"/>
        <item x="233"/>
        <item x="198"/>
        <item x="256"/>
        <item x="284"/>
        <item x="223"/>
        <item x="267"/>
        <item x="3"/>
        <item x="99"/>
        <item x="220"/>
        <item x="338"/>
        <item x="98"/>
        <item x="58"/>
        <item x="75"/>
        <item x="291"/>
        <item x="315"/>
        <item x="114"/>
        <item x="64"/>
        <item x="201"/>
        <item x="213"/>
        <item x="164"/>
        <item x="160"/>
        <item x="7"/>
        <item x="298"/>
        <item x="199"/>
        <item x="313"/>
        <item x="364"/>
        <item x="286"/>
        <item x="277"/>
        <item x="308"/>
        <item x="158"/>
        <item x="253"/>
        <item x="173"/>
        <item x="141"/>
        <item x="95"/>
        <item x="288"/>
        <item x="87"/>
        <item x="362"/>
        <item x="69"/>
        <item x="273"/>
        <item x="11"/>
        <item x="110"/>
        <item x="254"/>
        <item x="63"/>
        <item x="86"/>
        <item x="79"/>
        <item x="156"/>
        <item x="209"/>
        <item x="149"/>
        <item x="245"/>
        <item x="312"/>
        <item x="20"/>
        <item x="226"/>
        <item x="172"/>
        <item x="77"/>
        <item x="234"/>
        <item x="349"/>
        <item x="145"/>
        <item x="97"/>
        <item x="204"/>
        <item x="146"/>
        <item x="330"/>
        <item x="127"/>
        <item x="337"/>
        <item x="185"/>
        <item x="17"/>
        <item x="5"/>
        <item x="48"/>
        <item x="214"/>
        <item x="32"/>
        <item x="181"/>
        <item x="150"/>
        <item x="279"/>
        <item x="84"/>
        <item x="19"/>
        <item x="40"/>
        <item x="153"/>
        <item x="237"/>
        <item x="68"/>
        <item x="41"/>
        <item x="341"/>
        <item x="258"/>
        <item x="39"/>
        <item x="129"/>
        <item x="184"/>
        <item x="157"/>
        <item x="132"/>
        <item x="139"/>
        <item x="67"/>
        <item x="327"/>
        <item x="10"/>
        <item x="116"/>
        <item x="359"/>
        <item x="152"/>
        <item x="81"/>
        <item x="344"/>
        <item x="115"/>
        <item x="52"/>
        <item x="278"/>
        <item x="202"/>
        <item x="128"/>
        <item x="143"/>
        <item x="197"/>
        <item x="47"/>
        <item x="290"/>
        <item x="261"/>
        <item x="78"/>
        <item x="264"/>
        <item x="333"/>
        <item x="61"/>
        <item x="336"/>
        <item x="93"/>
        <item x="252"/>
        <item x="339"/>
        <item x="309"/>
        <item x="72"/>
        <item x="163"/>
        <item x="324"/>
        <item x="56"/>
        <item x="38"/>
        <item x="304"/>
        <item x="208"/>
        <item x="323"/>
        <item x="6"/>
        <item x="121"/>
        <item x="18"/>
        <item x="269"/>
        <item x="113"/>
        <item x="207"/>
        <item x="242"/>
        <item x="216"/>
        <item x="90"/>
        <item x="76"/>
        <item x="229"/>
        <item x="131"/>
        <item x="282"/>
        <item x="60"/>
        <item x="318"/>
        <item x="266"/>
        <item x="74"/>
        <item x="247"/>
        <item x="117"/>
        <item x="326"/>
        <item t="default"/>
      </items>
    </pivotField>
    <pivotField showAll="0"/>
    <pivotField showAll="0">
      <items count="51">
        <item x="30"/>
        <item x="48"/>
        <item x="14"/>
        <item x="27"/>
        <item x="40"/>
        <item x="38"/>
        <item x="8"/>
        <item x="15"/>
        <item x="32"/>
        <item x="29"/>
        <item x="47"/>
        <item x="16"/>
        <item x="42"/>
        <item x="12"/>
        <item x="1"/>
        <item x="37"/>
        <item x="36"/>
        <item x="20"/>
        <item x="31"/>
        <item x="28"/>
        <item x="23"/>
        <item x="0"/>
        <item x="2"/>
        <item x="13"/>
        <item x="39"/>
        <item x="19"/>
        <item x="24"/>
        <item x="17"/>
        <item x="45"/>
        <item x="18"/>
        <item x="3"/>
        <item x="43"/>
        <item x="7"/>
        <item x="6"/>
        <item x="41"/>
        <item x="21"/>
        <item x="25"/>
        <item x="33"/>
        <item x="11"/>
        <item x="44"/>
        <item x="26"/>
        <item x="9"/>
        <item x="4"/>
        <item x="46"/>
        <item x="49"/>
        <item x="5"/>
        <item x="10"/>
        <item x="34"/>
        <item x="35"/>
        <item x="22"/>
        <item t="default"/>
      </items>
    </pivotField>
    <pivotField showAll="0"/>
    <pivotField showAll="0"/>
    <pivotField showAll="0">
      <items count="6">
        <item x="2"/>
        <item x="4"/>
        <item x="1"/>
        <item x="3"/>
        <item x="0"/>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9"/>
  </rowFields>
  <rowItems count="5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t="grand">
      <x/>
    </i>
  </rowItems>
  <colItems count="1">
    <i/>
  </colItems>
  <dataFields count="1">
    <dataField name="Sum of Delivery_Charge"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EFDD2420-69B3-427F-B916-68F9AA7D163C}" name="PivotTable14" cacheId="0"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B52:B53" firstHeaderRow="1" firstDataRow="1" firstDataCol="0"/>
  <pivotFields count="32">
    <pivotField showAll="0"/>
    <pivotField showAll="0"/>
    <pivotField showAll="0"/>
    <pivotField showAll="0"/>
    <pivotField showAll="0"/>
    <pivotField showAll="0">
      <items count="4">
        <item x="1"/>
        <item x="0"/>
        <item x="2"/>
        <item t="default"/>
      </items>
    </pivotField>
    <pivotField showAll="0">
      <items count="9">
        <item x="5"/>
        <item x="7"/>
        <item x="1"/>
        <item x="3"/>
        <item x="4"/>
        <item x="2"/>
        <item x="0"/>
        <item x="6"/>
        <item t="default"/>
      </items>
    </pivotField>
    <pivotField showAll="0"/>
    <pivotField showAll="0"/>
    <pivotField showAll="0"/>
    <pivotField showAll="0">
      <items count="366">
        <item x="16"/>
        <item x="200"/>
        <item x="57"/>
        <item x="244"/>
        <item x="287"/>
        <item x="246"/>
        <item x="283"/>
        <item x="120"/>
        <item x="342"/>
        <item x="147"/>
        <item x="276"/>
        <item x="133"/>
        <item x="28"/>
        <item x="134"/>
        <item x="215"/>
        <item x="12"/>
        <item x="178"/>
        <item x="59"/>
        <item x="109"/>
        <item x="101"/>
        <item x="289"/>
        <item x="281"/>
        <item x="159"/>
        <item x="221"/>
        <item x="343"/>
        <item x="224"/>
        <item x="43"/>
        <item x="100"/>
        <item x="107"/>
        <item x="231"/>
        <item x="212"/>
        <item x="271"/>
        <item x="361"/>
        <item x="310"/>
        <item x="168"/>
        <item x="31"/>
        <item x="8"/>
        <item x="73"/>
        <item x="144"/>
        <item x="228"/>
        <item x="154"/>
        <item x="174"/>
        <item x="46"/>
        <item x="232"/>
        <item x="280"/>
        <item x="166"/>
        <item x="243"/>
        <item x="26"/>
        <item x="167"/>
        <item x="354"/>
        <item x="176"/>
        <item x="83"/>
        <item x="15"/>
        <item x="219"/>
        <item x="270"/>
        <item x="345"/>
        <item x="142"/>
        <item x="227"/>
        <item x="302"/>
        <item x="230"/>
        <item x="118"/>
        <item x="162"/>
        <item x="165"/>
        <item x="346"/>
        <item x="236"/>
        <item x="187"/>
        <item x="108"/>
        <item x="255"/>
        <item x="125"/>
        <item x="196"/>
        <item x="182"/>
        <item x="96"/>
        <item x="299"/>
        <item x="191"/>
        <item x="88"/>
        <item x="151"/>
        <item x="263"/>
        <item x="22"/>
        <item x="356"/>
        <item x="138"/>
        <item x="105"/>
        <item x="71"/>
        <item x="25"/>
        <item x="249"/>
        <item x="50"/>
        <item x="24"/>
        <item x="251"/>
        <item x="265"/>
        <item x="54"/>
        <item x="42"/>
        <item x="106"/>
        <item x="235"/>
        <item x="189"/>
        <item x="94"/>
        <item x="332"/>
        <item x="34"/>
        <item x="303"/>
        <item x="334"/>
        <item x="329"/>
        <item x="360"/>
        <item x="89"/>
        <item x="27"/>
        <item x="112"/>
        <item x="274"/>
        <item x="211"/>
        <item x="275"/>
        <item x="37"/>
        <item x="23"/>
        <item x="257"/>
        <item x="130"/>
        <item x="136"/>
        <item x="225"/>
        <item x="92"/>
        <item x="358"/>
        <item x="239"/>
        <item x="148"/>
        <item x="169"/>
        <item x="250"/>
        <item x="55"/>
        <item x="321"/>
        <item x="188"/>
        <item x="29"/>
        <item x="285"/>
        <item x="122"/>
        <item x="82"/>
        <item x="53"/>
        <item x="206"/>
        <item x="293"/>
        <item x="170"/>
        <item x="36"/>
        <item x="295"/>
        <item x="35"/>
        <item x="292"/>
        <item x="123"/>
        <item x="135"/>
        <item x="80"/>
        <item x="171"/>
        <item x="194"/>
        <item x="352"/>
        <item x="296"/>
        <item x="13"/>
        <item x="325"/>
        <item x="294"/>
        <item x="183"/>
        <item x="241"/>
        <item x="190"/>
        <item x="104"/>
        <item x="66"/>
        <item x="238"/>
        <item x="119"/>
        <item x="9"/>
        <item x="126"/>
        <item x="177"/>
        <item x="262"/>
        <item x="355"/>
        <item x="140"/>
        <item x="307"/>
        <item x="300"/>
        <item x="268"/>
        <item x="85"/>
        <item x="331"/>
        <item x="51"/>
        <item x="45"/>
        <item x="155"/>
        <item x="175"/>
        <item x="91"/>
        <item x="65"/>
        <item x="240"/>
        <item x="311"/>
        <item x="137"/>
        <item x="124"/>
        <item x="222"/>
        <item x="317"/>
        <item x="111"/>
        <item x="44"/>
        <item x="179"/>
        <item x="305"/>
        <item x="2"/>
        <item x="161"/>
        <item x="306"/>
        <item x="62"/>
        <item x="193"/>
        <item x="180"/>
        <item x="314"/>
        <item x="218"/>
        <item x="21"/>
        <item x="351"/>
        <item x="350"/>
        <item x="70"/>
        <item x="357"/>
        <item x="0"/>
        <item x="316"/>
        <item x="301"/>
        <item x="348"/>
        <item x="49"/>
        <item x="217"/>
        <item x="322"/>
        <item x="353"/>
        <item x="14"/>
        <item x="1"/>
        <item x="335"/>
        <item x="340"/>
        <item x="363"/>
        <item x="205"/>
        <item x="259"/>
        <item x="203"/>
        <item x="272"/>
        <item x="260"/>
        <item x="30"/>
        <item x="195"/>
        <item x="4"/>
        <item x="192"/>
        <item x="210"/>
        <item x="320"/>
        <item x="103"/>
        <item x="328"/>
        <item x="319"/>
        <item x="248"/>
        <item x="297"/>
        <item x="102"/>
        <item x="33"/>
        <item x="186"/>
        <item x="347"/>
        <item x="233"/>
        <item x="198"/>
        <item x="256"/>
        <item x="284"/>
        <item x="223"/>
        <item x="267"/>
        <item x="3"/>
        <item x="99"/>
        <item x="220"/>
        <item x="338"/>
        <item x="98"/>
        <item x="58"/>
        <item x="75"/>
        <item x="291"/>
        <item x="315"/>
        <item x="114"/>
        <item x="64"/>
        <item x="201"/>
        <item x="213"/>
        <item x="164"/>
        <item x="160"/>
        <item x="7"/>
        <item x="298"/>
        <item x="199"/>
        <item x="313"/>
        <item x="364"/>
        <item x="286"/>
        <item x="277"/>
        <item x="308"/>
        <item x="158"/>
        <item x="253"/>
        <item x="173"/>
        <item x="141"/>
        <item x="95"/>
        <item x="288"/>
        <item x="87"/>
        <item x="362"/>
        <item x="69"/>
        <item x="273"/>
        <item x="11"/>
        <item x="110"/>
        <item x="254"/>
        <item x="63"/>
        <item x="86"/>
        <item x="79"/>
        <item x="156"/>
        <item x="209"/>
        <item x="149"/>
        <item x="245"/>
        <item x="312"/>
        <item x="20"/>
        <item x="226"/>
        <item x="172"/>
        <item x="77"/>
        <item x="234"/>
        <item x="349"/>
        <item x="145"/>
        <item x="97"/>
        <item x="204"/>
        <item x="146"/>
        <item x="330"/>
        <item x="127"/>
        <item x="337"/>
        <item x="185"/>
        <item x="17"/>
        <item x="5"/>
        <item x="48"/>
        <item x="214"/>
        <item x="32"/>
        <item x="181"/>
        <item x="150"/>
        <item x="279"/>
        <item x="84"/>
        <item x="19"/>
        <item x="40"/>
        <item x="153"/>
        <item x="237"/>
        <item x="68"/>
        <item x="41"/>
        <item x="341"/>
        <item x="258"/>
        <item x="39"/>
        <item x="129"/>
        <item x="184"/>
        <item x="157"/>
        <item x="132"/>
        <item x="139"/>
        <item x="67"/>
        <item x="327"/>
        <item x="10"/>
        <item x="116"/>
        <item x="359"/>
        <item x="152"/>
        <item x="81"/>
        <item x="344"/>
        <item x="115"/>
        <item x="52"/>
        <item x="278"/>
        <item x="202"/>
        <item x="128"/>
        <item x="143"/>
        <item x="197"/>
        <item x="47"/>
        <item x="290"/>
        <item x="261"/>
        <item x="78"/>
        <item x="264"/>
        <item x="333"/>
        <item x="61"/>
        <item x="336"/>
        <item x="93"/>
        <item x="252"/>
        <item x="339"/>
        <item x="309"/>
        <item x="72"/>
        <item x="163"/>
        <item x="324"/>
        <item x="56"/>
        <item x="38"/>
        <item x="304"/>
        <item x="208"/>
        <item x="323"/>
        <item x="6"/>
        <item x="121"/>
        <item x="18"/>
        <item x="269"/>
        <item x="113"/>
        <item x="207"/>
        <item x="242"/>
        <item x="216"/>
        <item x="90"/>
        <item x="76"/>
        <item x="229"/>
        <item x="131"/>
        <item x="282"/>
        <item x="60"/>
        <item x="318"/>
        <item x="266"/>
        <item x="74"/>
        <item x="247"/>
        <item x="117"/>
        <item x="326"/>
        <item t="default"/>
      </items>
    </pivotField>
    <pivotField showAll="0"/>
    <pivotField showAll="0">
      <items count="51">
        <item x="30"/>
        <item x="48"/>
        <item x="14"/>
        <item x="27"/>
        <item x="40"/>
        <item x="38"/>
        <item x="8"/>
        <item x="15"/>
        <item x="32"/>
        <item x="29"/>
        <item x="47"/>
        <item x="16"/>
        <item x="42"/>
        <item x="12"/>
        <item x="1"/>
        <item x="37"/>
        <item x="36"/>
        <item x="20"/>
        <item x="31"/>
        <item x="28"/>
        <item x="23"/>
        <item x="0"/>
        <item x="2"/>
        <item x="13"/>
        <item x="39"/>
        <item x="19"/>
        <item x="24"/>
        <item x="17"/>
        <item x="45"/>
        <item x="18"/>
        <item x="3"/>
        <item x="43"/>
        <item x="7"/>
        <item x="6"/>
        <item x="41"/>
        <item x="21"/>
        <item x="25"/>
        <item x="33"/>
        <item x="11"/>
        <item x="44"/>
        <item x="26"/>
        <item x="9"/>
        <item x="4"/>
        <item x="46"/>
        <item x="49"/>
        <item x="5"/>
        <item x="10"/>
        <item x="34"/>
        <item x="35"/>
        <item x="22"/>
        <item t="default"/>
      </items>
    </pivotField>
    <pivotField showAll="0"/>
    <pivotField showAll="0"/>
    <pivotField showAll="0">
      <items count="6">
        <item x="2"/>
        <item x="4"/>
        <item x="1"/>
        <item x="3"/>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Discount_Percentage" fld="22" baseField="0" baseItem="0"/>
  </dataFields>
  <formats count="1">
    <format dxfId="5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CE5AD295-D1B8-41B5-B78F-FD71EE7D30DF}" name="PivotTable8" cacheId="0"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B28:B29" firstHeaderRow="1" firstDataRow="1" firstDataCol="0"/>
  <pivotFields count="32">
    <pivotField showAll="0"/>
    <pivotField showAll="0"/>
    <pivotField showAll="0"/>
    <pivotField showAll="0"/>
    <pivotField showAll="0"/>
    <pivotField showAll="0">
      <items count="4">
        <item x="1"/>
        <item x="0"/>
        <item x="2"/>
        <item t="default"/>
      </items>
    </pivotField>
    <pivotField showAll="0">
      <items count="9">
        <item x="5"/>
        <item x="7"/>
        <item x="1"/>
        <item x="3"/>
        <item x="4"/>
        <item x="2"/>
        <item x="0"/>
        <item x="6"/>
        <item t="default"/>
      </items>
    </pivotField>
    <pivotField showAll="0"/>
    <pivotField showAll="0"/>
    <pivotField showAll="0"/>
    <pivotField showAll="0">
      <items count="366">
        <item x="16"/>
        <item x="200"/>
        <item x="57"/>
        <item x="244"/>
        <item x="287"/>
        <item x="246"/>
        <item x="283"/>
        <item x="120"/>
        <item x="342"/>
        <item x="147"/>
        <item x="276"/>
        <item x="133"/>
        <item x="28"/>
        <item x="134"/>
        <item x="215"/>
        <item x="12"/>
        <item x="178"/>
        <item x="59"/>
        <item x="109"/>
        <item x="101"/>
        <item x="289"/>
        <item x="281"/>
        <item x="159"/>
        <item x="221"/>
        <item x="343"/>
        <item x="224"/>
        <item x="43"/>
        <item x="100"/>
        <item x="107"/>
        <item x="231"/>
        <item x="212"/>
        <item x="271"/>
        <item x="361"/>
        <item x="310"/>
        <item x="168"/>
        <item x="31"/>
        <item x="8"/>
        <item x="73"/>
        <item x="144"/>
        <item x="228"/>
        <item x="154"/>
        <item x="174"/>
        <item x="46"/>
        <item x="232"/>
        <item x="280"/>
        <item x="166"/>
        <item x="243"/>
        <item x="26"/>
        <item x="167"/>
        <item x="354"/>
        <item x="176"/>
        <item x="83"/>
        <item x="15"/>
        <item x="219"/>
        <item x="270"/>
        <item x="345"/>
        <item x="142"/>
        <item x="227"/>
        <item x="302"/>
        <item x="230"/>
        <item x="118"/>
        <item x="162"/>
        <item x="165"/>
        <item x="346"/>
        <item x="236"/>
        <item x="187"/>
        <item x="108"/>
        <item x="255"/>
        <item x="125"/>
        <item x="196"/>
        <item x="182"/>
        <item x="96"/>
        <item x="299"/>
        <item x="191"/>
        <item x="88"/>
        <item x="151"/>
        <item x="263"/>
        <item x="22"/>
        <item x="356"/>
        <item x="138"/>
        <item x="105"/>
        <item x="71"/>
        <item x="25"/>
        <item x="249"/>
        <item x="50"/>
        <item x="24"/>
        <item x="251"/>
        <item x="265"/>
        <item x="54"/>
        <item x="42"/>
        <item x="106"/>
        <item x="235"/>
        <item x="189"/>
        <item x="94"/>
        <item x="332"/>
        <item x="34"/>
        <item x="303"/>
        <item x="334"/>
        <item x="329"/>
        <item x="360"/>
        <item x="89"/>
        <item x="27"/>
        <item x="112"/>
        <item x="274"/>
        <item x="211"/>
        <item x="275"/>
        <item x="37"/>
        <item x="23"/>
        <item x="257"/>
        <item x="130"/>
        <item x="136"/>
        <item x="225"/>
        <item x="92"/>
        <item x="358"/>
        <item x="239"/>
        <item x="148"/>
        <item x="169"/>
        <item x="250"/>
        <item x="55"/>
        <item x="321"/>
        <item x="188"/>
        <item x="29"/>
        <item x="285"/>
        <item x="122"/>
        <item x="82"/>
        <item x="53"/>
        <item x="206"/>
        <item x="293"/>
        <item x="170"/>
        <item x="36"/>
        <item x="295"/>
        <item x="35"/>
        <item x="292"/>
        <item x="123"/>
        <item x="135"/>
        <item x="80"/>
        <item x="171"/>
        <item x="194"/>
        <item x="352"/>
        <item x="296"/>
        <item x="13"/>
        <item x="325"/>
        <item x="294"/>
        <item x="183"/>
        <item x="241"/>
        <item x="190"/>
        <item x="104"/>
        <item x="66"/>
        <item x="238"/>
        <item x="119"/>
        <item x="9"/>
        <item x="126"/>
        <item x="177"/>
        <item x="262"/>
        <item x="355"/>
        <item x="140"/>
        <item x="307"/>
        <item x="300"/>
        <item x="268"/>
        <item x="85"/>
        <item x="331"/>
        <item x="51"/>
        <item x="45"/>
        <item x="155"/>
        <item x="175"/>
        <item x="91"/>
        <item x="65"/>
        <item x="240"/>
        <item x="311"/>
        <item x="137"/>
        <item x="124"/>
        <item x="222"/>
        <item x="317"/>
        <item x="111"/>
        <item x="44"/>
        <item x="179"/>
        <item x="305"/>
        <item x="2"/>
        <item x="161"/>
        <item x="306"/>
        <item x="62"/>
        <item x="193"/>
        <item x="180"/>
        <item x="314"/>
        <item x="218"/>
        <item x="21"/>
        <item x="351"/>
        <item x="350"/>
        <item x="70"/>
        <item x="357"/>
        <item x="0"/>
        <item x="316"/>
        <item x="301"/>
        <item x="348"/>
        <item x="49"/>
        <item x="217"/>
        <item x="322"/>
        <item x="353"/>
        <item x="14"/>
        <item x="1"/>
        <item x="335"/>
        <item x="340"/>
        <item x="363"/>
        <item x="205"/>
        <item x="259"/>
        <item x="203"/>
        <item x="272"/>
        <item x="260"/>
        <item x="30"/>
        <item x="195"/>
        <item x="4"/>
        <item x="192"/>
        <item x="210"/>
        <item x="320"/>
        <item x="103"/>
        <item x="328"/>
        <item x="319"/>
        <item x="248"/>
        <item x="297"/>
        <item x="102"/>
        <item x="33"/>
        <item x="186"/>
        <item x="347"/>
        <item x="233"/>
        <item x="198"/>
        <item x="256"/>
        <item x="284"/>
        <item x="223"/>
        <item x="267"/>
        <item x="3"/>
        <item x="99"/>
        <item x="220"/>
        <item x="338"/>
        <item x="98"/>
        <item x="58"/>
        <item x="75"/>
        <item x="291"/>
        <item x="315"/>
        <item x="114"/>
        <item x="64"/>
        <item x="201"/>
        <item x="213"/>
        <item x="164"/>
        <item x="160"/>
        <item x="7"/>
        <item x="298"/>
        <item x="199"/>
        <item x="313"/>
        <item x="364"/>
        <item x="286"/>
        <item x="277"/>
        <item x="308"/>
        <item x="158"/>
        <item x="253"/>
        <item x="173"/>
        <item x="141"/>
        <item x="95"/>
        <item x="288"/>
        <item x="87"/>
        <item x="362"/>
        <item x="69"/>
        <item x="273"/>
        <item x="11"/>
        <item x="110"/>
        <item x="254"/>
        <item x="63"/>
        <item x="86"/>
        <item x="79"/>
        <item x="156"/>
        <item x="209"/>
        <item x="149"/>
        <item x="245"/>
        <item x="312"/>
        <item x="20"/>
        <item x="226"/>
        <item x="172"/>
        <item x="77"/>
        <item x="234"/>
        <item x="349"/>
        <item x="145"/>
        <item x="97"/>
        <item x="204"/>
        <item x="146"/>
        <item x="330"/>
        <item x="127"/>
        <item x="337"/>
        <item x="185"/>
        <item x="17"/>
        <item x="5"/>
        <item x="48"/>
        <item x="214"/>
        <item x="32"/>
        <item x="181"/>
        <item x="150"/>
        <item x="279"/>
        <item x="84"/>
        <item x="19"/>
        <item x="40"/>
        <item x="153"/>
        <item x="237"/>
        <item x="68"/>
        <item x="41"/>
        <item x="341"/>
        <item x="258"/>
        <item x="39"/>
        <item x="129"/>
        <item x="184"/>
        <item x="157"/>
        <item x="132"/>
        <item x="139"/>
        <item x="67"/>
        <item x="327"/>
        <item x="10"/>
        <item x="116"/>
        <item x="359"/>
        <item x="152"/>
        <item x="81"/>
        <item x="344"/>
        <item x="115"/>
        <item x="52"/>
        <item x="278"/>
        <item x="202"/>
        <item x="128"/>
        <item x="143"/>
        <item x="197"/>
        <item x="47"/>
        <item x="290"/>
        <item x="261"/>
        <item x="78"/>
        <item x="264"/>
        <item x="333"/>
        <item x="61"/>
        <item x="336"/>
        <item x="93"/>
        <item x="252"/>
        <item x="339"/>
        <item x="309"/>
        <item x="72"/>
        <item x="163"/>
        <item x="324"/>
        <item x="56"/>
        <item x="38"/>
        <item x="304"/>
        <item x="208"/>
        <item x="323"/>
        <item x="6"/>
        <item x="121"/>
        <item x="18"/>
        <item x="269"/>
        <item x="113"/>
        <item x="207"/>
        <item x="242"/>
        <item x="216"/>
        <item x="90"/>
        <item x="76"/>
        <item x="229"/>
        <item x="131"/>
        <item x="282"/>
        <item x="60"/>
        <item x="318"/>
        <item x="266"/>
        <item x="74"/>
        <item x="247"/>
        <item x="117"/>
        <item x="326"/>
        <item t="default"/>
      </items>
    </pivotField>
    <pivotField showAll="0"/>
    <pivotField showAll="0">
      <items count="51">
        <item x="30"/>
        <item x="48"/>
        <item x="14"/>
        <item x="27"/>
        <item x="40"/>
        <item x="38"/>
        <item x="8"/>
        <item x="15"/>
        <item x="32"/>
        <item x="29"/>
        <item x="47"/>
        <item x="16"/>
        <item x="42"/>
        <item x="12"/>
        <item x="1"/>
        <item x="37"/>
        <item x="36"/>
        <item x="20"/>
        <item x="31"/>
        <item x="28"/>
        <item x="23"/>
        <item x="0"/>
        <item x="2"/>
        <item x="13"/>
        <item x="39"/>
        <item x="19"/>
        <item x="24"/>
        <item x="17"/>
        <item x="45"/>
        <item x="18"/>
        <item x="3"/>
        <item x="43"/>
        <item x="7"/>
        <item x="6"/>
        <item x="41"/>
        <item x="21"/>
        <item x="25"/>
        <item x="33"/>
        <item x="11"/>
        <item x="44"/>
        <item x="26"/>
        <item x="9"/>
        <item x="4"/>
        <item x="46"/>
        <item x="49"/>
        <item x="5"/>
        <item x="10"/>
        <item x="34"/>
        <item x="35"/>
        <item x="22"/>
        <item t="default"/>
      </items>
    </pivotField>
    <pivotField showAll="0"/>
    <pivotField showAll="0"/>
    <pivotField showAll="0">
      <items count="6">
        <item x="2"/>
        <item x="4"/>
        <item x="1"/>
        <item x="3"/>
        <item x="0"/>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Average of Day_Delivery" fld="20"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2E7EF8FD-E053-4BE9-A941-A2C085AC0904}" name="PivotTable5" cacheId="0"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B4:B5" firstHeaderRow="1" firstDataRow="1" firstDataCol="0"/>
  <pivotFields count="32">
    <pivotField showAll="0"/>
    <pivotField showAll="0"/>
    <pivotField showAll="0"/>
    <pivotField showAll="0"/>
    <pivotField dataField="1" showAll="0"/>
    <pivotField showAll="0">
      <items count="4">
        <item x="1"/>
        <item x="0"/>
        <item x="2"/>
        <item t="default"/>
      </items>
    </pivotField>
    <pivotField showAll="0">
      <items count="9">
        <item x="5"/>
        <item x="7"/>
        <item x="1"/>
        <item x="3"/>
        <item x="4"/>
        <item x="2"/>
        <item x="0"/>
        <item x="6"/>
        <item t="default"/>
      </items>
    </pivotField>
    <pivotField showAll="0"/>
    <pivotField showAll="0"/>
    <pivotField showAll="0"/>
    <pivotField showAll="0">
      <items count="366">
        <item x="16"/>
        <item x="200"/>
        <item x="57"/>
        <item x="244"/>
        <item x="287"/>
        <item x="246"/>
        <item x="283"/>
        <item x="120"/>
        <item x="342"/>
        <item x="147"/>
        <item x="276"/>
        <item x="133"/>
        <item x="28"/>
        <item x="134"/>
        <item x="215"/>
        <item x="12"/>
        <item x="178"/>
        <item x="59"/>
        <item x="109"/>
        <item x="101"/>
        <item x="289"/>
        <item x="281"/>
        <item x="159"/>
        <item x="221"/>
        <item x="343"/>
        <item x="224"/>
        <item x="43"/>
        <item x="100"/>
        <item x="107"/>
        <item x="231"/>
        <item x="212"/>
        <item x="271"/>
        <item x="361"/>
        <item x="310"/>
        <item x="168"/>
        <item x="31"/>
        <item x="8"/>
        <item x="73"/>
        <item x="144"/>
        <item x="228"/>
        <item x="154"/>
        <item x="174"/>
        <item x="46"/>
        <item x="232"/>
        <item x="280"/>
        <item x="166"/>
        <item x="243"/>
        <item x="26"/>
        <item x="167"/>
        <item x="354"/>
        <item x="176"/>
        <item x="83"/>
        <item x="15"/>
        <item x="219"/>
        <item x="270"/>
        <item x="345"/>
        <item x="142"/>
        <item x="227"/>
        <item x="302"/>
        <item x="230"/>
        <item x="118"/>
        <item x="162"/>
        <item x="165"/>
        <item x="346"/>
        <item x="236"/>
        <item x="187"/>
        <item x="108"/>
        <item x="255"/>
        <item x="125"/>
        <item x="196"/>
        <item x="182"/>
        <item x="96"/>
        <item x="299"/>
        <item x="191"/>
        <item x="88"/>
        <item x="151"/>
        <item x="263"/>
        <item x="22"/>
        <item x="356"/>
        <item x="138"/>
        <item x="105"/>
        <item x="71"/>
        <item x="25"/>
        <item x="249"/>
        <item x="50"/>
        <item x="24"/>
        <item x="251"/>
        <item x="265"/>
        <item x="54"/>
        <item x="42"/>
        <item x="106"/>
        <item x="235"/>
        <item x="189"/>
        <item x="94"/>
        <item x="332"/>
        <item x="34"/>
        <item x="303"/>
        <item x="334"/>
        <item x="329"/>
        <item x="360"/>
        <item x="89"/>
        <item x="27"/>
        <item x="112"/>
        <item x="274"/>
        <item x="211"/>
        <item x="275"/>
        <item x="37"/>
        <item x="23"/>
        <item x="257"/>
        <item x="130"/>
        <item x="136"/>
        <item x="225"/>
        <item x="92"/>
        <item x="358"/>
        <item x="239"/>
        <item x="148"/>
        <item x="169"/>
        <item x="250"/>
        <item x="55"/>
        <item x="321"/>
        <item x="188"/>
        <item x="29"/>
        <item x="285"/>
        <item x="122"/>
        <item x="82"/>
        <item x="53"/>
        <item x="206"/>
        <item x="293"/>
        <item x="170"/>
        <item x="36"/>
        <item x="295"/>
        <item x="35"/>
        <item x="292"/>
        <item x="123"/>
        <item x="135"/>
        <item x="80"/>
        <item x="171"/>
        <item x="194"/>
        <item x="352"/>
        <item x="296"/>
        <item x="13"/>
        <item x="325"/>
        <item x="294"/>
        <item x="183"/>
        <item x="241"/>
        <item x="190"/>
        <item x="104"/>
        <item x="66"/>
        <item x="238"/>
        <item x="119"/>
        <item x="9"/>
        <item x="126"/>
        <item x="177"/>
        <item x="262"/>
        <item x="355"/>
        <item x="140"/>
        <item x="307"/>
        <item x="300"/>
        <item x="268"/>
        <item x="85"/>
        <item x="331"/>
        <item x="51"/>
        <item x="45"/>
        <item x="155"/>
        <item x="175"/>
        <item x="91"/>
        <item x="65"/>
        <item x="240"/>
        <item x="311"/>
        <item x="137"/>
        <item x="124"/>
        <item x="222"/>
        <item x="317"/>
        <item x="111"/>
        <item x="44"/>
        <item x="179"/>
        <item x="305"/>
        <item x="2"/>
        <item x="161"/>
        <item x="306"/>
        <item x="62"/>
        <item x="193"/>
        <item x="180"/>
        <item x="314"/>
        <item x="218"/>
        <item x="21"/>
        <item x="351"/>
        <item x="350"/>
        <item x="70"/>
        <item x="357"/>
        <item x="0"/>
        <item x="316"/>
        <item x="301"/>
        <item x="348"/>
        <item x="49"/>
        <item x="217"/>
        <item x="322"/>
        <item x="353"/>
        <item x="14"/>
        <item x="1"/>
        <item x="335"/>
        <item x="340"/>
        <item x="363"/>
        <item x="205"/>
        <item x="259"/>
        <item x="203"/>
        <item x="272"/>
        <item x="260"/>
        <item x="30"/>
        <item x="195"/>
        <item x="4"/>
        <item x="192"/>
        <item x="210"/>
        <item x="320"/>
        <item x="103"/>
        <item x="328"/>
        <item x="319"/>
        <item x="248"/>
        <item x="297"/>
        <item x="102"/>
        <item x="33"/>
        <item x="186"/>
        <item x="347"/>
        <item x="233"/>
        <item x="198"/>
        <item x="256"/>
        <item x="284"/>
        <item x="223"/>
        <item x="267"/>
        <item x="3"/>
        <item x="99"/>
        <item x="220"/>
        <item x="338"/>
        <item x="98"/>
        <item x="58"/>
        <item x="75"/>
        <item x="291"/>
        <item x="315"/>
        <item x="114"/>
        <item x="64"/>
        <item x="201"/>
        <item x="213"/>
        <item x="164"/>
        <item x="160"/>
        <item x="7"/>
        <item x="298"/>
        <item x="199"/>
        <item x="313"/>
        <item x="364"/>
        <item x="286"/>
        <item x="277"/>
        <item x="308"/>
        <item x="158"/>
        <item x="253"/>
        <item x="173"/>
        <item x="141"/>
        <item x="95"/>
        <item x="288"/>
        <item x="87"/>
        <item x="362"/>
        <item x="69"/>
        <item x="273"/>
        <item x="11"/>
        <item x="110"/>
        <item x="254"/>
        <item x="63"/>
        <item x="86"/>
        <item x="79"/>
        <item x="156"/>
        <item x="209"/>
        <item x="149"/>
        <item x="245"/>
        <item x="312"/>
        <item x="20"/>
        <item x="226"/>
        <item x="172"/>
        <item x="77"/>
        <item x="234"/>
        <item x="349"/>
        <item x="145"/>
        <item x="97"/>
        <item x="204"/>
        <item x="146"/>
        <item x="330"/>
        <item x="127"/>
        <item x="337"/>
        <item x="185"/>
        <item x="17"/>
        <item x="5"/>
        <item x="48"/>
        <item x="214"/>
        <item x="32"/>
        <item x="181"/>
        <item x="150"/>
        <item x="279"/>
        <item x="84"/>
        <item x="19"/>
        <item x="40"/>
        <item x="153"/>
        <item x="237"/>
        <item x="68"/>
        <item x="41"/>
        <item x="341"/>
        <item x="258"/>
        <item x="39"/>
        <item x="129"/>
        <item x="184"/>
        <item x="157"/>
        <item x="132"/>
        <item x="139"/>
        <item x="67"/>
        <item x="327"/>
        <item x="10"/>
        <item x="116"/>
        <item x="359"/>
        <item x="152"/>
        <item x="81"/>
        <item x="344"/>
        <item x="115"/>
        <item x="52"/>
        <item x="278"/>
        <item x="202"/>
        <item x="128"/>
        <item x="143"/>
        <item x="197"/>
        <item x="47"/>
        <item x="290"/>
        <item x="261"/>
        <item x="78"/>
        <item x="264"/>
        <item x="333"/>
        <item x="61"/>
        <item x="336"/>
        <item x="93"/>
        <item x="252"/>
        <item x="339"/>
        <item x="309"/>
        <item x="72"/>
        <item x="163"/>
        <item x="324"/>
        <item x="56"/>
        <item x="38"/>
        <item x="304"/>
        <item x="208"/>
        <item x="323"/>
        <item x="6"/>
        <item x="121"/>
        <item x="18"/>
        <item x="269"/>
        <item x="113"/>
        <item x="207"/>
        <item x="242"/>
        <item x="216"/>
        <item x="90"/>
        <item x="76"/>
        <item x="229"/>
        <item x="131"/>
        <item x="282"/>
        <item x="60"/>
        <item x="318"/>
        <item x="266"/>
        <item x="74"/>
        <item x="247"/>
        <item x="117"/>
        <item x="326"/>
        <item t="default"/>
      </items>
    </pivotField>
    <pivotField showAll="0"/>
    <pivotField showAll="0">
      <items count="51">
        <item x="30"/>
        <item x="48"/>
        <item x="14"/>
        <item x="27"/>
        <item x="40"/>
        <item x="38"/>
        <item x="8"/>
        <item x="15"/>
        <item x="32"/>
        <item x="29"/>
        <item x="47"/>
        <item x="16"/>
        <item x="42"/>
        <item x="12"/>
        <item x="1"/>
        <item x="37"/>
        <item x="36"/>
        <item x="20"/>
        <item x="31"/>
        <item x="28"/>
        <item x="23"/>
        <item x="0"/>
        <item x="2"/>
        <item x="13"/>
        <item x="39"/>
        <item x="19"/>
        <item x="24"/>
        <item x="17"/>
        <item x="45"/>
        <item x="18"/>
        <item x="3"/>
        <item x="43"/>
        <item x="7"/>
        <item x="6"/>
        <item x="41"/>
        <item x="21"/>
        <item x="25"/>
        <item x="33"/>
        <item x="11"/>
        <item x="44"/>
        <item x="26"/>
        <item x="9"/>
        <item x="4"/>
        <item x="46"/>
        <item x="49"/>
        <item x="5"/>
        <item x="10"/>
        <item x="34"/>
        <item x="35"/>
        <item x="22"/>
        <item t="default"/>
      </items>
    </pivotField>
    <pivotField showAll="0"/>
    <pivotField showAll="0"/>
    <pivotField showAll="0">
      <items count="6">
        <item x="2"/>
        <item x="4"/>
        <item x="1"/>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Average of Age" fld="4"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0B9B8843-D351-46A0-8330-C32221CCADDA}" name="PivotTable1" cacheId="0"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H8:H9" firstHeaderRow="1" firstDataRow="1" firstDataCol="0" rowPageCount="1" colPageCount="1"/>
  <pivotFields count="32">
    <pivotField showAll="0"/>
    <pivotField showAll="0"/>
    <pivotField showAll="0"/>
    <pivotField showAll="0"/>
    <pivotField showAll="0"/>
    <pivotField showAll="0">
      <items count="4">
        <item x="1"/>
        <item x="0"/>
        <item x="2"/>
        <item t="default"/>
      </items>
    </pivotField>
    <pivotField showAll="0">
      <items count="9">
        <item x="5"/>
        <item x="7"/>
        <item x="1"/>
        <item x="3"/>
        <item x="4"/>
        <item x="2"/>
        <item x="0"/>
        <item x="6"/>
        <item t="default"/>
      </items>
    </pivotField>
    <pivotField showAll="0"/>
    <pivotField showAll="0"/>
    <pivotField dataField="1" showAll="0"/>
    <pivotField showAll="0">
      <items count="366">
        <item x="16"/>
        <item x="200"/>
        <item x="57"/>
        <item x="244"/>
        <item x="287"/>
        <item x="246"/>
        <item x="283"/>
        <item x="120"/>
        <item x="342"/>
        <item x="147"/>
        <item x="276"/>
        <item x="133"/>
        <item x="28"/>
        <item x="134"/>
        <item x="215"/>
        <item x="12"/>
        <item x="178"/>
        <item x="59"/>
        <item x="109"/>
        <item x="101"/>
        <item x="289"/>
        <item x="281"/>
        <item x="159"/>
        <item x="221"/>
        <item x="343"/>
        <item x="224"/>
        <item x="43"/>
        <item x="100"/>
        <item x="107"/>
        <item x="231"/>
        <item x="212"/>
        <item x="271"/>
        <item x="361"/>
        <item x="310"/>
        <item x="168"/>
        <item x="31"/>
        <item x="8"/>
        <item x="73"/>
        <item x="144"/>
        <item x="228"/>
        <item x="154"/>
        <item x="174"/>
        <item x="46"/>
        <item x="232"/>
        <item x="280"/>
        <item x="166"/>
        <item x="243"/>
        <item x="26"/>
        <item x="167"/>
        <item x="354"/>
        <item x="176"/>
        <item x="83"/>
        <item x="15"/>
        <item x="219"/>
        <item x="270"/>
        <item x="345"/>
        <item x="142"/>
        <item x="227"/>
        <item x="302"/>
        <item x="230"/>
        <item x="118"/>
        <item x="162"/>
        <item x="165"/>
        <item x="346"/>
        <item x="236"/>
        <item x="187"/>
        <item x="108"/>
        <item x="255"/>
        <item x="125"/>
        <item x="196"/>
        <item x="182"/>
        <item x="96"/>
        <item x="299"/>
        <item x="191"/>
        <item x="88"/>
        <item x="151"/>
        <item x="263"/>
        <item x="22"/>
        <item x="356"/>
        <item x="138"/>
        <item x="105"/>
        <item x="71"/>
        <item x="25"/>
        <item x="249"/>
        <item x="50"/>
        <item x="24"/>
        <item x="251"/>
        <item x="265"/>
        <item x="54"/>
        <item x="42"/>
        <item x="106"/>
        <item x="235"/>
        <item x="189"/>
        <item x="94"/>
        <item x="332"/>
        <item x="34"/>
        <item x="303"/>
        <item x="334"/>
        <item x="329"/>
        <item x="360"/>
        <item x="89"/>
        <item x="27"/>
        <item x="112"/>
        <item x="274"/>
        <item x="211"/>
        <item x="275"/>
        <item x="37"/>
        <item x="23"/>
        <item x="257"/>
        <item x="130"/>
        <item x="136"/>
        <item x="225"/>
        <item x="92"/>
        <item x="358"/>
        <item x="239"/>
        <item x="148"/>
        <item x="169"/>
        <item x="250"/>
        <item x="55"/>
        <item x="321"/>
        <item x="188"/>
        <item x="29"/>
        <item x="285"/>
        <item x="122"/>
        <item x="82"/>
        <item x="53"/>
        <item x="206"/>
        <item x="293"/>
        <item x="170"/>
        <item x="36"/>
        <item x="295"/>
        <item x="35"/>
        <item x="292"/>
        <item x="123"/>
        <item x="135"/>
        <item x="80"/>
        <item x="171"/>
        <item x="194"/>
        <item x="352"/>
        <item x="296"/>
        <item x="13"/>
        <item x="325"/>
        <item x="294"/>
        <item x="183"/>
        <item x="241"/>
        <item x="190"/>
        <item x="104"/>
        <item x="66"/>
        <item x="238"/>
        <item x="119"/>
        <item x="9"/>
        <item x="126"/>
        <item x="177"/>
        <item x="262"/>
        <item x="355"/>
        <item x="140"/>
        <item x="307"/>
        <item x="300"/>
        <item x="268"/>
        <item x="85"/>
        <item x="331"/>
        <item x="51"/>
        <item x="45"/>
        <item x="155"/>
        <item x="175"/>
        <item x="91"/>
        <item x="65"/>
        <item x="240"/>
        <item x="311"/>
        <item x="137"/>
        <item x="124"/>
        <item x="222"/>
        <item x="317"/>
        <item x="111"/>
        <item x="44"/>
        <item x="179"/>
        <item x="305"/>
        <item x="2"/>
        <item x="161"/>
        <item x="306"/>
        <item x="62"/>
        <item x="193"/>
        <item x="180"/>
        <item x="314"/>
        <item x="218"/>
        <item x="21"/>
        <item x="351"/>
        <item x="350"/>
        <item x="70"/>
        <item x="357"/>
        <item x="0"/>
        <item x="316"/>
        <item x="301"/>
        <item x="348"/>
        <item x="49"/>
        <item x="217"/>
        <item x="322"/>
        <item x="353"/>
        <item x="14"/>
        <item x="1"/>
        <item x="335"/>
        <item x="340"/>
        <item x="363"/>
        <item x="205"/>
        <item x="259"/>
        <item x="203"/>
        <item x="272"/>
        <item x="260"/>
        <item x="30"/>
        <item x="195"/>
        <item x="4"/>
        <item x="192"/>
        <item x="210"/>
        <item x="320"/>
        <item x="103"/>
        <item x="328"/>
        <item x="319"/>
        <item x="248"/>
        <item x="297"/>
        <item x="102"/>
        <item x="33"/>
        <item x="186"/>
        <item x="347"/>
        <item x="233"/>
        <item x="198"/>
        <item x="256"/>
        <item x="284"/>
        <item x="223"/>
        <item x="267"/>
        <item x="3"/>
        <item x="99"/>
        <item x="220"/>
        <item x="338"/>
        <item x="98"/>
        <item x="58"/>
        <item x="75"/>
        <item x="291"/>
        <item x="315"/>
        <item x="114"/>
        <item x="64"/>
        <item x="201"/>
        <item x="213"/>
        <item x="164"/>
        <item x="160"/>
        <item x="7"/>
        <item x="298"/>
        <item x="199"/>
        <item x="313"/>
        <item x="364"/>
        <item x="286"/>
        <item x="277"/>
        <item x="308"/>
        <item x="158"/>
        <item x="253"/>
        <item x="173"/>
        <item x="141"/>
        <item x="95"/>
        <item x="288"/>
        <item x="87"/>
        <item x="362"/>
        <item x="69"/>
        <item x="273"/>
        <item x="11"/>
        <item x="110"/>
        <item x="254"/>
        <item x="63"/>
        <item x="86"/>
        <item x="79"/>
        <item x="156"/>
        <item x="209"/>
        <item x="149"/>
        <item x="245"/>
        <item x="312"/>
        <item x="20"/>
        <item x="226"/>
        <item x="172"/>
        <item x="77"/>
        <item x="234"/>
        <item x="349"/>
        <item x="145"/>
        <item x="97"/>
        <item x="204"/>
        <item x="146"/>
        <item x="330"/>
        <item x="127"/>
        <item x="337"/>
        <item x="185"/>
        <item x="17"/>
        <item x="5"/>
        <item x="48"/>
        <item x="214"/>
        <item x="32"/>
        <item x="181"/>
        <item x="150"/>
        <item x="279"/>
        <item x="84"/>
        <item x="19"/>
        <item x="40"/>
        <item x="153"/>
        <item x="237"/>
        <item x="68"/>
        <item x="41"/>
        <item x="341"/>
        <item x="258"/>
        <item x="39"/>
        <item x="129"/>
        <item x="184"/>
        <item x="157"/>
        <item x="132"/>
        <item x="139"/>
        <item x="67"/>
        <item x="327"/>
        <item x="10"/>
        <item x="116"/>
        <item x="359"/>
        <item x="152"/>
        <item x="81"/>
        <item x="344"/>
        <item x="115"/>
        <item x="52"/>
        <item x="278"/>
        <item x="202"/>
        <item x="128"/>
        <item x="143"/>
        <item x="197"/>
        <item x="47"/>
        <item x="290"/>
        <item x="261"/>
        <item x="78"/>
        <item x="264"/>
        <item x="333"/>
        <item x="61"/>
        <item x="336"/>
        <item x="93"/>
        <item x="252"/>
        <item x="339"/>
        <item x="309"/>
        <item x="72"/>
        <item x="163"/>
        <item x="324"/>
        <item x="56"/>
        <item x="38"/>
        <item x="304"/>
        <item x="208"/>
        <item x="323"/>
        <item x="6"/>
        <item x="121"/>
        <item x="18"/>
        <item x="269"/>
        <item x="113"/>
        <item x="207"/>
        <item x="242"/>
        <item x="216"/>
        <item x="90"/>
        <item x="76"/>
        <item x="229"/>
        <item x="131"/>
        <item x="282"/>
        <item x="60"/>
        <item x="318"/>
        <item x="266"/>
        <item x="74"/>
        <item x="247"/>
        <item x="117"/>
        <item x="326"/>
        <item t="default"/>
      </items>
    </pivotField>
    <pivotField showAll="0"/>
    <pivotField showAll="0">
      <items count="51">
        <item x="30"/>
        <item x="48"/>
        <item x="14"/>
        <item x="27"/>
        <item x="40"/>
        <item x="38"/>
        <item x="8"/>
        <item x="15"/>
        <item x="32"/>
        <item x="29"/>
        <item x="47"/>
        <item x="16"/>
        <item x="42"/>
        <item x="12"/>
        <item x="1"/>
        <item x="37"/>
        <item x="36"/>
        <item x="20"/>
        <item x="31"/>
        <item x="28"/>
        <item x="23"/>
        <item x="0"/>
        <item x="2"/>
        <item x="13"/>
        <item x="39"/>
        <item x="19"/>
        <item x="24"/>
        <item x="17"/>
        <item x="45"/>
        <item x="18"/>
        <item x="3"/>
        <item x="43"/>
        <item x="7"/>
        <item x="6"/>
        <item x="41"/>
        <item x="21"/>
        <item x="25"/>
        <item x="33"/>
        <item x="11"/>
        <item x="44"/>
        <item x="26"/>
        <item x="9"/>
        <item x="4"/>
        <item x="46"/>
        <item x="49"/>
        <item x="5"/>
        <item x="10"/>
        <item x="34"/>
        <item x="35"/>
        <item x="22"/>
        <item t="default"/>
      </items>
    </pivotField>
    <pivotField showAll="0"/>
    <pivotField showAll="0"/>
    <pivotField axis="axisPage" multipleItemSelectionAllowed="1" showAll="0">
      <items count="6">
        <item x="2"/>
        <item x="4"/>
        <item x="1"/>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pageFields count="1">
    <pageField fld="15" hier="-1"/>
  </pageFields>
  <dataFields count="1">
    <dataField name="Count of Order_ID"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D75871C3-1EB7-4A44-8C44-1628DE2A543E}" name="PivotTable6" cacheId="0"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C10" firstHeaderRow="0" firstDataRow="0" firstDataCol="0"/>
  <pivotFields count="32">
    <pivotField showAll="0"/>
    <pivotField showAll="0"/>
    <pivotField showAll="0"/>
    <pivotField axis="axisRow" showAll="0">
      <items count="101">
        <item x="35"/>
        <item x="37"/>
        <item x="39"/>
        <item x="58"/>
        <item x="74"/>
        <item x="11"/>
        <item x="85"/>
        <item x="21"/>
        <item x="3"/>
        <item x="0"/>
        <item x="1"/>
        <item x="54"/>
        <item x="22"/>
        <item x="67"/>
        <item x="59"/>
        <item x="8"/>
        <item x="52"/>
        <item x="82"/>
        <item x="42"/>
        <item x="46"/>
        <item x="64"/>
        <item x="18"/>
        <item x="77"/>
        <item x="4"/>
        <item x="60"/>
        <item x="29"/>
        <item x="5"/>
        <item x="17"/>
        <item x="45"/>
        <item x="7"/>
        <item x="99"/>
        <item x="31"/>
        <item x="70"/>
        <item x="13"/>
        <item x="79"/>
        <item x="97"/>
        <item x="14"/>
        <item x="63"/>
        <item x="84"/>
        <item x="26"/>
        <item x="71"/>
        <item x="98"/>
        <item x="87"/>
        <item x="36"/>
        <item x="51"/>
        <item x="28"/>
        <item x="83"/>
        <item x="53"/>
        <item x="20"/>
        <item x="38"/>
        <item x="57"/>
        <item x="9"/>
        <item x="12"/>
        <item x="30"/>
        <item x="10"/>
        <item x="2"/>
        <item x="50"/>
        <item x="93"/>
        <item x="56"/>
        <item x="62"/>
        <item x="68"/>
        <item x="92"/>
        <item x="90"/>
        <item x="24"/>
        <item x="72"/>
        <item x="69"/>
        <item x="65"/>
        <item x="44"/>
        <item x="15"/>
        <item x="41"/>
        <item x="6"/>
        <item x="19"/>
        <item x="78"/>
        <item x="40"/>
        <item x="86"/>
        <item x="66"/>
        <item x="80"/>
        <item x="47"/>
        <item x="76"/>
        <item x="75"/>
        <item x="95"/>
        <item x="43"/>
        <item x="94"/>
        <item x="32"/>
        <item x="89"/>
        <item x="49"/>
        <item x="96"/>
        <item x="48"/>
        <item x="73"/>
        <item x="23"/>
        <item x="25"/>
        <item x="34"/>
        <item x="81"/>
        <item x="33"/>
        <item x="16"/>
        <item x="61"/>
        <item x="27"/>
        <item x="88"/>
        <item x="55"/>
        <item x="91"/>
        <item t="default"/>
      </items>
    </pivotField>
    <pivotField showAll="0"/>
    <pivotField showAll="0">
      <items count="4">
        <item x="1"/>
        <item x="0"/>
        <item x="2"/>
        <item t="default"/>
      </items>
    </pivotField>
    <pivotField showAll="0">
      <items count="9">
        <item x="5"/>
        <item x="7"/>
        <item x="1"/>
        <item x="3"/>
        <item x="4"/>
        <item x="2"/>
        <item x="0"/>
        <item x="6"/>
        <item t="default"/>
      </items>
    </pivotField>
    <pivotField showAll="0"/>
    <pivotField showAll="0"/>
    <pivotField showAll="0"/>
    <pivotField showAll="0">
      <items count="366">
        <item x="16"/>
        <item x="200"/>
        <item x="57"/>
        <item x="244"/>
        <item x="287"/>
        <item x="246"/>
        <item x="283"/>
        <item x="120"/>
        <item x="342"/>
        <item x="147"/>
        <item x="276"/>
        <item x="133"/>
        <item x="28"/>
        <item x="134"/>
        <item x="215"/>
        <item x="12"/>
        <item x="178"/>
        <item x="59"/>
        <item x="109"/>
        <item x="101"/>
        <item x="289"/>
        <item x="281"/>
        <item x="159"/>
        <item x="221"/>
        <item x="343"/>
        <item x="224"/>
        <item x="43"/>
        <item x="100"/>
        <item x="107"/>
        <item x="231"/>
        <item x="212"/>
        <item x="271"/>
        <item x="361"/>
        <item x="310"/>
        <item x="168"/>
        <item x="31"/>
        <item x="8"/>
        <item x="73"/>
        <item x="144"/>
        <item x="228"/>
        <item x="154"/>
        <item x="174"/>
        <item x="46"/>
        <item x="232"/>
        <item x="280"/>
        <item x="166"/>
        <item x="243"/>
        <item x="26"/>
        <item x="167"/>
        <item x="354"/>
        <item x="176"/>
        <item x="83"/>
        <item x="15"/>
        <item x="219"/>
        <item x="270"/>
        <item x="345"/>
        <item x="142"/>
        <item x="227"/>
        <item x="302"/>
        <item x="230"/>
        <item x="118"/>
        <item x="162"/>
        <item x="165"/>
        <item x="346"/>
        <item x="236"/>
        <item x="187"/>
        <item x="108"/>
        <item x="255"/>
        <item x="125"/>
        <item x="196"/>
        <item x="182"/>
        <item x="96"/>
        <item x="299"/>
        <item x="191"/>
        <item x="88"/>
        <item x="151"/>
        <item x="263"/>
        <item x="22"/>
        <item x="356"/>
        <item x="138"/>
        <item x="105"/>
        <item x="71"/>
        <item x="25"/>
        <item x="249"/>
        <item x="50"/>
        <item x="24"/>
        <item x="251"/>
        <item x="265"/>
        <item x="54"/>
        <item x="42"/>
        <item x="106"/>
        <item x="235"/>
        <item x="189"/>
        <item x="94"/>
        <item x="332"/>
        <item x="34"/>
        <item x="303"/>
        <item x="334"/>
        <item x="329"/>
        <item x="360"/>
        <item x="89"/>
        <item x="27"/>
        <item x="112"/>
        <item x="274"/>
        <item x="211"/>
        <item x="275"/>
        <item x="37"/>
        <item x="23"/>
        <item x="257"/>
        <item x="130"/>
        <item x="136"/>
        <item x="225"/>
        <item x="92"/>
        <item x="358"/>
        <item x="239"/>
        <item x="148"/>
        <item x="169"/>
        <item x="250"/>
        <item x="55"/>
        <item x="321"/>
        <item x="188"/>
        <item x="29"/>
        <item x="285"/>
        <item x="122"/>
        <item x="82"/>
        <item x="53"/>
        <item x="206"/>
        <item x="293"/>
        <item x="170"/>
        <item x="36"/>
        <item x="295"/>
        <item x="35"/>
        <item x="292"/>
        <item x="123"/>
        <item x="135"/>
        <item x="80"/>
        <item x="171"/>
        <item x="194"/>
        <item x="352"/>
        <item x="296"/>
        <item x="13"/>
        <item x="325"/>
        <item x="294"/>
        <item x="183"/>
        <item x="241"/>
        <item x="190"/>
        <item x="104"/>
        <item x="66"/>
        <item x="238"/>
        <item x="119"/>
        <item x="9"/>
        <item x="126"/>
        <item x="177"/>
        <item x="262"/>
        <item x="355"/>
        <item x="140"/>
        <item x="307"/>
        <item x="300"/>
        <item x="268"/>
        <item x="85"/>
        <item x="331"/>
        <item x="51"/>
        <item x="45"/>
        <item x="155"/>
        <item x="175"/>
        <item x="91"/>
        <item x="65"/>
        <item x="240"/>
        <item x="311"/>
        <item x="137"/>
        <item x="124"/>
        <item x="222"/>
        <item x="317"/>
        <item x="111"/>
        <item x="44"/>
        <item x="179"/>
        <item x="305"/>
        <item x="2"/>
        <item x="161"/>
        <item x="306"/>
        <item x="62"/>
        <item x="193"/>
        <item x="180"/>
        <item x="314"/>
        <item x="218"/>
        <item x="21"/>
        <item x="351"/>
        <item x="350"/>
        <item x="70"/>
        <item x="357"/>
        <item x="0"/>
        <item x="316"/>
        <item x="301"/>
        <item x="348"/>
        <item x="49"/>
        <item x="217"/>
        <item x="322"/>
        <item x="353"/>
        <item x="14"/>
        <item x="1"/>
        <item x="335"/>
        <item x="340"/>
        <item x="363"/>
        <item x="205"/>
        <item x="259"/>
        <item x="203"/>
        <item x="272"/>
        <item x="260"/>
        <item x="30"/>
        <item x="195"/>
        <item x="4"/>
        <item x="192"/>
        <item x="210"/>
        <item x="320"/>
        <item x="103"/>
        <item x="328"/>
        <item x="319"/>
        <item x="248"/>
        <item x="297"/>
        <item x="102"/>
        <item x="33"/>
        <item x="186"/>
        <item x="347"/>
        <item x="233"/>
        <item x="198"/>
        <item x="256"/>
        <item x="284"/>
        <item x="223"/>
        <item x="267"/>
        <item x="3"/>
        <item x="99"/>
        <item x="220"/>
        <item x="338"/>
        <item x="98"/>
        <item x="58"/>
        <item x="75"/>
        <item x="291"/>
        <item x="315"/>
        <item x="114"/>
        <item x="64"/>
        <item x="201"/>
        <item x="213"/>
        <item x="164"/>
        <item x="160"/>
        <item x="7"/>
        <item x="298"/>
        <item x="199"/>
        <item x="313"/>
        <item x="364"/>
        <item x="286"/>
        <item x="277"/>
        <item x="308"/>
        <item x="158"/>
        <item x="253"/>
        <item x="173"/>
        <item x="141"/>
        <item x="95"/>
        <item x="288"/>
        <item x="87"/>
        <item x="362"/>
        <item x="69"/>
        <item x="273"/>
        <item x="11"/>
        <item x="110"/>
        <item x="254"/>
        <item x="63"/>
        <item x="86"/>
        <item x="79"/>
        <item x="156"/>
        <item x="209"/>
        <item x="149"/>
        <item x="245"/>
        <item x="312"/>
        <item x="20"/>
        <item x="226"/>
        <item x="172"/>
        <item x="77"/>
        <item x="234"/>
        <item x="349"/>
        <item x="145"/>
        <item x="97"/>
        <item x="204"/>
        <item x="146"/>
        <item x="330"/>
        <item x="127"/>
        <item x="337"/>
        <item x="185"/>
        <item x="17"/>
        <item x="5"/>
        <item x="48"/>
        <item x="214"/>
        <item x="32"/>
        <item x="181"/>
        <item x="150"/>
        <item x="279"/>
        <item x="84"/>
        <item x="19"/>
        <item x="40"/>
        <item x="153"/>
        <item x="237"/>
        <item x="68"/>
        <item x="41"/>
        <item x="341"/>
        <item x="258"/>
        <item x="39"/>
        <item x="129"/>
        <item x="184"/>
        <item x="157"/>
        <item x="132"/>
        <item x="139"/>
        <item x="67"/>
        <item x="327"/>
        <item x="10"/>
        <item x="116"/>
        <item x="359"/>
        <item x="152"/>
        <item x="81"/>
        <item x="344"/>
        <item x="115"/>
        <item x="52"/>
        <item x="278"/>
        <item x="202"/>
        <item x="128"/>
        <item x="143"/>
        <item x="197"/>
        <item x="47"/>
        <item x="290"/>
        <item x="261"/>
        <item x="78"/>
        <item x="264"/>
        <item x="333"/>
        <item x="61"/>
        <item x="336"/>
        <item x="93"/>
        <item x="252"/>
        <item x="339"/>
        <item x="309"/>
        <item x="72"/>
        <item x="163"/>
        <item x="324"/>
        <item x="56"/>
        <item x="38"/>
        <item x="304"/>
        <item x="208"/>
        <item x="323"/>
        <item x="6"/>
        <item x="121"/>
        <item x="18"/>
        <item x="269"/>
        <item x="113"/>
        <item x="207"/>
        <item x="242"/>
        <item x="216"/>
        <item x="90"/>
        <item x="76"/>
        <item x="229"/>
        <item x="131"/>
        <item x="282"/>
        <item x="60"/>
        <item x="318"/>
        <item x="266"/>
        <item x="74"/>
        <item x="247"/>
        <item x="117"/>
        <item x="326"/>
        <item t="default"/>
      </items>
    </pivotField>
    <pivotField showAll="0"/>
    <pivotField showAll="0">
      <items count="51">
        <item x="30"/>
        <item x="48"/>
        <item x="14"/>
        <item x="27"/>
        <item x="40"/>
        <item x="38"/>
        <item x="8"/>
        <item x="15"/>
        <item x="32"/>
        <item x="29"/>
        <item x="47"/>
        <item x="16"/>
        <item x="42"/>
        <item x="12"/>
        <item x="1"/>
        <item x="37"/>
        <item x="36"/>
        <item x="20"/>
        <item x="31"/>
        <item x="28"/>
        <item x="23"/>
        <item x="0"/>
        <item x="2"/>
        <item x="13"/>
        <item x="39"/>
        <item x="19"/>
        <item x="24"/>
        <item x="17"/>
        <item x="45"/>
        <item x="18"/>
        <item x="3"/>
        <item x="43"/>
        <item x="7"/>
        <item x="6"/>
        <item x="41"/>
        <item x="21"/>
        <item x="25"/>
        <item x="33"/>
        <item x="11"/>
        <item x="44"/>
        <item x="26"/>
        <item x="9"/>
        <item x="4"/>
        <item x="46"/>
        <item x="49"/>
        <item x="5"/>
        <item x="10"/>
        <item x="34"/>
        <item x="35"/>
        <item x="22"/>
        <item t="default"/>
      </items>
    </pivotField>
    <pivotField showAll="0"/>
    <pivotField showAll="0"/>
    <pivotField showAll="0">
      <items count="6">
        <item x="2"/>
        <item x="4"/>
        <item x="1"/>
        <item x="3"/>
        <item x="0"/>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1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t="grand">
      <x/>
    </i>
  </rowItems>
  <colItems count="1">
    <i/>
  </colItems>
  <dataFields count="1">
    <dataField name="Sum of Amount" fld="2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72549E59-50DE-4D33-9EC4-2375D4FE2373}" name="PivotTable3" cacheId="0"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E12" firstHeaderRow="0" firstDataRow="0" firstDataCol="0"/>
  <pivotFields count="32">
    <pivotField showAll="0"/>
    <pivotField showAll="0"/>
    <pivotField showAll="0"/>
    <pivotField axis="axisRow" showAll="0">
      <items count="101">
        <item x="35"/>
        <item x="37"/>
        <item x="39"/>
        <item x="58"/>
        <item x="74"/>
        <item x="11"/>
        <item x="85"/>
        <item x="21"/>
        <item x="3"/>
        <item x="0"/>
        <item x="1"/>
        <item x="54"/>
        <item x="22"/>
        <item x="67"/>
        <item x="59"/>
        <item x="8"/>
        <item x="52"/>
        <item x="82"/>
        <item x="42"/>
        <item x="46"/>
        <item x="64"/>
        <item x="18"/>
        <item x="77"/>
        <item x="4"/>
        <item x="60"/>
        <item x="29"/>
        <item x="5"/>
        <item x="17"/>
        <item x="45"/>
        <item x="7"/>
        <item x="99"/>
        <item x="31"/>
        <item x="70"/>
        <item x="13"/>
        <item x="79"/>
        <item x="97"/>
        <item x="14"/>
        <item x="63"/>
        <item x="84"/>
        <item x="26"/>
        <item x="71"/>
        <item x="98"/>
        <item x="87"/>
        <item x="36"/>
        <item x="51"/>
        <item x="28"/>
        <item x="83"/>
        <item x="53"/>
        <item x="20"/>
        <item x="38"/>
        <item x="57"/>
        <item x="9"/>
        <item x="12"/>
        <item x="30"/>
        <item x="10"/>
        <item x="2"/>
        <item x="50"/>
        <item x="93"/>
        <item x="56"/>
        <item x="62"/>
        <item x="68"/>
        <item x="92"/>
        <item x="90"/>
        <item x="24"/>
        <item x="72"/>
        <item x="69"/>
        <item x="65"/>
        <item x="44"/>
        <item x="15"/>
        <item x="41"/>
        <item x="6"/>
        <item x="19"/>
        <item x="78"/>
        <item x="40"/>
        <item x="86"/>
        <item x="66"/>
        <item x="80"/>
        <item x="47"/>
        <item x="76"/>
        <item x="75"/>
        <item x="95"/>
        <item x="43"/>
        <item x="94"/>
        <item x="32"/>
        <item x="89"/>
        <item x="49"/>
        <item x="96"/>
        <item x="48"/>
        <item x="73"/>
        <item x="23"/>
        <item x="25"/>
        <item x="34"/>
        <item x="81"/>
        <item x="33"/>
        <item x="16"/>
        <item x="61"/>
        <item x="27"/>
        <item x="88"/>
        <item x="55"/>
        <item x="91"/>
        <item t="default"/>
      </items>
    </pivotField>
    <pivotField showAll="0"/>
    <pivotField showAll="0">
      <items count="4">
        <item x="1"/>
        <item x="0"/>
        <item x="2"/>
        <item t="default"/>
      </items>
    </pivotField>
    <pivotField showAll="0">
      <items count="9">
        <item x="5"/>
        <item x="7"/>
        <item x="1"/>
        <item x="3"/>
        <item x="4"/>
        <item x="2"/>
        <item x="0"/>
        <item x="6"/>
        <item t="default"/>
      </items>
    </pivotField>
    <pivotField showAll="0"/>
    <pivotField showAll="0"/>
    <pivotField showAll="0"/>
    <pivotField showAll="0">
      <items count="366">
        <item x="16"/>
        <item x="200"/>
        <item x="57"/>
        <item x="244"/>
        <item x="287"/>
        <item x="246"/>
        <item x="283"/>
        <item x="120"/>
        <item x="342"/>
        <item x="147"/>
        <item x="276"/>
        <item x="133"/>
        <item x="28"/>
        <item x="134"/>
        <item x="215"/>
        <item x="12"/>
        <item x="178"/>
        <item x="59"/>
        <item x="109"/>
        <item x="101"/>
        <item x="289"/>
        <item x="281"/>
        <item x="159"/>
        <item x="221"/>
        <item x="343"/>
        <item x="224"/>
        <item x="43"/>
        <item x="100"/>
        <item x="107"/>
        <item x="231"/>
        <item x="212"/>
        <item x="271"/>
        <item x="361"/>
        <item x="310"/>
        <item x="168"/>
        <item x="31"/>
        <item x="8"/>
        <item x="73"/>
        <item x="144"/>
        <item x="228"/>
        <item x="154"/>
        <item x="174"/>
        <item x="46"/>
        <item x="232"/>
        <item x="280"/>
        <item x="166"/>
        <item x="243"/>
        <item x="26"/>
        <item x="167"/>
        <item x="354"/>
        <item x="176"/>
        <item x="83"/>
        <item x="15"/>
        <item x="219"/>
        <item x="270"/>
        <item x="345"/>
        <item x="142"/>
        <item x="227"/>
        <item x="302"/>
        <item x="230"/>
        <item x="118"/>
        <item x="162"/>
        <item x="165"/>
        <item x="346"/>
        <item x="236"/>
        <item x="187"/>
        <item x="108"/>
        <item x="255"/>
        <item x="125"/>
        <item x="196"/>
        <item x="182"/>
        <item x="96"/>
        <item x="299"/>
        <item x="191"/>
        <item x="88"/>
        <item x="151"/>
        <item x="263"/>
        <item x="22"/>
        <item x="356"/>
        <item x="138"/>
        <item x="105"/>
        <item x="71"/>
        <item x="25"/>
        <item x="249"/>
        <item x="50"/>
        <item x="24"/>
        <item x="251"/>
        <item x="265"/>
        <item x="54"/>
        <item x="42"/>
        <item x="106"/>
        <item x="235"/>
        <item x="189"/>
        <item x="94"/>
        <item x="332"/>
        <item x="34"/>
        <item x="303"/>
        <item x="334"/>
        <item x="329"/>
        <item x="360"/>
        <item x="89"/>
        <item x="27"/>
        <item x="112"/>
        <item x="274"/>
        <item x="211"/>
        <item x="275"/>
        <item x="37"/>
        <item x="23"/>
        <item x="257"/>
        <item x="130"/>
        <item x="136"/>
        <item x="225"/>
        <item x="92"/>
        <item x="358"/>
        <item x="239"/>
        <item x="148"/>
        <item x="169"/>
        <item x="250"/>
        <item x="55"/>
        <item x="321"/>
        <item x="188"/>
        <item x="29"/>
        <item x="285"/>
        <item x="122"/>
        <item x="82"/>
        <item x="53"/>
        <item x="206"/>
        <item x="293"/>
        <item x="170"/>
        <item x="36"/>
        <item x="295"/>
        <item x="35"/>
        <item x="292"/>
        <item x="123"/>
        <item x="135"/>
        <item x="80"/>
        <item x="171"/>
        <item x="194"/>
        <item x="352"/>
        <item x="296"/>
        <item x="13"/>
        <item x="325"/>
        <item x="294"/>
        <item x="183"/>
        <item x="241"/>
        <item x="190"/>
        <item x="104"/>
        <item x="66"/>
        <item x="238"/>
        <item x="119"/>
        <item x="9"/>
        <item x="126"/>
        <item x="177"/>
        <item x="262"/>
        <item x="355"/>
        <item x="140"/>
        <item x="307"/>
        <item x="300"/>
        <item x="268"/>
        <item x="85"/>
        <item x="331"/>
        <item x="51"/>
        <item x="45"/>
        <item x="155"/>
        <item x="175"/>
        <item x="91"/>
        <item x="65"/>
        <item x="240"/>
        <item x="311"/>
        <item x="137"/>
        <item x="124"/>
        <item x="222"/>
        <item x="317"/>
        <item x="111"/>
        <item x="44"/>
        <item x="179"/>
        <item x="305"/>
        <item x="2"/>
        <item x="161"/>
        <item x="306"/>
        <item x="62"/>
        <item x="193"/>
        <item x="180"/>
        <item x="314"/>
        <item x="218"/>
        <item x="21"/>
        <item x="351"/>
        <item x="350"/>
        <item x="70"/>
        <item x="357"/>
        <item x="0"/>
        <item x="316"/>
        <item x="301"/>
        <item x="348"/>
        <item x="49"/>
        <item x="217"/>
        <item x="322"/>
        <item x="353"/>
        <item x="14"/>
        <item x="1"/>
        <item x="335"/>
        <item x="340"/>
        <item x="363"/>
        <item x="205"/>
        <item x="259"/>
        <item x="203"/>
        <item x="272"/>
        <item x="260"/>
        <item x="30"/>
        <item x="195"/>
        <item x="4"/>
        <item x="192"/>
        <item x="210"/>
        <item x="320"/>
        <item x="103"/>
        <item x="328"/>
        <item x="319"/>
        <item x="248"/>
        <item x="297"/>
        <item x="102"/>
        <item x="33"/>
        <item x="186"/>
        <item x="347"/>
        <item x="233"/>
        <item x="198"/>
        <item x="256"/>
        <item x="284"/>
        <item x="223"/>
        <item x="267"/>
        <item x="3"/>
        <item x="99"/>
        <item x="220"/>
        <item x="338"/>
        <item x="98"/>
        <item x="58"/>
        <item x="75"/>
        <item x="291"/>
        <item x="315"/>
        <item x="114"/>
        <item x="64"/>
        <item x="201"/>
        <item x="213"/>
        <item x="164"/>
        <item x="160"/>
        <item x="7"/>
        <item x="298"/>
        <item x="199"/>
        <item x="313"/>
        <item x="364"/>
        <item x="286"/>
        <item x="277"/>
        <item x="308"/>
        <item x="158"/>
        <item x="253"/>
        <item x="173"/>
        <item x="141"/>
        <item x="95"/>
        <item x="288"/>
        <item x="87"/>
        <item x="362"/>
        <item x="69"/>
        <item x="273"/>
        <item x="11"/>
        <item x="110"/>
        <item x="254"/>
        <item x="63"/>
        <item x="86"/>
        <item x="79"/>
        <item x="156"/>
        <item x="209"/>
        <item x="149"/>
        <item x="245"/>
        <item x="312"/>
        <item x="20"/>
        <item x="226"/>
        <item x="172"/>
        <item x="77"/>
        <item x="234"/>
        <item x="349"/>
        <item x="145"/>
        <item x="97"/>
        <item x="204"/>
        <item x="146"/>
        <item x="330"/>
        <item x="127"/>
        <item x="337"/>
        <item x="185"/>
        <item x="17"/>
        <item x="5"/>
        <item x="48"/>
        <item x="214"/>
        <item x="32"/>
        <item x="181"/>
        <item x="150"/>
        <item x="279"/>
        <item x="84"/>
        <item x="19"/>
        <item x="40"/>
        <item x="153"/>
        <item x="237"/>
        <item x="68"/>
        <item x="41"/>
        <item x="341"/>
        <item x="258"/>
        <item x="39"/>
        <item x="129"/>
        <item x="184"/>
        <item x="157"/>
        <item x="132"/>
        <item x="139"/>
        <item x="67"/>
        <item x="327"/>
        <item x="10"/>
        <item x="116"/>
        <item x="359"/>
        <item x="152"/>
        <item x="81"/>
        <item x="344"/>
        <item x="115"/>
        <item x="52"/>
        <item x="278"/>
        <item x="202"/>
        <item x="128"/>
        <item x="143"/>
        <item x="197"/>
        <item x="47"/>
        <item x="290"/>
        <item x="261"/>
        <item x="78"/>
        <item x="264"/>
        <item x="333"/>
        <item x="61"/>
        <item x="336"/>
        <item x="93"/>
        <item x="252"/>
        <item x="339"/>
        <item x="309"/>
        <item x="72"/>
        <item x="163"/>
        <item x="324"/>
        <item x="56"/>
        <item x="38"/>
        <item x="304"/>
        <item x="208"/>
        <item x="323"/>
        <item x="6"/>
        <item x="121"/>
        <item x="18"/>
        <item x="269"/>
        <item x="113"/>
        <item x="207"/>
        <item x="242"/>
        <item x="216"/>
        <item x="90"/>
        <item x="76"/>
        <item x="229"/>
        <item x="131"/>
        <item x="282"/>
        <item x="60"/>
        <item x="318"/>
        <item x="266"/>
        <item x="74"/>
        <item x="247"/>
        <item x="117"/>
        <item x="326"/>
        <item t="default"/>
      </items>
    </pivotField>
    <pivotField showAll="0"/>
    <pivotField showAll="0">
      <items count="51">
        <item x="30"/>
        <item x="48"/>
        <item x="14"/>
        <item x="27"/>
        <item x="40"/>
        <item x="38"/>
        <item x="8"/>
        <item x="15"/>
        <item x="32"/>
        <item x="29"/>
        <item x="47"/>
        <item x="16"/>
        <item x="42"/>
        <item x="12"/>
        <item x="1"/>
        <item x="37"/>
        <item x="36"/>
        <item x="20"/>
        <item x="31"/>
        <item x="28"/>
        <item x="23"/>
        <item x="0"/>
        <item x="2"/>
        <item x="13"/>
        <item x="39"/>
        <item x="19"/>
        <item x="24"/>
        <item x="17"/>
        <item x="45"/>
        <item x="18"/>
        <item x="3"/>
        <item x="43"/>
        <item x="7"/>
        <item x="6"/>
        <item x="41"/>
        <item x="21"/>
        <item x="25"/>
        <item x="33"/>
        <item x="11"/>
        <item x="44"/>
        <item x="26"/>
        <item x="9"/>
        <item x="4"/>
        <item x="46"/>
        <item x="49"/>
        <item x="5"/>
        <item x="10"/>
        <item x="34"/>
        <item x="35"/>
        <item x="22"/>
        <item t="default"/>
      </items>
    </pivotField>
    <pivotField showAll="0"/>
    <pivotField showAll="0"/>
    <pivotField showAll="0">
      <items count="6">
        <item x="2"/>
        <item x="4"/>
        <item x="1"/>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1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58FC8D8B-A16B-4708-A504-0A1F54EB9FFD}" name="PivotTable29" cacheId="0"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E8" firstHeaderRow="0" firstDataRow="0" firstDataCol="0"/>
  <pivotFields count="32">
    <pivotField showAll="0"/>
    <pivotField showAll="0"/>
    <pivotField showAll="0"/>
    <pivotField showAll="0"/>
    <pivotField showAll="0"/>
    <pivotField showAll="0">
      <items count="4">
        <item x="1"/>
        <item x="0"/>
        <item x="2"/>
        <item t="default"/>
      </items>
    </pivotField>
    <pivotField showAll="0">
      <items count="9">
        <item x="5"/>
        <item x="7"/>
        <item x="1"/>
        <item x="3"/>
        <item x="4"/>
        <item x="2"/>
        <item x="0"/>
        <item x="6"/>
        <item t="default"/>
      </items>
    </pivotField>
    <pivotField showAll="0"/>
    <pivotField showAll="0"/>
    <pivotField showAll="0"/>
    <pivotField showAll="0">
      <items count="366">
        <item x="16"/>
        <item x="200"/>
        <item x="57"/>
        <item x="244"/>
        <item x="287"/>
        <item x="246"/>
        <item x="283"/>
        <item x="120"/>
        <item x="342"/>
        <item x="147"/>
        <item x="276"/>
        <item x="133"/>
        <item x="28"/>
        <item x="134"/>
        <item x="215"/>
        <item x="12"/>
        <item x="178"/>
        <item x="59"/>
        <item x="109"/>
        <item x="101"/>
        <item x="289"/>
        <item x="281"/>
        <item x="159"/>
        <item x="221"/>
        <item x="343"/>
        <item x="224"/>
        <item x="43"/>
        <item x="100"/>
        <item x="107"/>
        <item x="231"/>
        <item x="212"/>
        <item x="271"/>
        <item x="361"/>
        <item x="310"/>
        <item x="168"/>
        <item x="31"/>
        <item x="8"/>
        <item x="73"/>
        <item x="144"/>
        <item x="228"/>
        <item x="154"/>
        <item x="174"/>
        <item x="46"/>
        <item x="232"/>
        <item x="280"/>
        <item x="166"/>
        <item x="243"/>
        <item x="26"/>
        <item x="167"/>
        <item x="354"/>
        <item x="176"/>
        <item x="83"/>
        <item x="15"/>
        <item x="219"/>
        <item x="270"/>
        <item x="345"/>
        <item x="142"/>
        <item x="227"/>
        <item x="302"/>
        <item x="230"/>
        <item x="118"/>
        <item x="162"/>
        <item x="165"/>
        <item x="346"/>
        <item x="236"/>
        <item x="187"/>
        <item x="108"/>
        <item x="255"/>
        <item x="125"/>
        <item x="196"/>
        <item x="182"/>
        <item x="96"/>
        <item x="299"/>
        <item x="191"/>
        <item x="88"/>
        <item x="151"/>
        <item x="263"/>
        <item x="22"/>
        <item x="356"/>
        <item x="138"/>
        <item x="105"/>
        <item x="71"/>
        <item x="25"/>
        <item x="249"/>
        <item x="50"/>
        <item x="24"/>
        <item x="251"/>
        <item x="265"/>
        <item x="54"/>
        <item x="42"/>
        <item x="106"/>
        <item x="235"/>
        <item x="189"/>
        <item x="94"/>
        <item x="332"/>
        <item x="34"/>
        <item x="303"/>
        <item x="334"/>
        <item x="329"/>
        <item x="360"/>
        <item x="89"/>
        <item x="27"/>
        <item x="112"/>
        <item x="274"/>
        <item x="211"/>
        <item x="275"/>
        <item x="37"/>
        <item x="23"/>
        <item x="257"/>
        <item x="130"/>
        <item x="136"/>
        <item x="225"/>
        <item x="92"/>
        <item x="358"/>
        <item x="239"/>
        <item x="148"/>
        <item x="169"/>
        <item x="250"/>
        <item x="55"/>
        <item x="321"/>
        <item x="188"/>
        <item x="29"/>
        <item x="285"/>
        <item x="122"/>
        <item x="82"/>
        <item x="53"/>
        <item x="206"/>
        <item x="293"/>
        <item x="170"/>
        <item x="36"/>
        <item x="295"/>
        <item x="35"/>
        <item x="292"/>
        <item x="123"/>
        <item x="135"/>
        <item x="80"/>
        <item x="171"/>
        <item x="194"/>
        <item x="352"/>
        <item x="296"/>
        <item x="13"/>
        <item x="325"/>
        <item x="294"/>
        <item x="183"/>
        <item x="241"/>
        <item x="190"/>
        <item x="104"/>
        <item x="66"/>
        <item x="238"/>
        <item x="119"/>
        <item x="9"/>
        <item x="126"/>
        <item x="177"/>
        <item x="262"/>
        <item x="355"/>
        <item x="140"/>
        <item x="307"/>
        <item x="300"/>
        <item x="268"/>
        <item x="85"/>
        <item x="331"/>
        <item x="51"/>
        <item x="45"/>
        <item x="155"/>
        <item x="175"/>
        <item x="91"/>
        <item x="65"/>
        <item x="240"/>
        <item x="311"/>
        <item x="137"/>
        <item x="124"/>
        <item x="222"/>
        <item x="317"/>
        <item x="111"/>
        <item x="44"/>
        <item x="179"/>
        <item x="305"/>
        <item x="2"/>
        <item x="161"/>
        <item x="306"/>
        <item x="62"/>
        <item x="193"/>
        <item x="180"/>
        <item x="314"/>
        <item x="218"/>
        <item x="21"/>
        <item x="351"/>
        <item x="350"/>
        <item x="70"/>
        <item x="357"/>
        <item x="0"/>
        <item x="316"/>
        <item x="301"/>
        <item x="348"/>
        <item x="49"/>
        <item x="217"/>
        <item x="322"/>
        <item x="353"/>
        <item x="14"/>
        <item x="1"/>
        <item x="335"/>
        <item x="340"/>
        <item x="363"/>
        <item x="205"/>
        <item x="259"/>
        <item x="203"/>
        <item x="272"/>
        <item x="260"/>
        <item x="30"/>
        <item x="195"/>
        <item x="4"/>
        <item x="192"/>
        <item x="210"/>
        <item x="320"/>
        <item x="103"/>
        <item x="328"/>
        <item x="319"/>
        <item x="248"/>
        <item x="297"/>
        <item x="102"/>
        <item x="33"/>
        <item x="186"/>
        <item x="347"/>
        <item x="233"/>
        <item x="198"/>
        <item x="256"/>
        <item x="284"/>
        <item x="223"/>
        <item x="267"/>
        <item x="3"/>
        <item x="99"/>
        <item x="220"/>
        <item x="338"/>
        <item x="98"/>
        <item x="58"/>
        <item x="75"/>
        <item x="291"/>
        <item x="315"/>
        <item x="114"/>
        <item x="64"/>
        <item x="201"/>
        <item x="213"/>
        <item x="164"/>
        <item x="160"/>
        <item x="7"/>
        <item x="298"/>
        <item x="199"/>
        <item x="313"/>
        <item x="364"/>
        <item x="286"/>
        <item x="277"/>
        <item x="308"/>
        <item x="158"/>
        <item x="253"/>
        <item x="173"/>
        <item x="141"/>
        <item x="95"/>
        <item x="288"/>
        <item x="87"/>
        <item x="362"/>
        <item x="69"/>
        <item x="273"/>
        <item x="11"/>
        <item x="110"/>
        <item x="254"/>
        <item x="63"/>
        <item x="86"/>
        <item x="79"/>
        <item x="156"/>
        <item x="209"/>
        <item x="149"/>
        <item x="245"/>
        <item x="312"/>
        <item x="20"/>
        <item x="226"/>
        <item x="172"/>
        <item x="77"/>
        <item x="234"/>
        <item x="349"/>
        <item x="145"/>
        <item x="97"/>
        <item x="204"/>
        <item x="146"/>
        <item x="330"/>
        <item x="127"/>
        <item x="337"/>
        <item x="185"/>
        <item x="17"/>
        <item x="5"/>
        <item x="48"/>
        <item x="214"/>
        <item x="32"/>
        <item x="181"/>
        <item x="150"/>
        <item x="279"/>
        <item x="84"/>
        <item x="19"/>
        <item x="40"/>
        <item x="153"/>
        <item x="237"/>
        <item x="68"/>
        <item x="41"/>
        <item x="341"/>
        <item x="258"/>
        <item x="39"/>
        <item x="129"/>
        <item x="184"/>
        <item x="157"/>
        <item x="132"/>
        <item x="139"/>
        <item x="67"/>
        <item x="327"/>
        <item x="10"/>
        <item x="116"/>
        <item x="359"/>
        <item x="152"/>
        <item x="81"/>
        <item x="344"/>
        <item x="115"/>
        <item x="52"/>
        <item x="278"/>
        <item x="202"/>
        <item x="128"/>
        <item x="143"/>
        <item x="197"/>
        <item x="47"/>
        <item x="290"/>
        <item x="261"/>
        <item x="78"/>
        <item x="264"/>
        <item x="333"/>
        <item x="61"/>
        <item x="336"/>
        <item x="93"/>
        <item x="252"/>
        <item x="339"/>
        <item x="309"/>
        <item x="72"/>
        <item x="163"/>
        <item x="324"/>
        <item x="56"/>
        <item x="38"/>
        <item x="304"/>
        <item x="208"/>
        <item x="323"/>
        <item x="6"/>
        <item x="121"/>
        <item x="18"/>
        <item x="269"/>
        <item x="113"/>
        <item x="207"/>
        <item x="242"/>
        <item x="216"/>
        <item x="90"/>
        <item x="76"/>
        <item x="229"/>
        <item x="131"/>
        <item x="282"/>
        <item x="60"/>
        <item x="318"/>
        <item x="266"/>
        <item x="74"/>
        <item x="247"/>
        <item x="117"/>
        <item x="326"/>
        <item t="default"/>
      </items>
    </pivotField>
    <pivotField showAll="0"/>
    <pivotField showAll="0">
      <items count="51">
        <item x="30"/>
        <item x="48"/>
        <item x="14"/>
        <item x="27"/>
        <item x="40"/>
        <item x="38"/>
        <item x="8"/>
        <item x="15"/>
        <item x="32"/>
        <item x="29"/>
        <item x="47"/>
        <item x="16"/>
        <item x="42"/>
        <item x="12"/>
        <item x="1"/>
        <item x="37"/>
        <item x="36"/>
        <item x="20"/>
        <item x="31"/>
        <item x="28"/>
        <item x="23"/>
        <item x="0"/>
        <item x="2"/>
        <item x="13"/>
        <item x="39"/>
        <item x="19"/>
        <item x="24"/>
        <item x="17"/>
        <item x="45"/>
        <item x="18"/>
        <item x="3"/>
        <item x="43"/>
        <item x="7"/>
        <item x="6"/>
        <item x="41"/>
        <item x="21"/>
        <item x="25"/>
        <item x="33"/>
        <item x="11"/>
        <item x="44"/>
        <item x="26"/>
        <item x="9"/>
        <item x="4"/>
        <item x="46"/>
        <item x="49"/>
        <item x="5"/>
        <item x="10"/>
        <item x="34"/>
        <item x="35"/>
        <item x="22"/>
        <item t="default"/>
      </items>
    </pivotField>
    <pivotField showAll="0"/>
    <pivotField showAll="0"/>
    <pivotField showAll="0">
      <items count="6">
        <item x="2"/>
        <item x="4"/>
        <item x="1"/>
        <item x="3"/>
        <item x="0"/>
        <item t="default"/>
      </items>
    </pivotField>
    <pivotField showAll="0"/>
    <pivotField showAll="0"/>
    <pivotField showAll="0"/>
    <pivotField showAll="0"/>
    <pivotField showAll="0"/>
    <pivotField dataField="1" showAll="0"/>
    <pivotField showAll="0"/>
    <pivotField showAll="0"/>
    <pivotField showAll="0"/>
    <pivotField axis="axisRow" showAll="0">
      <items count="101">
        <item x="35"/>
        <item x="37"/>
        <item x="39"/>
        <item x="58"/>
        <item x="74"/>
        <item x="11"/>
        <item x="85"/>
        <item x="21"/>
        <item x="3"/>
        <item x="0"/>
        <item x="1"/>
        <item x="54"/>
        <item x="22"/>
        <item x="67"/>
        <item x="59"/>
        <item x="8"/>
        <item x="52"/>
        <item x="82"/>
        <item x="42"/>
        <item x="46"/>
        <item x="64"/>
        <item x="18"/>
        <item x="77"/>
        <item x="4"/>
        <item x="60"/>
        <item x="29"/>
        <item x="5"/>
        <item x="17"/>
        <item x="45"/>
        <item x="7"/>
        <item x="99"/>
        <item x="31"/>
        <item x="70"/>
        <item x="13"/>
        <item x="79"/>
        <item x="97"/>
        <item x="14"/>
        <item x="63"/>
        <item x="84"/>
        <item x="26"/>
        <item x="71"/>
        <item x="98"/>
        <item x="87"/>
        <item x="36"/>
        <item x="51"/>
        <item x="28"/>
        <item x="83"/>
        <item x="53"/>
        <item x="20"/>
        <item x="38"/>
        <item x="57"/>
        <item x="9"/>
        <item x="12"/>
        <item x="30"/>
        <item x="10"/>
        <item x="2"/>
        <item x="50"/>
        <item x="93"/>
        <item x="56"/>
        <item x="62"/>
        <item x="68"/>
        <item x="92"/>
        <item x="90"/>
        <item x="24"/>
        <item x="72"/>
        <item x="69"/>
        <item x="65"/>
        <item x="44"/>
        <item x="15"/>
        <item x="41"/>
        <item x="6"/>
        <item x="19"/>
        <item x="78"/>
        <item x="40"/>
        <item x="86"/>
        <item x="66"/>
        <item x="80"/>
        <item x="47"/>
        <item x="76"/>
        <item x="75"/>
        <item x="95"/>
        <item x="43"/>
        <item x="94"/>
        <item x="32"/>
        <item x="89"/>
        <item x="49"/>
        <item x="96"/>
        <item x="48"/>
        <item x="73"/>
        <item x="23"/>
        <item x="25"/>
        <item x="34"/>
        <item x="81"/>
        <item x="33"/>
        <item x="16"/>
        <item x="61"/>
        <item x="27"/>
        <item x="88"/>
        <item x="55"/>
        <item x="91"/>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5"/>
  </rowFields>
  <rowItems count="1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t="grand">
      <x/>
    </i>
  </rowItems>
  <colItems count="1">
    <i/>
  </colItems>
  <dataFields count="1">
    <dataField name="Sum of Amount" fld="2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1C95821D-907D-4338-819A-403D328C2F2A}" name="PivotTable18"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15">
  <location ref="M23:N29" firstHeaderRow="1" firstDataRow="1" firstDataCol="1"/>
  <pivotFields count="32">
    <pivotField showAll="0"/>
    <pivotField showAll="0"/>
    <pivotField showAll="0"/>
    <pivotField showAll="0"/>
    <pivotField showAll="0"/>
    <pivotField showAll="0">
      <items count="4">
        <item x="1"/>
        <item x="0"/>
        <item x="2"/>
        <item t="default"/>
      </items>
    </pivotField>
    <pivotField showAll="0">
      <items count="9">
        <item x="5"/>
        <item x="7"/>
        <item x="1"/>
        <item x="3"/>
        <item x="4"/>
        <item x="2"/>
        <item x="0"/>
        <item x="6"/>
        <item t="default"/>
      </items>
    </pivotField>
    <pivotField showAll="0"/>
    <pivotField showAll="0"/>
    <pivotField showAll="0"/>
    <pivotField showAll="0">
      <items count="366">
        <item x="16"/>
        <item x="200"/>
        <item x="57"/>
        <item x="244"/>
        <item x="287"/>
        <item x="246"/>
        <item x="283"/>
        <item x="120"/>
        <item x="342"/>
        <item x="147"/>
        <item x="276"/>
        <item x="133"/>
        <item x="28"/>
        <item x="134"/>
        <item x="215"/>
        <item x="12"/>
        <item x="178"/>
        <item x="59"/>
        <item x="109"/>
        <item x="101"/>
        <item x="289"/>
        <item x="281"/>
        <item x="159"/>
        <item x="221"/>
        <item x="343"/>
        <item x="224"/>
        <item x="43"/>
        <item x="100"/>
        <item x="107"/>
        <item x="231"/>
        <item x="212"/>
        <item x="271"/>
        <item x="361"/>
        <item x="310"/>
        <item x="168"/>
        <item x="31"/>
        <item x="8"/>
        <item x="73"/>
        <item x="144"/>
        <item x="228"/>
        <item x="154"/>
        <item x="174"/>
        <item x="46"/>
        <item x="232"/>
        <item x="280"/>
        <item x="166"/>
        <item x="243"/>
        <item x="26"/>
        <item x="167"/>
        <item x="354"/>
        <item x="176"/>
        <item x="83"/>
        <item x="15"/>
        <item x="219"/>
        <item x="270"/>
        <item x="345"/>
        <item x="142"/>
        <item x="227"/>
        <item x="302"/>
        <item x="230"/>
        <item x="118"/>
        <item x="162"/>
        <item x="165"/>
        <item x="346"/>
        <item x="236"/>
        <item x="187"/>
        <item x="108"/>
        <item x="255"/>
        <item x="125"/>
        <item x="196"/>
        <item x="182"/>
        <item x="96"/>
        <item x="299"/>
        <item x="191"/>
        <item x="88"/>
        <item x="151"/>
        <item x="263"/>
        <item x="22"/>
        <item x="356"/>
        <item x="138"/>
        <item x="105"/>
        <item x="71"/>
        <item x="25"/>
        <item x="249"/>
        <item x="50"/>
        <item x="24"/>
        <item x="251"/>
        <item x="265"/>
        <item x="54"/>
        <item x="42"/>
        <item x="106"/>
        <item x="235"/>
        <item x="189"/>
        <item x="94"/>
        <item x="332"/>
        <item x="34"/>
        <item x="303"/>
        <item x="334"/>
        <item x="329"/>
        <item x="360"/>
        <item x="89"/>
        <item x="27"/>
        <item x="112"/>
        <item x="274"/>
        <item x="211"/>
        <item x="275"/>
        <item x="37"/>
        <item x="23"/>
        <item x="257"/>
        <item x="130"/>
        <item x="136"/>
        <item x="225"/>
        <item x="92"/>
        <item x="358"/>
        <item x="239"/>
        <item x="148"/>
        <item x="169"/>
        <item x="250"/>
        <item x="55"/>
        <item x="321"/>
        <item x="188"/>
        <item x="29"/>
        <item x="285"/>
        <item x="122"/>
        <item x="82"/>
        <item x="53"/>
        <item x="206"/>
        <item x="293"/>
        <item x="170"/>
        <item x="36"/>
        <item x="295"/>
        <item x="35"/>
        <item x="292"/>
        <item x="123"/>
        <item x="135"/>
        <item x="80"/>
        <item x="171"/>
        <item x="194"/>
        <item x="352"/>
        <item x="296"/>
        <item x="13"/>
        <item x="325"/>
        <item x="294"/>
        <item x="183"/>
        <item x="241"/>
        <item x="190"/>
        <item x="104"/>
        <item x="66"/>
        <item x="238"/>
        <item x="119"/>
        <item x="9"/>
        <item x="126"/>
        <item x="177"/>
        <item x="262"/>
        <item x="355"/>
        <item x="140"/>
        <item x="307"/>
        <item x="300"/>
        <item x="268"/>
        <item x="85"/>
        <item x="331"/>
        <item x="51"/>
        <item x="45"/>
        <item x="155"/>
        <item x="175"/>
        <item x="91"/>
        <item x="65"/>
        <item x="240"/>
        <item x="311"/>
        <item x="137"/>
        <item x="124"/>
        <item x="222"/>
        <item x="317"/>
        <item x="111"/>
        <item x="44"/>
        <item x="179"/>
        <item x="305"/>
        <item x="2"/>
        <item x="161"/>
        <item x="306"/>
        <item x="62"/>
        <item x="193"/>
        <item x="180"/>
        <item x="314"/>
        <item x="218"/>
        <item x="21"/>
        <item x="351"/>
        <item x="350"/>
        <item x="70"/>
        <item x="357"/>
        <item x="0"/>
        <item x="316"/>
        <item x="301"/>
        <item x="348"/>
        <item x="49"/>
        <item x="217"/>
        <item x="322"/>
        <item x="353"/>
        <item x="14"/>
        <item x="1"/>
        <item x="335"/>
        <item x="340"/>
        <item x="363"/>
        <item x="205"/>
        <item x="259"/>
        <item x="203"/>
        <item x="272"/>
        <item x="260"/>
        <item x="30"/>
        <item x="195"/>
        <item x="4"/>
        <item x="192"/>
        <item x="210"/>
        <item x="320"/>
        <item x="103"/>
        <item x="328"/>
        <item x="319"/>
        <item x="248"/>
        <item x="297"/>
        <item x="102"/>
        <item x="33"/>
        <item x="186"/>
        <item x="347"/>
        <item x="233"/>
        <item x="198"/>
        <item x="256"/>
        <item x="284"/>
        <item x="223"/>
        <item x="267"/>
        <item x="3"/>
        <item x="99"/>
        <item x="220"/>
        <item x="338"/>
        <item x="98"/>
        <item x="58"/>
        <item x="75"/>
        <item x="291"/>
        <item x="315"/>
        <item x="114"/>
        <item x="64"/>
        <item x="201"/>
        <item x="213"/>
        <item x="164"/>
        <item x="160"/>
        <item x="7"/>
        <item x="298"/>
        <item x="199"/>
        <item x="313"/>
        <item x="364"/>
        <item x="286"/>
        <item x="277"/>
        <item x="308"/>
        <item x="158"/>
        <item x="253"/>
        <item x="173"/>
        <item x="141"/>
        <item x="95"/>
        <item x="288"/>
        <item x="87"/>
        <item x="362"/>
        <item x="69"/>
        <item x="273"/>
        <item x="11"/>
        <item x="110"/>
        <item x="254"/>
        <item x="63"/>
        <item x="86"/>
        <item x="79"/>
        <item x="156"/>
        <item x="209"/>
        <item x="149"/>
        <item x="245"/>
        <item x="312"/>
        <item x="20"/>
        <item x="226"/>
        <item x="172"/>
        <item x="77"/>
        <item x="234"/>
        <item x="349"/>
        <item x="145"/>
        <item x="97"/>
        <item x="204"/>
        <item x="146"/>
        <item x="330"/>
        <item x="127"/>
        <item x="337"/>
        <item x="185"/>
        <item x="17"/>
        <item x="5"/>
        <item x="48"/>
        <item x="214"/>
        <item x="32"/>
        <item x="181"/>
        <item x="150"/>
        <item x="279"/>
        <item x="84"/>
        <item x="19"/>
        <item x="40"/>
        <item x="153"/>
        <item x="237"/>
        <item x="68"/>
        <item x="41"/>
        <item x="341"/>
        <item x="258"/>
        <item x="39"/>
        <item x="129"/>
        <item x="184"/>
        <item x="157"/>
        <item x="132"/>
        <item x="139"/>
        <item x="67"/>
        <item x="327"/>
        <item x="10"/>
        <item x="116"/>
        <item x="359"/>
        <item x="152"/>
        <item x="81"/>
        <item x="344"/>
        <item x="115"/>
        <item x="52"/>
        <item x="278"/>
        <item x="202"/>
        <item x="128"/>
        <item x="143"/>
        <item x="197"/>
        <item x="47"/>
        <item x="290"/>
        <item x="261"/>
        <item x="78"/>
        <item x="264"/>
        <item x="333"/>
        <item x="61"/>
        <item x="336"/>
        <item x="93"/>
        <item x="252"/>
        <item x="339"/>
        <item x="309"/>
        <item x="72"/>
        <item x="163"/>
        <item x="324"/>
        <item x="56"/>
        <item x="38"/>
        <item x="304"/>
        <item x="208"/>
        <item x="323"/>
        <item x="6"/>
        <item x="121"/>
        <item x="18"/>
        <item x="269"/>
        <item x="113"/>
        <item x="207"/>
        <item x="242"/>
        <item x="216"/>
        <item x="90"/>
        <item x="76"/>
        <item x="229"/>
        <item x="131"/>
        <item x="282"/>
        <item x="60"/>
        <item x="318"/>
        <item x="266"/>
        <item x="74"/>
        <item x="247"/>
        <item x="117"/>
        <item x="326"/>
        <item t="default"/>
      </items>
    </pivotField>
    <pivotField showAll="0"/>
    <pivotField showAll="0">
      <items count="51">
        <item x="30"/>
        <item x="48"/>
        <item x="14"/>
        <item x="27"/>
        <item x="40"/>
        <item x="38"/>
        <item x="8"/>
        <item x="15"/>
        <item x="32"/>
        <item x="29"/>
        <item x="47"/>
        <item x="16"/>
        <item x="42"/>
        <item x="12"/>
        <item x="1"/>
        <item x="37"/>
        <item x="36"/>
        <item x="20"/>
        <item x="31"/>
        <item x="28"/>
        <item x="23"/>
        <item x="0"/>
        <item x="2"/>
        <item x="13"/>
        <item x="39"/>
        <item x="19"/>
        <item x="24"/>
        <item x="17"/>
        <item x="45"/>
        <item x="18"/>
        <item x="3"/>
        <item x="43"/>
        <item x="7"/>
        <item x="6"/>
        <item x="41"/>
        <item x="21"/>
        <item x="25"/>
        <item x="33"/>
        <item x="11"/>
        <item x="44"/>
        <item x="26"/>
        <item x="9"/>
        <item x="4"/>
        <item x="46"/>
        <item x="49"/>
        <item x="5"/>
        <item x="10"/>
        <item x="34"/>
        <item x="35"/>
        <item x="22"/>
        <item t="default"/>
      </items>
    </pivotField>
    <pivotField showAll="0"/>
    <pivotField showAll="0"/>
    <pivotField axis="axisRow" dataField="1" showAll="0">
      <items count="6">
        <item x="2"/>
        <item x="4"/>
        <item x="1"/>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5"/>
  </rowFields>
  <rowItems count="6">
    <i>
      <x/>
    </i>
    <i>
      <x v="1"/>
    </i>
    <i>
      <x v="2"/>
    </i>
    <i>
      <x v="3"/>
    </i>
    <i>
      <x v="4"/>
    </i>
    <i t="grand">
      <x/>
    </i>
  </rowItems>
  <colItems count="1">
    <i/>
  </colItems>
  <dataFields count="1">
    <dataField name="Count of Coupon_Code" fld="15" subtotal="count" baseField="0" baseItem="0"/>
  </dataFields>
  <chartFormats count="12">
    <chartFormat chart="10" format="0" series="1">
      <pivotArea type="data" outline="0" fieldPosition="0">
        <references count="1">
          <reference field="4294967294" count="1" selected="0">
            <x v="0"/>
          </reference>
        </references>
      </pivotArea>
    </chartFormat>
    <chartFormat chart="14" format="7" series="1">
      <pivotArea type="data" outline="0" fieldPosition="0">
        <references count="1">
          <reference field="4294967294" count="1" selected="0">
            <x v="0"/>
          </reference>
        </references>
      </pivotArea>
    </chartFormat>
    <chartFormat chart="14" format="8">
      <pivotArea type="data" outline="0" fieldPosition="0">
        <references count="2">
          <reference field="4294967294" count="1" selected="0">
            <x v="0"/>
          </reference>
          <reference field="15" count="1" selected="0">
            <x v="0"/>
          </reference>
        </references>
      </pivotArea>
    </chartFormat>
    <chartFormat chart="14" format="9">
      <pivotArea type="data" outline="0" fieldPosition="0">
        <references count="2">
          <reference field="4294967294" count="1" selected="0">
            <x v="0"/>
          </reference>
          <reference field="15" count="1" selected="0">
            <x v="1"/>
          </reference>
        </references>
      </pivotArea>
    </chartFormat>
    <chartFormat chart="14" format="10">
      <pivotArea type="data" outline="0" fieldPosition="0">
        <references count="2">
          <reference field="4294967294" count="1" selected="0">
            <x v="0"/>
          </reference>
          <reference field="15" count="1" selected="0">
            <x v="2"/>
          </reference>
        </references>
      </pivotArea>
    </chartFormat>
    <chartFormat chart="14" format="11">
      <pivotArea type="data" outline="0" fieldPosition="0">
        <references count="2">
          <reference field="4294967294" count="1" selected="0">
            <x v="0"/>
          </reference>
          <reference field="15" count="1" selected="0">
            <x v="3"/>
          </reference>
        </references>
      </pivotArea>
    </chartFormat>
    <chartFormat chart="14" format="12">
      <pivotArea type="data" outline="0" fieldPosition="0">
        <references count="2">
          <reference field="4294967294" count="1" selected="0">
            <x v="0"/>
          </reference>
          <reference field="15" count="1" selected="0">
            <x v="4"/>
          </reference>
        </references>
      </pivotArea>
    </chartFormat>
    <chartFormat chart="10" format="1">
      <pivotArea type="data" outline="0" fieldPosition="0">
        <references count="2">
          <reference field="4294967294" count="1" selected="0">
            <x v="0"/>
          </reference>
          <reference field="15" count="1" selected="0">
            <x v="0"/>
          </reference>
        </references>
      </pivotArea>
    </chartFormat>
    <chartFormat chart="10" format="2">
      <pivotArea type="data" outline="0" fieldPosition="0">
        <references count="2">
          <reference field="4294967294" count="1" selected="0">
            <x v="0"/>
          </reference>
          <reference field="15" count="1" selected="0">
            <x v="1"/>
          </reference>
        </references>
      </pivotArea>
    </chartFormat>
    <chartFormat chart="10" format="3">
      <pivotArea type="data" outline="0" fieldPosition="0">
        <references count="2">
          <reference field="4294967294" count="1" selected="0">
            <x v="0"/>
          </reference>
          <reference field="15" count="1" selected="0">
            <x v="2"/>
          </reference>
        </references>
      </pivotArea>
    </chartFormat>
    <chartFormat chart="10" format="4">
      <pivotArea type="data" outline="0" fieldPosition="0">
        <references count="2">
          <reference field="4294967294" count="1" selected="0">
            <x v="0"/>
          </reference>
          <reference field="15" count="1" selected="0">
            <x v="3"/>
          </reference>
        </references>
      </pivotArea>
    </chartFormat>
    <chartFormat chart="10" format="5">
      <pivotArea type="data" outline="0" fieldPosition="0">
        <references count="2">
          <reference field="4294967294" count="1" selected="0">
            <x v="0"/>
          </reference>
          <reference field="1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C7C0DEAB-5DF2-4C7A-B347-88F50B732B54}" name="PivotTable13" cacheId="0"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H51:H52" firstHeaderRow="1" firstDataRow="1" firstDataCol="0"/>
  <pivotFields count="32">
    <pivotField showAll="0"/>
    <pivotField showAll="0"/>
    <pivotField showAll="0"/>
    <pivotField showAll="0"/>
    <pivotField showAll="0"/>
    <pivotField showAll="0">
      <items count="4">
        <item x="1"/>
        <item x="0"/>
        <item x="2"/>
        <item t="default"/>
      </items>
    </pivotField>
    <pivotField showAll="0">
      <items count="9">
        <item x="5"/>
        <item x="7"/>
        <item x="1"/>
        <item x="3"/>
        <item x="4"/>
        <item x="2"/>
        <item x="0"/>
        <item x="6"/>
        <item t="default"/>
      </items>
    </pivotField>
    <pivotField showAll="0"/>
    <pivotField showAll="0"/>
    <pivotField showAll="0"/>
    <pivotField showAll="0">
      <items count="366">
        <item x="16"/>
        <item x="200"/>
        <item x="57"/>
        <item x="244"/>
        <item x="287"/>
        <item x="246"/>
        <item x="283"/>
        <item x="120"/>
        <item x="342"/>
        <item x="147"/>
        <item x="276"/>
        <item x="133"/>
        <item x="28"/>
        <item x="134"/>
        <item x="215"/>
        <item x="12"/>
        <item x="178"/>
        <item x="59"/>
        <item x="109"/>
        <item x="101"/>
        <item x="289"/>
        <item x="281"/>
        <item x="159"/>
        <item x="221"/>
        <item x="343"/>
        <item x="224"/>
        <item x="43"/>
        <item x="100"/>
        <item x="107"/>
        <item x="231"/>
        <item x="212"/>
        <item x="271"/>
        <item x="361"/>
        <item x="310"/>
        <item x="168"/>
        <item x="31"/>
        <item x="8"/>
        <item x="73"/>
        <item x="144"/>
        <item x="228"/>
        <item x="154"/>
        <item x="174"/>
        <item x="46"/>
        <item x="232"/>
        <item x="280"/>
        <item x="166"/>
        <item x="243"/>
        <item x="26"/>
        <item x="167"/>
        <item x="354"/>
        <item x="176"/>
        <item x="83"/>
        <item x="15"/>
        <item x="219"/>
        <item x="270"/>
        <item x="345"/>
        <item x="142"/>
        <item x="227"/>
        <item x="302"/>
        <item x="230"/>
        <item x="118"/>
        <item x="162"/>
        <item x="165"/>
        <item x="346"/>
        <item x="236"/>
        <item x="187"/>
        <item x="108"/>
        <item x="255"/>
        <item x="125"/>
        <item x="196"/>
        <item x="182"/>
        <item x="96"/>
        <item x="299"/>
        <item x="191"/>
        <item x="88"/>
        <item x="151"/>
        <item x="263"/>
        <item x="22"/>
        <item x="356"/>
        <item x="138"/>
        <item x="105"/>
        <item x="71"/>
        <item x="25"/>
        <item x="249"/>
        <item x="50"/>
        <item x="24"/>
        <item x="251"/>
        <item x="265"/>
        <item x="54"/>
        <item x="42"/>
        <item x="106"/>
        <item x="235"/>
        <item x="189"/>
        <item x="94"/>
        <item x="332"/>
        <item x="34"/>
        <item x="303"/>
        <item x="334"/>
        <item x="329"/>
        <item x="360"/>
        <item x="89"/>
        <item x="27"/>
        <item x="112"/>
        <item x="274"/>
        <item x="211"/>
        <item x="275"/>
        <item x="37"/>
        <item x="23"/>
        <item x="257"/>
        <item x="130"/>
        <item x="136"/>
        <item x="225"/>
        <item x="92"/>
        <item x="358"/>
        <item x="239"/>
        <item x="148"/>
        <item x="169"/>
        <item x="250"/>
        <item x="55"/>
        <item x="321"/>
        <item x="188"/>
        <item x="29"/>
        <item x="285"/>
        <item x="122"/>
        <item x="82"/>
        <item x="53"/>
        <item x="206"/>
        <item x="293"/>
        <item x="170"/>
        <item x="36"/>
        <item x="295"/>
        <item x="35"/>
        <item x="292"/>
        <item x="123"/>
        <item x="135"/>
        <item x="80"/>
        <item x="171"/>
        <item x="194"/>
        <item x="352"/>
        <item x="296"/>
        <item x="13"/>
        <item x="325"/>
        <item x="294"/>
        <item x="183"/>
        <item x="241"/>
        <item x="190"/>
        <item x="104"/>
        <item x="66"/>
        <item x="238"/>
        <item x="119"/>
        <item x="9"/>
        <item x="126"/>
        <item x="177"/>
        <item x="262"/>
        <item x="355"/>
        <item x="140"/>
        <item x="307"/>
        <item x="300"/>
        <item x="268"/>
        <item x="85"/>
        <item x="331"/>
        <item x="51"/>
        <item x="45"/>
        <item x="155"/>
        <item x="175"/>
        <item x="91"/>
        <item x="65"/>
        <item x="240"/>
        <item x="311"/>
        <item x="137"/>
        <item x="124"/>
        <item x="222"/>
        <item x="317"/>
        <item x="111"/>
        <item x="44"/>
        <item x="179"/>
        <item x="305"/>
        <item x="2"/>
        <item x="161"/>
        <item x="306"/>
        <item x="62"/>
        <item x="193"/>
        <item x="180"/>
        <item x="314"/>
        <item x="218"/>
        <item x="21"/>
        <item x="351"/>
        <item x="350"/>
        <item x="70"/>
        <item x="357"/>
        <item x="0"/>
        <item x="316"/>
        <item x="301"/>
        <item x="348"/>
        <item x="49"/>
        <item x="217"/>
        <item x="322"/>
        <item x="353"/>
        <item x="14"/>
        <item x="1"/>
        <item x="335"/>
        <item x="340"/>
        <item x="363"/>
        <item x="205"/>
        <item x="259"/>
        <item x="203"/>
        <item x="272"/>
        <item x="260"/>
        <item x="30"/>
        <item x="195"/>
        <item x="4"/>
        <item x="192"/>
        <item x="210"/>
        <item x="320"/>
        <item x="103"/>
        <item x="328"/>
        <item x="319"/>
        <item x="248"/>
        <item x="297"/>
        <item x="102"/>
        <item x="33"/>
        <item x="186"/>
        <item x="347"/>
        <item x="233"/>
        <item x="198"/>
        <item x="256"/>
        <item x="284"/>
        <item x="223"/>
        <item x="267"/>
        <item x="3"/>
        <item x="99"/>
        <item x="220"/>
        <item x="338"/>
        <item x="98"/>
        <item x="58"/>
        <item x="75"/>
        <item x="291"/>
        <item x="315"/>
        <item x="114"/>
        <item x="64"/>
        <item x="201"/>
        <item x="213"/>
        <item x="164"/>
        <item x="160"/>
        <item x="7"/>
        <item x="298"/>
        <item x="199"/>
        <item x="313"/>
        <item x="364"/>
        <item x="286"/>
        <item x="277"/>
        <item x="308"/>
        <item x="158"/>
        <item x="253"/>
        <item x="173"/>
        <item x="141"/>
        <item x="95"/>
        <item x="288"/>
        <item x="87"/>
        <item x="362"/>
        <item x="69"/>
        <item x="273"/>
        <item x="11"/>
        <item x="110"/>
        <item x="254"/>
        <item x="63"/>
        <item x="86"/>
        <item x="79"/>
        <item x="156"/>
        <item x="209"/>
        <item x="149"/>
        <item x="245"/>
        <item x="312"/>
        <item x="20"/>
        <item x="226"/>
        <item x="172"/>
        <item x="77"/>
        <item x="234"/>
        <item x="349"/>
        <item x="145"/>
        <item x="97"/>
        <item x="204"/>
        <item x="146"/>
        <item x="330"/>
        <item x="127"/>
        <item x="337"/>
        <item x="185"/>
        <item x="17"/>
        <item x="5"/>
        <item x="48"/>
        <item x="214"/>
        <item x="32"/>
        <item x="181"/>
        <item x="150"/>
        <item x="279"/>
        <item x="84"/>
        <item x="19"/>
        <item x="40"/>
        <item x="153"/>
        <item x="237"/>
        <item x="68"/>
        <item x="41"/>
        <item x="341"/>
        <item x="258"/>
        <item x="39"/>
        <item x="129"/>
        <item x="184"/>
        <item x="157"/>
        <item x="132"/>
        <item x="139"/>
        <item x="67"/>
        <item x="327"/>
        <item x="10"/>
        <item x="116"/>
        <item x="359"/>
        <item x="152"/>
        <item x="81"/>
        <item x="344"/>
        <item x="115"/>
        <item x="52"/>
        <item x="278"/>
        <item x="202"/>
        <item x="128"/>
        <item x="143"/>
        <item x="197"/>
        <item x="47"/>
        <item x="290"/>
        <item x="261"/>
        <item x="78"/>
        <item x="264"/>
        <item x="333"/>
        <item x="61"/>
        <item x="336"/>
        <item x="93"/>
        <item x="252"/>
        <item x="339"/>
        <item x="309"/>
        <item x="72"/>
        <item x="163"/>
        <item x="324"/>
        <item x="56"/>
        <item x="38"/>
        <item x="304"/>
        <item x="208"/>
        <item x="323"/>
        <item x="6"/>
        <item x="121"/>
        <item x="18"/>
        <item x="269"/>
        <item x="113"/>
        <item x="207"/>
        <item x="242"/>
        <item x="216"/>
        <item x="90"/>
        <item x="76"/>
        <item x="229"/>
        <item x="131"/>
        <item x="282"/>
        <item x="60"/>
        <item x="318"/>
        <item x="266"/>
        <item x="74"/>
        <item x="247"/>
        <item x="117"/>
        <item x="326"/>
        <item t="default"/>
      </items>
    </pivotField>
    <pivotField showAll="0"/>
    <pivotField showAll="0">
      <items count="51">
        <item x="30"/>
        <item x="48"/>
        <item x="14"/>
        <item x="27"/>
        <item x="40"/>
        <item x="38"/>
        <item x="8"/>
        <item x="15"/>
        <item x="32"/>
        <item x="29"/>
        <item x="47"/>
        <item x="16"/>
        <item x="42"/>
        <item x="12"/>
        <item x="1"/>
        <item x="37"/>
        <item x="36"/>
        <item x="20"/>
        <item x="31"/>
        <item x="28"/>
        <item x="23"/>
        <item x="0"/>
        <item x="2"/>
        <item x="13"/>
        <item x="39"/>
        <item x="19"/>
        <item x="24"/>
        <item x="17"/>
        <item x="45"/>
        <item x="18"/>
        <item x="3"/>
        <item x="43"/>
        <item x="7"/>
        <item x="6"/>
        <item x="41"/>
        <item x="21"/>
        <item x="25"/>
        <item x="33"/>
        <item x="11"/>
        <item x="44"/>
        <item x="26"/>
        <item x="9"/>
        <item x="4"/>
        <item x="46"/>
        <item x="49"/>
        <item x="5"/>
        <item x="10"/>
        <item x="34"/>
        <item x="35"/>
        <item x="22"/>
        <item t="default"/>
      </items>
    </pivotField>
    <pivotField showAll="0"/>
    <pivotField showAll="0"/>
    <pivotField showAll="0">
      <items count="6">
        <item x="2"/>
        <item x="4"/>
        <item x="1"/>
        <item x="3"/>
        <item x="0"/>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Amount" fld="2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3A313415-3D03-4E2A-B58B-90ED57373509}" name="PivotTable22"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27">
  <location ref="AI26:AJ35" firstHeaderRow="1" firstDataRow="1" firstDataCol="1"/>
  <pivotFields count="32">
    <pivotField showAll="0"/>
    <pivotField showAll="0"/>
    <pivotField showAll="0"/>
    <pivotField showAll="0"/>
    <pivotField showAll="0"/>
    <pivotField showAll="0">
      <items count="4">
        <item x="1"/>
        <item x="0"/>
        <item x="2"/>
        <item t="default"/>
      </items>
    </pivotField>
    <pivotField axis="axisRow" showAll="0">
      <items count="9">
        <item x="5"/>
        <item x="7"/>
        <item x="1"/>
        <item x="3"/>
        <item x="4"/>
        <item x="2"/>
        <item x="0"/>
        <item x="6"/>
        <item t="default"/>
      </items>
    </pivotField>
    <pivotField showAll="0"/>
    <pivotField showAll="0"/>
    <pivotField showAll="0"/>
    <pivotField showAll="0">
      <items count="366">
        <item x="16"/>
        <item x="200"/>
        <item x="57"/>
        <item x="244"/>
        <item x="287"/>
        <item x="246"/>
        <item x="283"/>
        <item x="120"/>
        <item x="342"/>
        <item x="147"/>
        <item x="276"/>
        <item x="133"/>
        <item x="28"/>
        <item x="134"/>
        <item x="215"/>
        <item x="12"/>
        <item x="178"/>
        <item x="59"/>
        <item x="109"/>
        <item x="101"/>
        <item x="289"/>
        <item x="281"/>
        <item x="159"/>
        <item x="221"/>
        <item x="343"/>
        <item x="224"/>
        <item x="43"/>
        <item x="100"/>
        <item x="107"/>
        <item x="231"/>
        <item x="212"/>
        <item x="271"/>
        <item x="361"/>
        <item x="310"/>
        <item x="168"/>
        <item x="31"/>
        <item x="8"/>
        <item x="73"/>
        <item x="144"/>
        <item x="228"/>
        <item x="154"/>
        <item x="174"/>
        <item x="46"/>
        <item x="232"/>
        <item x="280"/>
        <item x="166"/>
        <item x="243"/>
        <item x="26"/>
        <item x="167"/>
        <item x="354"/>
        <item x="176"/>
        <item x="83"/>
        <item x="15"/>
        <item x="219"/>
        <item x="270"/>
        <item x="345"/>
        <item x="142"/>
        <item x="227"/>
        <item x="302"/>
        <item x="230"/>
        <item x="118"/>
        <item x="162"/>
        <item x="165"/>
        <item x="346"/>
        <item x="236"/>
        <item x="187"/>
        <item x="108"/>
        <item x="255"/>
        <item x="125"/>
        <item x="196"/>
        <item x="182"/>
        <item x="96"/>
        <item x="299"/>
        <item x="191"/>
        <item x="88"/>
        <item x="151"/>
        <item x="263"/>
        <item x="22"/>
        <item x="356"/>
        <item x="138"/>
        <item x="105"/>
        <item x="71"/>
        <item x="25"/>
        <item x="249"/>
        <item x="50"/>
        <item x="24"/>
        <item x="251"/>
        <item x="265"/>
        <item x="54"/>
        <item x="42"/>
        <item x="106"/>
        <item x="235"/>
        <item x="189"/>
        <item x="94"/>
        <item x="332"/>
        <item x="34"/>
        <item x="303"/>
        <item x="334"/>
        <item x="329"/>
        <item x="360"/>
        <item x="89"/>
        <item x="27"/>
        <item x="112"/>
        <item x="274"/>
        <item x="211"/>
        <item x="275"/>
        <item x="37"/>
        <item x="23"/>
        <item x="257"/>
        <item x="130"/>
        <item x="136"/>
        <item x="225"/>
        <item x="92"/>
        <item x="358"/>
        <item x="239"/>
        <item x="148"/>
        <item x="169"/>
        <item x="250"/>
        <item x="55"/>
        <item x="321"/>
        <item x="188"/>
        <item x="29"/>
        <item x="285"/>
        <item x="122"/>
        <item x="82"/>
        <item x="53"/>
        <item x="206"/>
        <item x="293"/>
        <item x="170"/>
        <item x="36"/>
        <item x="295"/>
        <item x="35"/>
        <item x="292"/>
        <item x="123"/>
        <item x="135"/>
        <item x="80"/>
        <item x="171"/>
        <item x="194"/>
        <item x="352"/>
        <item x="296"/>
        <item x="13"/>
        <item x="325"/>
        <item x="294"/>
        <item x="183"/>
        <item x="241"/>
        <item x="190"/>
        <item x="104"/>
        <item x="66"/>
        <item x="238"/>
        <item x="119"/>
        <item x="9"/>
        <item x="126"/>
        <item x="177"/>
        <item x="262"/>
        <item x="355"/>
        <item x="140"/>
        <item x="307"/>
        <item x="300"/>
        <item x="268"/>
        <item x="85"/>
        <item x="331"/>
        <item x="51"/>
        <item x="45"/>
        <item x="155"/>
        <item x="175"/>
        <item x="91"/>
        <item x="65"/>
        <item x="240"/>
        <item x="311"/>
        <item x="137"/>
        <item x="124"/>
        <item x="222"/>
        <item x="317"/>
        <item x="111"/>
        <item x="44"/>
        <item x="179"/>
        <item x="305"/>
        <item x="2"/>
        <item x="161"/>
        <item x="306"/>
        <item x="62"/>
        <item x="193"/>
        <item x="180"/>
        <item x="314"/>
        <item x="218"/>
        <item x="21"/>
        <item x="351"/>
        <item x="350"/>
        <item x="70"/>
        <item x="357"/>
        <item x="0"/>
        <item x="316"/>
        <item x="301"/>
        <item x="348"/>
        <item x="49"/>
        <item x="217"/>
        <item x="322"/>
        <item x="353"/>
        <item x="14"/>
        <item x="1"/>
        <item x="335"/>
        <item x="340"/>
        <item x="363"/>
        <item x="205"/>
        <item x="259"/>
        <item x="203"/>
        <item x="272"/>
        <item x="260"/>
        <item x="30"/>
        <item x="195"/>
        <item x="4"/>
        <item x="192"/>
        <item x="210"/>
        <item x="320"/>
        <item x="103"/>
        <item x="328"/>
        <item x="319"/>
        <item x="248"/>
        <item x="297"/>
        <item x="102"/>
        <item x="33"/>
        <item x="186"/>
        <item x="347"/>
        <item x="233"/>
        <item x="198"/>
        <item x="256"/>
        <item x="284"/>
        <item x="223"/>
        <item x="267"/>
        <item x="3"/>
        <item x="99"/>
        <item x="220"/>
        <item x="338"/>
        <item x="98"/>
        <item x="58"/>
        <item x="75"/>
        <item x="291"/>
        <item x="315"/>
        <item x="114"/>
        <item x="64"/>
        <item x="201"/>
        <item x="213"/>
        <item x="164"/>
        <item x="160"/>
        <item x="7"/>
        <item x="298"/>
        <item x="199"/>
        <item x="313"/>
        <item x="364"/>
        <item x="286"/>
        <item x="277"/>
        <item x="308"/>
        <item x="158"/>
        <item x="253"/>
        <item x="173"/>
        <item x="141"/>
        <item x="95"/>
        <item x="288"/>
        <item x="87"/>
        <item x="362"/>
        <item x="69"/>
        <item x="273"/>
        <item x="11"/>
        <item x="110"/>
        <item x="254"/>
        <item x="63"/>
        <item x="86"/>
        <item x="79"/>
        <item x="156"/>
        <item x="209"/>
        <item x="149"/>
        <item x="245"/>
        <item x="312"/>
        <item x="20"/>
        <item x="226"/>
        <item x="172"/>
        <item x="77"/>
        <item x="234"/>
        <item x="349"/>
        <item x="145"/>
        <item x="97"/>
        <item x="204"/>
        <item x="146"/>
        <item x="330"/>
        <item x="127"/>
        <item x="337"/>
        <item x="185"/>
        <item x="17"/>
        <item x="5"/>
        <item x="48"/>
        <item x="214"/>
        <item x="32"/>
        <item x="181"/>
        <item x="150"/>
        <item x="279"/>
        <item x="84"/>
        <item x="19"/>
        <item x="40"/>
        <item x="153"/>
        <item x="237"/>
        <item x="68"/>
        <item x="41"/>
        <item x="341"/>
        <item x="258"/>
        <item x="39"/>
        <item x="129"/>
        <item x="184"/>
        <item x="157"/>
        <item x="132"/>
        <item x="139"/>
        <item x="67"/>
        <item x="327"/>
        <item x="10"/>
        <item x="116"/>
        <item x="359"/>
        <item x="152"/>
        <item x="81"/>
        <item x="344"/>
        <item x="115"/>
        <item x="52"/>
        <item x="278"/>
        <item x="202"/>
        <item x="128"/>
        <item x="143"/>
        <item x="197"/>
        <item x="47"/>
        <item x="290"/>
        <item x="261"/>
        <item x="78"/>
        <item x="264"/>
        <item x="333"/>
        <item x="61"/>
        <item x="336"/>
        <item x="93"/>
        <item x="252"/>
        <item x="339"/>
        <item x="309"/>
        <item x="72"/>
        <item x="163"/>
        <item x="324"/>
        <item x="56"/>
        <item x="38"/>
        <item x="304"/>
        <item x="208"/>
        <item x="323"/>
        <item x="6"/>
        <item x="121"/>
        <item x="18"/>
        <item x="269"/>
        <item x="113"/>
        <item x="207"/>
        <item x="242"/>
        <item x="216"/>
        <item x="90"/>
        <item x="76"/>
        <item x="229"/>
        <item x="131"/>
        <item x="282"/>
        <item x="60"/>
        <item x="318"/>
        <item x="266"/>
        <item x="74"/>
        <item x="247"/>
        <item x="117"/>
        <item x="326"/>
        <item t="default"/>
      </items>
    </pivotField>
    <pivotField showAll="0"/>
    <pivotField showAll="0">
      <items count="51">
        <item x="30"/>
        <item x="48"/>
        <item x="14"/>
        <item x="27"/>
        <item x="40"/>
        <item x="38"/>
        <item x="8"/>
        <item x="15"/>
        <item x="32"/>
        <item x="29"/>
        <item x="47"/>
        <item x="16"/>
        <item x="42"/>
        <item x="12"/>
        <item x="1"/>
        <item x="37"/>
        <item x="36"/>
        <item x="20"/>
        <item x="31"/>
        <item x="28"/>
        <item x="23"/>
        <item x="0"/>
        <item x="2"/>
        <item x="13"/>
        <item x="39"/>
        <item x="19"/>
        <item x="24"/>
        <item x="17"/>
        <item x="45"/>
        <item x="18"/>
        <item x="3"/>
        <item x="43"/>
        <item x="7"/>
        <item x="6"/>
        <item x="41"/>
        <item x="21"/>
        <item x="25"/>
        <item x="33"/>
        <item x="11"/>
        <item x="44"/>
        <item x="26"/>
        <item x="9"/>
        <item x="4"/>
        <item x="46"/>
        <item x="49"/>
        <item x="5"/>
        <item x="10"/>
        <item x="34"/>
        <item x="35"/>
        <item x="22"/>
        <item t="default"/>
      </items>
    </pivotField>
    <pivotField showAll="0"/>
    <pivotField showAll="0"/>
    <pivotField showAll="0">
      <items count="6">
        <item x="2"/>
        <item x="4"/>
        <item x="1"/>
        <item x="3"/>
        <item x="0"/>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6"/>
  </rowFields>
  <rowItems count="9">
    <i>
      <x/>
    </i>
    <i>
      <x v="1"/>
    </i>
    <i>
      <x v="2"/>
    </i>
    <i>
      <x v="3"/>
    </i>
    <i>
      <x v="4"/>
    </i>
    <i>
      <x v="5"/>
    </i>
    <i>
      <x v="6"/>
    </i>
    <i>
      <x v="7"/>
    </i>
    <i t="grand">
      <x/>
    </i>
  </rowItems>
  <colItems count="1">
    <i/>
  </colItems>
  <dataFields count="1">
    <dataField name="Sum of Amount_with_Delivery_Charge " fld="24" baseField="0" baseItem="0"/>
  </dataFields>
  <chartFormats count="2">
    <chartFormat chart="15" format="3" series="1">
      <pivotArea type="data" outline="0" fieldPosition="0">
        <references count="1">
          <reference field="4294967294" count="1" selected="0">
            <x v="0"/>
          </reference>
        </references>
      </pivotArea>
    </chartFormat>
    <chartFormat chart="2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A9853E82-BFA5-46B8-AF14-5D0B1EF1EE8E}" name="PivotTable19"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14">
  <location ref="M37:N45" firstHeaderRow="1" firstDataRow="1" firstDataCol="1"/>
  <pivotFields count="32">
    <pivotField showAll="0"/>
    <pivotField showAll="0"/>
    <pivotField showAll="0"/>
    <pivotField showAll="0"/>
    <pivotField showAll="0"/>
    <pivotField showAll="0">
      <items count="4">
        <item x="1"/>
        <item x="0"/>
        <item x="2"/>
        <item t="default"/>
      </items>
    </pivotField>
    <pivotField showAll="0">
      <items count="9">
        <item x="5"/>
        <item x="7"/>
        <item x="1"/>
        <item x="3"/>
        <item x="4"/>
        <item x="2"/>
        <item x="0"/>
        <item x="6"/>
        <item t="default"/>
      </items>
    </pivotField>
    <pivotField showAll="0"/>
    <pivotField showAll="0"/>
    <pivotField dataField="1" showAll="0"/>
    <pivotField showAll="0">
      <items count="366">
        <item x="16"/>
        <item x="200"/>
        <item x="57"/>
        <item x="244"/>
        <item x="287"/>
        <item x="246"/>
        <item x="283"/>
        <item x="120"/>
        <item x="342"/>
        <item x="147"/>
        <item x="276"/>
        <item x="133"/>
        <item x="28"/>
        <item x="134"/>
        <item x="215"/>
        <item x="12"/>
        <item x="178"/>
        <item x="59"/>
        <item x="109"/>
        <item x="101"/>
        <item x="289"/>
        <item x="281"/>
        <item x="159"/>
        <item x="221"/>
        <item x="343"/>
        <item x="224"/>
        <item x="43"/>
        <item x="100"/>
        <item x="107"/>
        <item x="231"/>
        <item x="212"/>
        <item x="271"/>
        <item x="361"/>
        <item x="310"/>
        <item x="168"/>
        <item x="31"/>
        <item x="8"/>
        <item x="73"/>
        <item x="144"/>
        <item x="228"/>
        <item x="154"/>
        <item x="174"/>
        <item x="46"/>
        <item x="232"/>
        <item x="280"/>
        <item x="166"/>
        <item x="243"/>
        <item x="26"/>
        <item x="167"/>
        <item x="354"/>
        <item x="176"/>
        <item x="83"/>
        <item x="15"/>
        <item x="219"/>
        <item x="270"/>
        <item x="345"/>
        <item x="142"/>
        <item x="227"/>
        <item x="302"/>
        <item x="230"/>
        <item x="118"/>
        <item x="162"/>
        <item x="165"/>
        <item x="346"/>
        <item x="236"/>
        <item x="187"/>
        <item x="108"/>
        <item x="255"/>
        <item x="125"/>
        <item x="196"/>
        <item x="182"/>
        <item x="96"/>
        <item x="299"/>
        <item x="191"/>
        <item x="88"/>
        <item x="151"/>
        <item x="263"/>
        <item x="22"/>
        <item x="356"/>
        <item x="138"/>
        <item x="105"/>
        <item x="71"/>
        <item x="25"/>
        <item x="249"/>
        <item x="50"/>
        <item x="24"/>
        <item x="251"/>
        <item x="265"/>
        <item x="54"/>
        <item x="42"/>
        <item x="106"/>
        <item x="235"/>
        <item x="189"/>
        <item x="94"/>
        <item x="332"/>
        <item x="34"/>
        <item x="303"/>
        <item x="334"/>
        <item x="329"/>
        <item x="360"/>
        <item x="89"/>
        <item x="27"/>
        <item x="112"/>
        <item x="274"/>
        <item x="211"/>
        <item x="275"/>
        <item x="37"/>
        <item x="23"/>
        <item x="257"/>
        <item x="130"/>
        <item x="136"/>
        <item x="225"/>
        <item x="92"/>
        <item x="358"/>
        <item x="239"/>
        <item x="148"/>
        <item x="169"/>
        <item x="250"/>
        <item x="55"/>
        <item x="321"/>
        <item x="188"/>
        <item x="29"/>
        <item x="285"/>
        <item x="122"/>
        <item x="82"/>
        <item x="53"/>
        <item x="206"/>
        <item x="293"/>
        <item x="170"/>
        <item x="36"/>
        <item x="295"/>
        <item x="35"/>
        <item x="292"/>
        <item x="123"/>
        <item x="135"/>
        <item x="80"/>
        <item x="171"/>
        <item x="194"/>
        <item x="352"/>
        <item x="296"/>
        <item x="13"/>
        <item x="325"/>
        <item x="294"/>
        <item x="183"/>
        <item x="241"/>
        <item x="190"/>
        <item x="104"/>
        <item x="66"/>
        <item x="238"/>
        <item x="119"/>
        <item x="9"/>
        <item x="126"/>
        <item x="177"/>
        <item x="262"/>
        <item x="355"/>
        <item x="140"/>
        <item x="307"/>
        <item x="300"/>
        <item x="268"/>
        <item x="85"/>
        <item x="331"/>
        <item x="51"/>
        <item x="45"/>
        <item x="155"/>
        <item x="175"/>
        <item x="91"/>
        <item x="65"/>
        <item x="240"/>
        <item x="311"/>
        <item x="137"/>
        <item x="124"/>
        <item x="222"/>
        <item x="317"/>
        <item x="111"/>
        <item x="44"/>
        <item x="179"/>
        <item x="305"/>
        <item x="2"/>
        <item x="161"/>
        <item x="306"/>
        <item x="62"/>
        <item x="193"/>
        <item x="180"/>
        <item x="314"/>
        <item x="218"/>
        <item x="21"/>
        <item x="351"/>
        <item x="350"/>
        <item x="70"/>
        <item x="357"/>
        <item x="0"/>
        <item x="316"/>
        <item x="301"/>
        <item x="348"/>
        <item x="49"/>
        <item x="217"/>
        <item x="322"/>
        <item x="353"/>
        <item x="14"/>
        <item x="1"/>
        <item x="335"/>
        <item x="340"/>
        <item x="363"/>
        <item x="205"/>
        <item x="259"/>
        <item x="203"/>
        <item x="272"/>
        <item x="260"/>
        <item x="30"/>
        <item x="195"/>
        <item x="4"/>
        <item x="192"/>
        <item x="210"/>
        <item x="320"/>
        <item x="103"/>
        <item x="328"/>
        <item x="319"/>
        <item x="248"/>
        <item x="297"/>
        <item x="102"/>
        <item x="33"/>
        <item x="186"/>
        <item x="347"/>
        <item x="233"/>
        <item x="198"/>
        <item x="256"/>
        <item x="284"/>
        <item x="223"/>
        <item x="267"/>
        <item x="3"/>
        <item x="99"/>
        <item x="220"/>
        <item x="338"/>
        <item x="98"/>
        <item x="58"/>
        <item x="75"/>
        <item x="291"/>
        <item x="315"/>
        <item x="114"/>
        <item x="64"/>
        <item x="201"/>
        <item x="213"/>
        <item x="164"/>
        <item x="160"/>
        <item x="7"/>
        <item x="298"/>
        <item x="199"/>
        <item x="313"/>
        <item x="364"/>
        <item x="286"/>
        <item x="277"/>
        <item x="308"/>
        <item x="158"/>
        <item x="253"/>
        <item x="173"/>
        <item x="141"/>
        <item x="95"/>
        <item x="288"/>
        <item x="87"/>
        <item x="362"/>
        <item x="69"/>
        <item x="273"/>
        <item x="11"/>
        <item x="110"/>
        <item x="254"/>
        <item x="63"/>
        <item x="86"/>
        <item x="79"/>
        <item x="156"/>
        <item x="209"/>
        <item x="149"/>
        <item x="245"/>
        <item x="312"/>
        <item x="20"/>
        <item x="226"/>
        <item x="172"/>
        <item x="77"/>
        <item x="234"/>
        <item x="349"/>
        <item x="145"/>
        <item x="97"/>
        <item x="204"/>
        <item x="146"/>
        <item x="330"/>
        <item x="127"/>
        <item x="337"/>
        <item x="185"/>
        <item x="17"/>
        <item x="5"/>
        <item x="48"/>
        <item x="214"/>
        <item x="32"/>
        <item x="181"/>
        <item x="150"/>
        <item x="279"/>
        <item x="84"/>
        <item x="19"/>
        <item x="40"/>
        <item x="153"/>
        <item x="237"/>
        <item x="68"/>
        <item x="41"/>
        <item x="341"/>
        <item x="258"/>
        <item x="39"/>
        <item x="129"/>
        <item x="184"/>
        <item x="157"/>
        <item x="132"/>
        <item x="139"/>
        <item x="67"/>
        <item x="327"/>
        <item x="10"/>
        <item x="116"/>
        <item x="359"/>
        <item x="152"/>
        <item x="81"/>
        <item x="344"/>
        <item x="115"/>
        <item x="52"/>
        <item x="278"/>
        <item x="202"/>
        <item x="128"/>
        <item x="143"/>
        <item x="197"/>
        <item x="47"/>
        <item x="290"/>
        <item x="261"/>
        <item x="78"/>
        <item x="264"/>
        <item x="333"/>
        <item x="61"/>
        <item x="336"/>
        <item x="93"/>
        <item x="252"/>
        <item x="339"/>
        <item x="309"/>
        <item x="72"/>
        <item x="163"/>
        <item x="324"/>
        <item x="56"/>
        <item x="38"/>
        <item x="304"/>
        <item x="208"/>
        <item x="323"/>
        <item x="6"/>
        <item x="121"/>
        <item x="18"/>
        <item x="269"/>
        <item x="113"/>
        <item x="207"/>
        <item x="242"/>
        <item x="216"/>
        <item x="90"/>
        <item x="76"/>
        <item x="229"/>
        <item x="131"/>
        <item x="282"/>
        <item x="60"/>
        <item x="318"/>
        <item x="266"/>
        <item x="74"/>
        <item x="247"/>
        <item x="117"/>
        <item x="326"/>
        <item t="default"/>
      </items>
    </pivotField>
    <pivotField showAll="0"/>
    <pivotField axis="axisRow" showAll="0" measureFilter="1">
      <items count="51">
        <item x="30"/>
        <item x="48"/>
        <item x="14"/>
        <item x="27"/>
        <item x="40"/>
        <item x="38"/>
        <item x="8"/>
        <item x="15"/>
        <item x="32"/>
        <item x="29"/>
        <item x="47"/>
        <item x="16"/>
        <item x="42"/>
        <item x="12"/>
        <item x="1"/>
        <item x="37"/>
        <item x="36"/>
        <item x="20"/>
        <item x="31"/>
        <item x="28"/>
        <item x="23"/>
        <item x="0"/>
        <item x="2"/>
        <item x="13"/>
        <item x="39"/>
        <item x="19"/>
        <item x="24"/>
        <item x="17"/>
        <item x="45"/>
        <item x="18"/>
        <item x="3"/>
        <item x="43"/>
        <item x="7"/>
        <item x="6"/>
        <item x="41"/>
        <item x="21"/>
        <item x="25"/>
        <item x="33"/>
        <item x="11"/>
        <item x="44"/>
        <item x="26"/>
        <item x="9"/>
        <item x="4"/>
        <item x="46"/>
        <item x="49"/>
        <item x="5"/>
        <item x="10"/>
        <item x="34"/>
        <item x="35"/>
        <item x="22"/>
        <item t="default"/>
      </items>
    </pivotField>
    <pivotField showAll="0"/>
    <pivotField showAll="0"/>
    <pivotField showAll="0">
      <items count="6">
        <item x="2"/>
        <item x="4"/>
        <item x="1"/>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2"/>
  </rowFields>
  <rowItems count="8">
    <i>
      <x v="1"/>
    </i>
    <i>
      <x v="17"/>
    </i>
    <i>
      <x v="26"/>
    </i>
    <i>
      <x v="35"/>
    </i>
    <i>
      <x v="40"/>
    </i>
    <i>
      <x v="45"/>
    </i>
    <i>
      <x v="47"/>
    </i>
    <i t="grand">
      <x/>
    </i>
  </rowItems>
  <colItems count="1">
    <i/>
  </colItems>
  <dataFields count="1">
    <dataField name="Count of Order_ID" fld="9" subtotal="count" baseField="0" baseItem="0"/>
  </dataFields>
  <chartFormats count="103">
    <chartFormat chart="2" format="0"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0"/>
          </reference>
        </references>
      </pivotArea>
    </chartFormat>
    <chartFormat chart="6" format="10">
      <pivotArea type="data" outline="0" fieldPosition="0">
        <references count="2">
          <reference field="4294967294" count="1" selected="0">
            <x v="0"/>
          </reference>
          <reference field="12" count="1" selected="0">
            <x v="1"/>
          </reference>
        </references>
      </pivotArea>
    </chartFormat>
    <chartFormat chart="6" format="11">
      <pivotArea type="data" outline="0" fieldPosition="0">
        <references count="2">
          <reference field="4294967294" count="1" selected="0">
            <x v="0"/>
          </reference>
          <reference field="12" count="1" selected="0">
            <x v="17"/>
          </reference>
        </references>
      </pivotArea>
    </chartFormat>
    <chartFormat chart="6" format="12">
      <pivotArea type="data" outline="0" fieldPosition="0">
        <references count="2">
          <reference field="4294967294" count="1" selected="0">
            <x v="0"/>
          </reference>
          <reference field="12" count="1" selected="0">
            <x v="26"/>
          </reference>
        </references>
      </pivotArea>
    </chartFormat>
    <chartFormat chart="6" format="13">
      <pivotArea type="data" outline="0" fieldPosition="0">
        <references count="2">
          <reference field="4294967294" count="1" selected="0">
            <x v="0"/>
          </reference>
          <reference field="12" count="1" selected="0">
            <x v="35"/>
          </reference>
        </references>
      </pivotArea>
    </chartFormat>
    <chartFormat chart="6" format="14">
      <pivotArea type="data" outline="0" fieldPosition="0">
        <references count="2">
          <reference field="4294967294" count="1" selected="0">
            <x v="0"/>
          </reference>
          <reference field="12" count="1" selected="0">
            <x v="40"/>
          </reference>
        </references>
      </pivotArea>
    </chartFormat>
    <chartFormat chart="6" format="15">
      <pivotArea type="data" outline="0" fieldPosition="0">
        <references count="2">
          <reference field="4294967294" count="1" selected="0">
            <x v="0"/>
          </reference>
          <reference field="12" count="1" selected="0">
            <x v="45"/>
          </reference>
        </references>
      </pivotArea>
    </chartFormat>
    <chartFormat chart="6" format="16">
      <pivotArea type="data" outline="0" fieldPosition="0">
        <references count="2">
          <reference field="4294967294" count="1" selected="0">
            <x v="0"/>
          </reference>
          <reference field="12" count="1" selected="0">
            <x v="47"/>
          </reference>
        </references>
      </pivotArea>
    </chartFormat>
    <chartFormat chart="2" format="1">
      <pivotArea type="data" outline="0" fieldPosition="0">
        <references count="2">
          <reference field="4294967294" count="1" selected="0">
            <x v="0"/>
          </reference>
          <reference field="12" count="1" selected="0">
            <x v="1"/>
          </reference>
        </references>
      </pivotArea>
    </chartFormat>
    <chartFormat chart="2" format="2">
      <pivotArea type="data" outline="0" fieldPosition="0">
        <references count="2">
          <reference field="4294967294" count="1" selected="0">
            <x v="0"/>
          </reference>
          <reference field="12" count="1" selected="0">
            <x v="17"/>
          </reference>
        </references>
      </pivotArea>
    </chartFormat>
    <chartFormat chart="2" format="3">
      <pivotArea type="data" outline="0" fieldPosition="0">
        <references count="2">
          <reference field="4294967294" count="1" selected="0">
            <x v="0"/>
          </reference>
          <reference field="12" count="1" selected="0">
            <x v="26"/>
          </reference>
        </references>
      </pivotArea>
    </chartFormat>
    <chartFormat chart="2" format="4">
      <pivotArea type="data" outline="0" fieldPosition="0">
        <references count="2">
          <reference field="4294967294" count="1" selected="0">
            <x v="0"/>
          </reference>
          <reference field="12" count="1" selected="0">
            <x v="35"/>
          </reference>
        </references>
      </pivotArea>
    </chartFormat>
    <chartFormat chart="2" format="5">
      <pivotArea type="data" outline="0" fieldPosition="0">
        <references count="2">
          <reference field="4294967294" count="1" selected="0">
            <x v="0"/>
          </reference>
          <reference field="12" count="1" selected="0">
            <x v="40"/>
          </reference>
        </references>
      </pivotArea>
    </chartFormat>
    <chartFormat chart="2" format="6">
      <pivotArea type="data" outline="0" fieldPosition="0">
        <references count="2">
          <reference field="4294967294" count="1" selected="0">
            <x v="0"/>
          </reference>
          <reference field="12" count="1" selected="0">
            <x v="45"/>
          </reference>
        </references>
      </pivotArea>
    </chartFormat>
    <chartFormat chart="2" format="7">
      <pivotArea type="data" outline="0" fieldPosition="0">
        <references count="2">
          <reference field="4294967294" count="1" selected="0">
            <x v="0"/>
          </reference>
          <reference field="12" count="1" selected="0">
            <x v="47"/>
          </reference>
        </references>
      </pivotArea>
    </chartFormat>
    <chartFormat chart="6" format="17">
      <pivotArea type="data" outline="0" fieldPosition="0">
        <references count="2">
          <reference field="4294967294" count="1" selected="0">
            <x v="0"/>
          </reference>
          <reference field="12" count="1" selected="0">
            <x v="0"/>
          </reference>
        </references>
      </pivotArea>
    </chartFormat>
    <chartFormat chart="6" format="18">
      <pivotArea type="data" outline="0" fieldPosition="0">
        <references count="2">
          <reference field="4294967294" count="1" selected="0">
            <x v="0"/>
          </reference>
          <reference field="12" count="1" selected="0">
            <x v="2"/>
          </reference>
        </references>
      </pivotArea>
    </chartFormat>
    <chartFormat chart="6" format="19">
      <pivotArea type="data" outline="0" fieldPosition="0">
        <references count="2">
          <reference field="4294967294" count="1" selected="0">
            <x v="0"/>
          </reference>
          <reference field="12" count="1" selected="0">
            <x v="3"/>
          </reference>
        </references>
      </pivotArea>
    </chartFormat>
    <chartFormat chart="6" format="20">
      <pivotArea type="data" outline="0" fieldPosition="0">
        <references count="2">
          <reference field="4294967294" count="1" selected="0">
            <x v="0"/>
          </reference>
          <reference field="12" count="1" selected="0">
            <x v="4"/>
          </reference>
        </references>
      </pivotArea>
    </chartFormat>
    <chartFormat chart="6" format="21">
      <pivotArea type="data" outline="0" fieldPosition="0">
        <references count="2">
          <reference field="4294967294" count="1" selected="0">
            <x v="0"/>
          </reference>
          <reference field="12" count="1" selected="0">
            <x v="5"/>
          </reference>
        </references>
      </pivotArea>
    </chartFormat>
    <chartFormat chart="6" format="22">
      <pivotArea type="data" outline="0" fieldPosition="0">
        <references count="2">
          <reference field="4294967294" count="1" selected="0">
            <x v="0"/>
          </reference>
          <reference field="12" count="1" selected="0">
            <x v="6"/>
          </reference>
        </references>
      </pivotArea>
    </chartFormat>
    <chartFormat chart="6" format="23">
      <pivotArea type="data" outline="0" fieldPosition="0">
        <references count="2">
          <reference field="4294967294" count="1" selected="0">
            <x v="0"/>
          </reference>
          <reference field="12" count="1" selected="0">
            <x v="7"/>
          </reference>
        </references>
      </pivotArea>
    </chartFormat>
    <chartFormat chart="6" format="24">
      <pivotArea type="data" outline="0" fieldPosition="0">
        <references count="2">
          <reference field="4294967294" count="1" selected="0">
            <x v="0"/>
          </reference>
          <reference field="12" count="1" selected="0">
            <x v="8"/>
          </reference>
        </references>
      </pivotArea>
    </chartFormat>
    <chartFormat chart="6" format="25">
      <pivotArea type="data" outline="0" fieldPosition="0">
        <references count="2">
          <reference field="4294967294" count="1" selected="0">
            <x v="0"/>
          </reference>
          <reference field="12" count="1" selected="0">
            <x v="9"/>
          </reference>
        </references>
      </pivotArea>
    </chartFormat>
    <chartFormat chart="6" format="26">
      <pivotArea type="data" outline="0" fieldPosition="0">
        <references count="2">
          <reference field="4294967294" count="1" selected="0">
            <x v="0"/>
          </reference>
          <reference field="12" count="1" selected="0">
            <x v="10"/>
          </reference>
        </references>
      </pivotArea>
    </chartFormat>
    <chartFormat chart="6" format="27">
      <pivotArea type="data" outline="0" fieldPosition="0">
        <references count="2">
          <reference field="4294967294" count="1" selected="0">
            <x v="0"/>
          </reference>
          <reference field="12" count="1" selected="0">
            <x v="11"/>
          </reference>
        </references>
      </pivotArea>
    </chartFormat>
    <chartFormat chart="6" format="28">
      <pivotArea type="data" outline="0" fieldPosition="0">
        <references count="2">
          <reference field="4294967294" count="1" selected="0">
            <x v="0"/>
          </reference>
          <reference field="12" count="1" selected="0">
            <x v="12"/>
          </reference>
        </references>
      </pivotArea>
    </chartFormat>
    <chartFormat chart="6" format="29">
      <pivotArea type="data" outline="0" fieldPosition="0">
        <references count="2">
          <reference field="4294967294" count="1" selected="0">
            <x v="0"/>
          </reference>
          <reference field="12" count="1" selected="0">
            <x v="13"/>
          </reference>
        </references>
      </pivotArea>
    </chartFormat>
    <chartFormat chart="6" format="30">
      <pivotArea type="data" outline="0" fieldPosition="0">
        <references count="2">
          <reference field="4294967294" count="1" selected="0">
            <x v="0"/>
          </reference>
          <reference field="12" count="1" selected="0">
            <x v="14"/>
          </reference>
        </references>
      </pivotArea>
    </chartFormat>
    <chartFormat chart="6" format="31">
      <pivotArea type="data" outline="0" fieldPosition="0">
        <references count="2">
          <reference field="4294967294" count="1" selected="0">
            <x v="0"/>
          </reference>
          <reference field="12" count="1" selected="0">
            <x v="15"/>
          </reference>
        </references>
      </pivotArea>
    </chartFormat>
    <chartFormat chart="6" format="32">
      <pivotArea type="data" outline="0" fieldPosition="0">
        <references count="2">
          <reference field="4294967294" count="1" selected="0">
            <x v="0"/>
          </reference>
          <reference field="12" count="1" selected="0">
            <x v="16"/>
          </reference>
        </references>
      </pivotArea>
    </chartFormat>
    <chartFormat chart="6" format="33">
      <pivotArea type="data" outline="0" fieldPosition="0">
        <references count="2">
          <reference field="4294967294" count="1" selected="0">
            <x v="0"/>
          </reference>
          <reference field="12" count="1" selected="0">
            <x v="18"/>
          </reference>
        </references>
      </pivotArea>
    </chartFormat>
    <chartFormat chart="6" format="34">
      <pivotArea type="data" outline="0" fieldPosition="0">
        <references count="2">
          <reference field="4294967294" count="1" selected="0">
            <x v="0"/>
          </reference>
          <reference field="12" count="1" selected="0">
            <x v="19"/>
          </reference>
        </references>
      </pivotArea>
    </chartFormat>
    <chartFormat chart="6" format="35">
      <pivotArea type="data" outline="0" fieldPosition="0">
        <references count="2">
          <reference field="4294967294" count="1" selected="0">
            <x v="0"/>
          </reference>
          <reference field="12" count="1" selected="0">
            <x v="20"/>
          </reference>
        </references>
      </pivotArea>
    </chartFormat>
    <chartFormat chart="6" format="36">
      <pivotArea type="data" outline="0" fieldPosition="0">
        <references count="2">
          <reference field="4294967294" count="1" selected="0">
            <x v="0"/>
          </reference>
          <reference field="12" count="1" selected="0">
            <x v="21"/>
          </reference>
        </references>
      </pivotArea>
    </chartFormat>
    <chartFormat chart="6" format="37">
      <pivotArea type="data" outline="0" fieldPosition="0">
        <references count="2">
          <reference field="4294967294" count="1" selected="0">
            <x v="0"/>
          </reference>
          <reference field="12" count="1" selected="0">
            <x v="22"/>
          </reference>
        </references>
      </pivotArea>
    </chartFormat>
    <chartFormat chart="6" format="38">
      <pivotArea type="data" outline="0" fieldPosition="0">
        <references count="2">
          <reference field="4294967294" count="1" selected="0">
            <x v="0"/>
          </reference>
          <reference field="12" count="1" selected="0">
            <x v="23"/>
          </reference>
        </references>
      </pivotArea>
    </chartFormat>
    <chartFormat chart="6" format="39">
      <pivotArea type="data" outline="0" fieldPosition="0">
        <references count="2">
          <reference field="4294967294" count="1" selected="0">
            <x v="0"/>
          </reference>
          <reference field="12" count="1" selected="0">
            <x v="24"/>
          </reference>
        </references>
      </pivotArea>
    </chartFormat>
    <chartFormat chart="6" format="40">
      <pivotArea type="data" outline="0" fieldPosition="0">
        <references count="2">
          <reference field="4294967294" count="1" selected="0">
            <x v="0"/>
          </reference>
          <reference field="12" count="1" selected="0">
            <x v="25"/>
          </reference>
        </references>
      </pivotArea>
    </chartFormat>
    <chartFormat chart="6" format="41">
      <pivotArea type="data" outline="0" fieldPosition="0">
        <references count="2">
          <reference field="4294967294" count="1" selected="0">
            <x v="0"/>
          </reference>
          <reference field="12" count="1" selected="0">
            <x v="27"/>
          </reference>
        </references>
      </pivotArea>
    </chartFormat>
    <chartFormat chart="6" format="42">
      <pivotArea type="data" outline="0" fieldPosition="0">
        <references count="2">
          <reference field="4294967294" count="1" selected="0">
            <x v="0"/>
          </reference>
          <reference field="12" count="1" selected="0">
            <x v="28"/>
          </reference>
        </references>
      </pivotArea>
    </chartFormat>
    <chartFormat chart="6" format="43">
      <pivotArea type="data" outline="0" fieldPosition="0">
        <references count="2">
          <reference field="4294967294" count="1" selected="0">
            <x v="0"/>
          </reference>
          <reference field="12" count="1" selected="0">
            <x v="29"/>
          </reference>
        </references>
      </pivotArea>
    </chartFormat>
    <chartFormat chart="6" format="44">
      <pivotArea type="data" outline="0" fieldPosition="0">
        <references count="2">
          <reference field="4294967294" count="1" selected="0">
            <x v="0"/>
          </reference>
          <reference field="12" count="1" selected="0">
            <x v="30"/>
          </reference>
        </references>
      </pivotArea>
    </chartFormat>
    <chartFormat chart="6" format="45">
      <pivotArea type="data" outline="0" fieldPosition="0">
        <references count="2">
          <reference field="4294967294" count="1" selected="0">
            <x v="0"/>
          </reference>
          <reference field="12" count="1" selected="0">
            <x v="31"/>
          </reference>
        </references>
      </pivotArea>
    </chartFormat>
    <chartFormat chart="6" format="46">
      <pivotArea type="data" outline="0" fieldPosition="0">
        <references count="2">
          <reference field="4294967294" count="1" selected="0">
            <x v="0"/>
          </reference>
          <reference field="12" count="1" selected="0">
            <x v="32"/>
          </reference>
        </references>
      </pivotArea>
    </chartFormat>
    <chartFormat chart="6" format="47">
      <pivotArea type="data" outline="0" fieldPosition="0">
        <references count="2">
          <reference field="4294967294" count="1" selected="0">
            <x v="0"/>
          </reference>
          <reference field="12" count="1" selected="0">
            <x v="33"/>
          </reference>
        </references>
      </pivotArea>
    </chartFormat>
    <chartFormat chart="6" format="48">
      <pivotArea type="data" outline="0" fieldPosition="0">
        <references count="2">
          <reference field="4294967294" count="1" selected="0">
            <x v="0"/>
          </reference>
          <reference field="12" count="1" selected="0">
            <x v="34"/>
          </reference>
        </references>
      </pivotArea>
    </chartFormat>
    <chartFormat chart="6" format="49">
      <pivotArea type="data" outline="0" fieldPosition="0">
        <references count="2">
          <reference field="4294967294" count="1" selected="0">
            <x v="0"/>
          </reference>
          <reference field="12" count="1" selected="0">
            <x v="36"/>
          </reference>
        </references>
      </pivotArea>
    </chartFormat>
    <chartFormat chart="6" format="50">
      <pivotArea type="data" outline="0" fieldPosition="0">
        <references count="2">
          <reference field="4294967294" count="1" selected="0">
            <x v="0"/>
          </reference>
          <reference field="12" count="1" selected="0">
            <x v="37"/>
          </reference>
        </references>
      </pivotArea>
    </chartFormat>
    <chartFormat chart="6" format="51">
      <pivotArea type="data" outline="0" fieldPosition="0">
        <references count="2">
          <reference field="4294967294" count="1" selected="0">
            <x v="0"/>
          </reference>
          <reference field="12" count="1" selected="0">
            <x v="38"/>
          </reference>
        </references>
      </pivotArea>
    </chartFormat>
    <chartFormat chart="6" format="52">
      <pivotArea type="data" outline="0" fieldPosition="0">
        <references count="2">
          <reference field="4294967294" count="1" selected="0">
            <x v="0"/>
          </reference>
          <reference field="12" count="1" selected="0">
            <x v="39"/>
          </reference>
        </references>
      </pivotArea>
    </chartFormat>
    <chartFormat chart="6" format="53">
      <pivotArea type="data" outline="0" fieldPosition="0">
        <references count="2">
          <reference field="4294967294" count="1" selected="0">
            <x v="0"/>
          </reference>
          <reference field="12" count="1" selected="0">
            <x v="41"/>
          </reference>
        </references>
      </pivotArea>
    </chartFormat>
    <chartFormat chart="6" format="54">
      <pivotArea type="data" outline="0" fieldPosition="0">
        <references count="2">
          <reference field="4294967294" count="1" selected="0">
            <x v="0"/>
          </reference>
          <reference field="12" count="1" selected="0">
            <x v="42"/>
          </reference>
        </references>
      </pivotArea>
    </chartFormat>
    <chartFormat chart="6" format="55">
      <pivotArea type="data" outline="0" fieldPosition="0">
        <references count="2">
          <reference field="4294967294" count="1" selected="0">
            <x v="0"/>
          </reference>
          <reference field="12" count="1" selected="0">
            <x v="43"/>
          </reference>
        </references>
      </pivotArea>
    </chartFormat>
    <chartFormat chart="6" format="56">
      <pivotArea type="data" outline="0" fieldPosition="0">
        <references count="2">
          <reference field="4294967294" count="1" selected="0">
            <x v="0"/>
          </reference>
          <reference field="12" count="1" selected="0">
            <x v="44"/>
          </reference>
        </references>
      </pivotArea>
    </chartFormat>
    <chartFormat chart="6" format="57">
      <pivotArea type="data" outline="0" fieldPosition="0">
        <references count="2">
          <reference field="4294967294" count="1" selected="0">
            <x v="0"/>
          </reference>
          <reference field="12" count="1" selected="0">
            <x v="46"/>
          </reference>
        </references>
      </pivotArea>
    </chartFormat>
    <chartFormat chart="6" format="58">
      <pivotArea type="data" outline="0" fieldPosition="0">
        <references count="2">
          <reference field="4294967294" count="1" selected="0">
            <x v="0"/>
          </reference>
          <reference field="12" count="1" selected="0">
            <x v="48"/>
          </reference>
        </references>
      </pivotArea>
    </chartFormat>
    <chartFormat chart="6" format="59">
      <pivotArea type="data" outline="0" fieldPosition="0">
        <references count="2">
          <reference field="4294967294" count="1" selected="0">
            <x v="0"/>
          </reference>
          <reference field="12" count="1" selected="0">
            <x v="49"/>
          </reference>
        </references>
      </pivotArea>
    </chartFormat>
    <chartFormat chart="2" format="8">
      <pivotArea type="data" outline="0" fieldPosition="0">
        <references count="2">
          <reference field="4294967294" count="1" selected="0">
            <x v="0"/>
          </reference>
          <reference field="12" count="1" selected="0">
            <x v="0"/>
          </reference>
        </references>
      </pivotArea>
    </chartFormat>
    <chartFormat chart="2" format="9">
      <pivotArea type="data" outline="0" fieldPosition="0">
        <references count="2">
          <reference field="4294967294" count="1" selected="0">
            <x v="0"/>
          </reference>
          <reference field="12" count="1" selected="0">
            <x v="2"/>
          </reference>
        </references>
      </pivotArea>
    </chartFormat>
    <chartFormat chart="2" format="10">
      <pivotArea type="data" outline="0" fieldPosition="0">
        <references count="2">
          <reference field="4294967294" count="1" selected="0">
            <x v="0"/>
          </reference>
          <reference field="12" count="1" selected="0">
            <x v="3"/>
          </reference>
        </references>
      </pivotArea>
    </chartFormat>
    <chartFormat chart="2" format="11">
      <pivotArea type="data" outline="0" fieldPosition="0">
        <references count="2">
          <reference field="4294967294" count="1" selected="0">
            <x v="0"/>
          </reference>
          <reference field="12" count="1" selected="0">
            <x v="4"/>
          </reference>
        </references>
      </pivotArea>
    </chartFormat>
    <chartFormat chart="2" format="12">
      <pivotArea type="data" outline="0" fieldPosition="0">
        <references count="2">
          <reference field="4294967294" count="1" selected="0">
            <x v="0"/>
          </reference>
          <reference field="12" count="1" selected="0">
            <x v="5"/>
          </reference>
        </references>
      </pivotArea>
    </chartFormat>
    <chartFormat chart="2" format="13">
      <pivotArea type="data" outline="0" fieldPosition="0">
        <references count="2">
          <reference field="4294967294" count="1" selected="0">
            <x v="0"/>
          </reference>
          <reference field="12" count="1" selected="0">
            <x v="6"/>
          </reference>
        </references>
      </pivotArea>
    </chartFormat>
    <chartFormat chart="2" format="14">
      <pivotArea type="data" outline="0" fieldPosition="0">
        <references count="2">
          <reference field="4294967294" count="1" selected="0">
            <x v="0"/>
          </reference>
          <reference field="12" count="1" selected="0">
            <x v="7"/>
          </reference>
        </references>
      </pivotArea>
    </chartFormat>
    <chartFormat chart="2" format="15">
      <pivotArea type="data" outline="0" fieldPosition="0">
        <references count="2">
          <reference field="4294967294" count="1" selected="0">
            <x v="0"/>
          </reference>
          <reference field="12" count="1" selected="0">
            <x v="8"/>
          </reference>
        </references>
      </pivotArea>
    </chartFormat>
    <chartFormat chart="2" format="16">
      <pivotArea type="data" outline="0" fieldPosition="0">
        <references count="2">
          <reference field="4294967294" count="1" selected="0">
            <x v="0"/>
          </reference>
          <reference field="12" count="1" selected="0">
            <x v="9"/>
          </reference>
        </references>
      </pivotArea>
    </chartFormat>
    <chartFormat chart="2" format="17">
      <pivotArea type="data" outline="0" fieldPosition="0">
        <references count="2">
          <reference field="4294967294" count="1" selected="0">
            <x v="0"/>
          </reference>
          <reference field="12" count="1" selected="0">
            <x v="10"/>
          </reference>
        </references>
      </pivotArea>
    </chartFormat>
    <chartFormat chart="2" format="18">
      <pivotArea type="data" outline="0" fieldPosition="0">
        <references count="2">
          <reference field="4294967294" count="1" selected="0">
            <x v="0"/>
          </reference>
          <reference field="12" count="1" selected="0">
            <x v="11"/>
          </reference>
        </references>
      </pivotArea>
    </chartFormat>
    <chartFormat chart="2" format="19">
      <pivotArea type="data" outline="0" fieldPosition="0">
        <references count="2">
          <reference field="4294967294" count="1" selected="0">
            <x v="0"/>
          </reference>
          <reference field="12" count="1" selected="0">
            <x v="12"/>
          </reference>
        </references>
      </pivotArea>
    </chartFormat>
    <chartFormat chart="2" format="20">
      <pivotArea type="data" outline="0" fieldPosition="0">
        <references count="2">
          <reference field="4294967294" count="1" selected="0">
            <x v="0"/>
          </reference>
          <reference field="12" count="1" selected="0">
            <x v="13"/>
          </reference>
        </references>
      </pivotArea>
    </chartFormat>
    <chartFormat chart="2" format="21">
      <pivotArea type="data" outline="0" fieldPosition="0">
        <references count="2">
          <reference field="4294967294" count="1" selected="0">
            <x v="0"/>
          </reference>
          <reference field="12" count="1" selected="0">
            <x v="14"/>
          </reference>
        </references>
      </pivotArea>
    </chartFormat>
    <chartFormat chart="2" format="22">
      <pivotArea type="data" outline="0" fieldPosition="0">
        <references count="2">
          <reference field="4294967294" count="1" selected="0">
            <x v="0"/>
          </reference>
          <reference field="12" count="1" selected="0">
            <x v="15"/>
          </reference>
        </references>
      </pivotArea>
    </chartFormat>
    <chartFormat chart="2" format="23">
      <pivotArea type="data" outline="0" fieldPosition="0">
        <references count="2">
          <reference field="4294967294" count="1" selected="0">
            <x v="0"/>
          </reference>
          <reference field="12" count="1" selected="0">
            <x v="16"/>
          </reference>
        </references>
      </pivotArea>
    </chartFormat>
    <chartFormat chart="2" format="24">
      <pivotArea type="data" outline="0" fieldPosition="0">
        <references count="2">
          <reference field="4294967294" count="1" selected="0">
            <x v="0"/>
          </reference>
          <reference field="12" count="1" selected="0">
            <x v="18"/>
          </reference>
        </references>
      </pivotArea>
    </chartFormat>
    <chartFormat chart="2" format="25">
      <pivotArea type="data" outline="0" fieldPosition="0">
        <references count="2">
          <reference field="4294967294" count="1" selected="0">
            <x v="0"/>
          </reference>
          <reference field="12" count="1" selected="0">
            <x v="19"/>
          </reference>
        </references>
      </pivotArea>
    </chartFormat>
    <chartFormat chart="2" format="26">
      <pivotArea type="data" outline="0" fieldPosition="0">
        <references count="2">
          <reference field="4294967294" count="1" selected="0">
            <x v="0"/>
          </reference>
          <reference field="12" count="1" selected="0">
            <x v="20"/>
          </reference>
        </references>
      </pivotArea>
    </chartFormat>
    <chartFormat chart="2" format="27">
      <pivotArea type="data" outline="0" fieldPosition="0">
        <references count="2">
          <reference field="4294967294" count="1" selected="0">
            <x v="0"/>
          </reference>
          <reference field="12" count="1" selected="0">
            <x v="21"/>
          </reference>
        </references>
      </pivotArea>
    </chartFormat>
    <chartFormat chart="2" format="28">
      <pivotArea type="data" outline="0" fieldPosition="0">
        <references count="2">
          <reference field="4294967294" count="1" selected="0">
            <x v="0"/>
          </reference>
          <reference field="12" count="1" selected="0">
            <x v="22"/>
          </reference>
        </references>
      </pivotArea>
    </chartFormat>
    <chartFormat chart="2" format="29">
      <pivotArea type="data" outline="0" fieldPosition="0">
        <references count="2">
          <reference field="4294967294" count="1" selected="0">
            <x v="0"/>
          </reference>
          <reference field="12" count="1" selected="0">
            <x v="23"/>
          </reference>
        </references>
      </pivotArea>
    </chartFormat>
    <chartFormat chart="2" format="30">
      <pivotArea type="data" outline="0" fieldPosition="0">
        <references count="2">
          <reference field="4294967294" count="1" selected="0">
            <x v="0"/>
          </reference>
          <reference field="12" count="1" selected="0">
            <x v="24"/>
          </reference>
        </references>
      </pivotArea>
    </chartFormat>
    <chartFormat chart="2" format="31">
      <pivotArea type="data" outline="0" fieldPosition="0">
        <references count="2">
          <reference field="4294967294" count="1" selected="0">
            <x v="0"/>
          </reference>
          <reference field="12" count="1" selected="0">
            <x v="25"/>
          </reference>
        </references>
      </pivotArea>
    </chartFormat>
    <chartFormat chart="2" format="32">
      <pivotArea type="data" outline="0" fieldPosition="0">
        <references count="2">
          <reference field="4294967294" count="1" selected="0">
            <x v="0"/>
          </reference>
          <reference field="12" count="1" selected="0">
            <x v="27"/>
          </reference>
        </references>
      </pivotArea>
    </chartFormat>
    <chartFormat chart="2" format="33">
      <pivotArea type="data" outline="0" fieldPosition="0">
        <references count="2">
          <reference field="4294967294" count="1" selected="0">
            <x v="0"/>
          </reference>
          <reference field="12" count="1" selected="0">
            <x v="28"/>
          </reference>
        </references>
      </pivotArea>
    </chartFormat>
    <chartFormat chart="2" format="34">
      <pivotArea type="data" outline="0" fieldPosition="0">
        <references count="2">
          <reference field="4294967294" count="1" selected="0">
            <x v="0"/>
          </reference>
          <reference field="12" count="1" selected="0">
            <x v="29"/>
          </reference>
        </references>
      </pivotArea>
    </chartFormat>
    <chartFormat chart="2" format="35">
      <pivotArea type="data" outline="0" fieldPosition="0">
        <references count="2">
          <reference field="4294967294" count="1" selected="0">
            <x v="0"/>
          </reference>
          <reference field="12" count="1" selected="0">
            <x v="30"/>
          </reference>
        </references>
      </pivotArea>
    </chartFormat>
    <chartFormat chart="2" format="36">
      <pivotArea type="data" outline="0" fieldPosition="0">
        <references count="2">
          <reference field="4294967294" count="1" selected="0">
            <x v="0"/>
          </reference>
          <reference field="12" count="1" selected="0">
            <x v="31"/>
          </reference>
        </references>
      </pivotArea>
    </chartFormat>
    <chartFormat chart="2" format="37">
      <pivotArea type="data" outline="0" fieldPosition="0">
        <references count="2">
          <reference field="4294967294" count="1" selected="0">
            <x v="0"/>
          </reference>
          <reference field="12" count="1" selected="0">
            <x v="32"/>
          </reference>
        </references>
      </pivotArea>
    </chartFormat>
    <chartFormat chart="2" format="38">
      <pivotArea type="data" outline="0" fieldPosition="0">
        <references count="2">
          <reference field="4294967294" count="1" selected="0">
            <x v="0"/>
          </reference>
          <reference field="12" count="1" selected="0">
            <x v="33"/>
          </reference>
        </references>
      </pivotArea>
    </chartFormat>
    <chartFormat chart="2" format="39">
      <pivotArea type="data" outline="0" fieldPosition="0">
        <references count="2">
          <reference field="4294967294" count="1" selected="0">
            <x v="0"/>
          </reference>
          <reference field="12" count="1" selected="0">
            <x v="34"/>
          </reference>
        </references>
      </pivotArea>
    </chartFormat>
    <chartFormat chart="2" format="40">
      <pivotArea type="data" outline="0" fieldPosition="0">
        <references count="2">
          <reference field="4294967294" count="1" selected="0">
            <x v="0"/>
          </reference>
          <reference field="12" count="1" selected="0">
            <x v="36"/>
          </reference>
        </references>
      </pivotArea>
    </chartFormat>
    <chartFormat chart="2" format="41">
      <pivotArea type="data" outline="0" fieldPosition="0">
        <references count="2">
          <reference field="4294967294" count="1" selected="0">
            <x v="0"/>
          </reference>
          <reference field="12" count="1" selected="0">
            <x v="37"/>
          </reference>
        </references>
      </pivotArea>
    </chartFormat>
    <chartFormat chart="2" format="42">
      <pivotArea type="data" outline="0" fieldPosition="0">
        <references count="2">
          <reference field="4294967294" count="1" selected="0">
            <x v="0"/>
          </reference>
          <reference field="12" count="1" selected="0">
            <x v="38"/>
          </reference>
        </references>
      </pivotArea>
    </chartFormat>
    <chartFormat chart="2" format="43">
      <pivotArea type="data" outline="0" fieldPosition="0">
        <references count="2">
          <reference field="4294967294" count="1" selected="0">
            <x v="0"/>
          </reference>
          <reference field="12" count="1" selected="0">
            <x v="39"/>
          </reference>
        </references>
      </pivotArea>
    </chartFormat>
    <chartFormat chart="2" format="44">
      <pivotArea type="data" outline="0" fieldPosition="0">
        <references count="2">
          <reference field="4294967294" count="1" selected="0">
            <x v="0"/>
          </reference>
          <reference field="12" count="1" selected="0">
            <x v="41"/>
          </reference>
        </references>
      </pivotArea>
    </chartFormat>
    <chartFormat chart="2" format="45">
      <pivotArea type="data" outline="0" fieldPosition="0">
        <references count="2">
          <reference field="4294967294" count="1" selected="0">
            <x v="0"/>
          </reference>
          <reference field="12" count="1" selected="0">
            <x v="42"/>
          </reference>
        </references>
      </pivotArea>
    </chartFormat>
    <chartFormat chart="2" format="46">
      <pivotArea type="data" outline="0" fieldPosition="0">
        <references count="2">
          <reference field="4294967294" count="1" selected="0">
            <x v="0"/>
          </reference>
          <reference field="12" count="1" selected="0">
            <x v="43"/>
          </reference>
        </references>
      </pivotArea>
    </chartFormat>
    <chartFormat chart="2" format="47">
      <pivotArea type="data" outline="0" fieldPosition="0">
        <references count="2">
          <reference field="4294967294" count="1" selected="0">
            <x v="0"/>
          </reference>
          <reference field="12" count="1" selected="0">
            <x v="44"/>
          </reference>
        </references>
      </pivotArea>
    </chartFormat>
    <chartFormat chart="2" format="48">
      <pivotArea type="data" outline="0" fieldPosition="0">
        <references count="2">
          <reference field="4294967294" count="1" selected="0">
            <x v="0"/>
          </reference>
          <reference field="12" count="1" selected="0">
            <x v="46"/>
          </reference>
        </references>
      </pivotArea>
    </chartFormat>
    <chartFormat chart="2" format="49">
      <pivotArea type="data" outline="0" fieldPosition="0">
        <references count="2">
          <reference field="4294967294" count="1" selected="0">
            <x v="0"/>
          </reference>
          <reference field="12" count="1" selected="0">
            <x v="48"/>
          </reference>
        </references>
      </pivotArea>
    </chartFormat>
    <chartFormat chart="2" format="50">
      <pivotArea type="data" outline="0" fieldPosition="0">
        <references count="2">
          <reference field="4294967294" count="1" selected="0">
            <x v="0"/>
          </reference>
          <reference field="12" count="1" selected="0">
            <x v="49"/>
          </reference>
        </references>
      </pivotArea>
    </chartFormat>
    <chartFormat chart="1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2" type="count" evalOrder="-1" id="3" iMeasureFld="0">
      <autoFilter ref="A1">
        <filterColumn colId="0">
          <top10 val="7" filterVal="7"/>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811B0E06-6354-4955-BFC9-6FF64D9E6698}" name="PivotTable17"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32">
  <location ref="M6:N17" firstHeaderRow="1" firstDataRow="1" firstDataCol="1"/>
  <pivotFields count="32">
    <pivotField axis="axisRow" showAll="0" measureFilter="1">
      <items count="101">
        <item x="48"/>
        <item x="8"/>
        <item x="83"/>
        <item x="51"/>
        <item x="79"/>
        <item x="9"/>
        <item x="96"/>
        <item x="65"/>
        <item x="25"/>
        <item x="75"/>
        <item x="93"/>
        <item x="42"/>
        <item x="69"/>
        <item x="82"/>
        <item x="92"/>
        <item x="2"/>
        <item x="38"/>
        <item x="84"/>
        <item x="58"/>
        <item x="74"/>
        <item x="28"/>
        <item x="30"/>
        <item x="87"/>
        <item x="60"/>
        <item x="70"/>
        <item x="56"/>
        <item x="41"/>
        <item x="76"/>
        <item x="16"/>
        <item x="43"/>
        <item x="7"/>
        <item x="88"/>
        <item x="33"/>
        <item x="31"/>
        <item x="45"/>
        <item x="39"/>
        <item x="46"/>
        <item x="14"/>
        <item x="80"/>
        <item x="57"/>
        <item x="59"/>
        <item x="86"/>
        <item x="81"/>
        <item x="62"/>
        <item x="55"/>
        <item x="54"/>
        <item x="98"/>
        <item x="15"/>
        <item x="13"/>
        <item x="3"/>
        <item x="1"/>
        <item x="91"/>
        <item x="6"/>
        <item x="47"/>
        <item x="85"/>
        <item x="29"/>
        <item x="63"/>
        <item x="89"/>
        <item x="21"/>
        <item x="4"/>
        <item x="71"/>
        <item x="26"/>
        <item x="78"/>
        <item x="19"/>
        <item x="90"/>
        <item x="40"/>
        <item x="23"/>
        <item x="99"/>
        <item x="17"/>
        <item x="32"/>
        <item x="64"/>
        <item x="72"/>
        <item x="10"/>
        <item x="73"/>
        <item x="53"/>
        <item x="50"/>
        <item x="12"/>
        <item x="95"/>
        <item x="11"/>
        <item x="18"/>
        <item x="34"/>
        <item x="37"/>
        <item x="20"/>
        <item x="61"/>
        <item x="35"/>
        <item x="66"/>
        <item x="0"/>
        <item x="36"/>
        <item x="68"/>
        <item x="77"/>
        <item x="27"/>
        <item x="24"/>
        <item x="52"/>
        <item x="22"/>
        <item x="67"/>
        <item x="49"/>
        <item x="94"/>
        <item x="97"/>
        <item x="5"/>
        <item x="44"/>
        <item t="default"/>
      </items>
    </pivotField>
    <pivotField showAll="0"/>
    <pivotField showAll="0"/>
    <pivotField showAll="0"/>
    <pivotField showAll="0"/>
    <pivotField showAll="0">
      <items count="4">
        <item x="1"/>
        <item x="0"/>
        <item x="2"/>
        <item t="default"/>
      </items>
    </pivotField>
    <pivotField showAll="0">
      <items count="9">
        <item x="5"/>
        <item x="7"/>
        <item x="1"/>
        <item x="3"/>
        <item x="4"/>
        <item x="2"/>
        <item x="0"/>
        <item x="6"/>
        <item t="default"/>
      </items>
    </pivotField>
    <pivotField showAll="0"/>
    <pivotField showAll="0"/>
    <pivotField showAll="0"/>
    <pivotField showAll="0">
      <items count="366">
        <item x="16"/>
        <item x="200"/>
        <item x="57"/>
        <item x="244"/>
        <item x="287"/>
        <item x="246"/>
        <item x="283"/>
        <item x="120"/>
        <item x="342"/>
        <item x="147"/>
        <item x="276"/>
        <item x="133"/>
        <item x="28"/>
        <item x="134"/>
        <item x="215"/>
        <item x="12"/>
        <item x="178"/>
        <item x="59"/>
        <item x="109"/>
        <item x="101"/>
        <item x="289"/>
        <item x="281"/>
        <item x="159"/>
        <item x="221"/>
        <item x="343"/>
        <item x="224"/>
        <item x="43"/>
        <item x="100"/>
        <item x="107"/>
        <item x="231"/>
        <item x="212"/>
        <item x="271"/>
        <item x="361"/>
        <item x="310"/>
        <item x="168"/>
        <item x="31"/>
        <item x="8"/>
        <item x="73"/>
        <item x="144"/>
        <item x="228"/>
        <item x="154"/>
        <item x="174"/>
        <item x="46"/>
        <item x="232"/>
        <item x="280"/>
        <item x="166"/>
        <item x="243"/>
        <item x="26"/>
        <item x="167"/>
        <item x="354"/>
        <item x="176"/>
        <item x="83"/>
        <item x="15"/>
        <item x="219"/>
        <item x="270"/>
        <item x="345"/>
        <item x="142"/>
        <item x="227"/>
        <item x="302"/>
        <item x="230"/>
        <item x="118"/>
        <item x="162"/>
        <item x="165"/>
        <item x="346"/>
        <item x="236"/>
        <item x="187"/>
        <item x="108"/>
        <item x="255"/>
        <item x="125"/>
        <item x="196"/>
        <item x="182"/>
        <item x="96"/>
        <item x="299"/>
        <item x="191"/>
        <item x="88"/>
        <item x="151"/>
        <item x="263"/>
        <item x="22"/>
        <item x="356"/>
        <item x="138"/>
        <item x="105"/>
        <item x="71"/>
        <item x="25"/>
        <item x="249"/>
        <item x="50"/>
        <item x="24"/>
        <item x="251"/>
        <item x="265"/>
        <item x="54"/>
        <item x="42"/>
        <item x="106"/>
        <item x="235"/>
        <item x="189"/>
        <item x="94"/>
        <item x="332"/>
        <item x="34"/>
        <item x="303"/>
        <item x="334"/>
        <item x="329"/>
        <item x="360"/>
        <item x="89"/>
        <item x="27"/>
        <item x="112"/>
        <item x="274"/>
        <item x="211"/>
        <item x="275"/>
        <item x="37"/>
        <item x="23"/>
        <item x="257"/>
        <item x="130"/>
        <item x="136"/>
        <item x="225"/>
        <item x="92"/>
        <item x="358"/>
        <item x="239"/>
        <item x="148"/>
        <item x="169"/>
        <item x="250"/>
        <item x="55"/>
        <item x="321"/>
        <item x="188"/>
        <item x="29"/>
        <item x="285"/>
        <item x="122"/>
        <item x="82"/>
        <item x="53"/>
        <item x="206"/>
        <item x="293"/>
        <item x="170"/>
        <item x="36"/>
        <item x="295"/>
        <item x="35"/>
        <item x="292"/>
        <item x="123"/>
        <item x="135"/>
        <item x="80"/>
        <item x="171"/>
        <item x="194"/>
        <item x="352"/>
        <item x="296"/>
        <item x="13"/>
        <item x="325"/>
        <item x="294"/>
        <item x="183"/>
        <item x="241"/>
        <item x="190"/>
        <item x="104"/>
        <item x="66"/>
        <item x="238"/>
        <item x="119"/>
        <item x="9"/>
        <item x="126"/>
        <item x="177"/>
        <item x="262"/>
        <item x="355"/>
        <item x="140"/>
        <item x="307"/>
        <item x="300"/>
        <item x="268"/>
        <item x="85"/>
        <item x="331"/>
        <item x="51"/>
        <item x="45"/>
        <item x="155"/>
        <item x="175"/>
        <item x="91"/>
        <item x="65"/>
        <item x="240"/>
        <item x="311"/>
        <item x="137"/>
        <item x="124"/>
        <item x="222"/>
        <item x="317"/>
        <item x="111"/>
        <item x="44"/>
        <item x="179"/>
        <item x="305"/>
        <item x="2"/>
        <item x="161"/>
        <item x="306"/>
        <item x="62"/>
        <item x="193"/>
        <item x="180"/>
        <item x="314"/>
        <item x="218"/>
        <item x="21"/>
        <item x="351"/>
        <item x="350"/>
        <item x="70"/>
        <item x="357"/>
        <item x="0"/>
        <item x="316"/>
        <item x="301"/>
        <item x="348"/>
        <item x="49"/>
        <item x="217"/>
        <item x="322"/>
        <item x="353"/>
        <item x="14"/>
        <item x="1"/>
        <item x="335"/>
        <item x="340"/>
        <item x="363"/>
        <item x="205"/>
        <item x="259"/>
        <item x="203"/>
        <item x="272"/>
        <item x="260"/>
        <item x="30"/>
        <item x="195"/>
        <item x="4"/>
        <item x="192"/>
        <item x="210"/>
        <item x="320"/>
        <item x="103"/>
        <item x="328"/>
        <item x="319"/>
        <item x="248"/>
        <item x="297"/>
        <item x="102"/>
        <item x="33"/>
        <item x="186"/>
        <item x="347"/>
        <item x="233"/>
        <item x="198"/>
        <item x="256"/>
        <item x="284"/>
        <item x="223"/>
        <item x="267"/>
        <item x="3"/>
        <item x="99"/>
        <item x="220"/>
        <item x="338"/>
        <item x="98"/>
        <item x="58"/>
        <item x="75"/>
        <item x="291"/>
        <item x="315"/>
        <item x="114"/>
        <item x="64"/>
        <item x="201"/>
        <item x="213"/>
        <item x="164"/>
        <item x="160"/>
        <item x="7"/>
        <item x="298"/>
        <item x="199"/>
        <item x="313"/>
        <item x="364"/>
        <item x="286"/>
        <item x="277"/>
        <item x="308"/>
        <item x="158"/>
        <item x="253"/>
        <item x="173"/>
        <item x="141"/>
        <item x="95"/>
        <item x="288"/>
        <item x="87"/>
        <item x="362"/>
        <item x="69"/>
        <item x="273"/>
        <item x="11"/>
        <item x="110"/>
        <item x="254"/>
        <item x="63"/>
        <item x="86"/>
        <item x="79"/>
        <item x="156"/>
        <item x="209"/>
        <item x="149"/>
        <item x="245"/>
        <item x="312"/>
        <item x="20"/>
        <item x="226"/>
        <item x="172"/>
        <item x="77"/>
        <item x="234"/>
        <item x="349"/>
        <item x="145"/>
        <item x="97"/>
        <item x="204"/>
        <item x="146"/>
        <item x="330"/>
        <item x="127"/>
        <item x="337"/>
        <item x="185"/>
        <item x="17"/>
        <item x="5"/>
        <item x="48"/>
        <item x="214"/>
        <item x="32"/>
        <item x="181"/>
        <item x="150"/>
        <item x="279"/>
        <item x="84"/>
        <item x="19"/>
        <item x="40"/>
        <item x="153"/>
        <item x="237"/>
        <item x="68"/>
        <item x="41"/>
        <item x="341"/>
        <item x="258"/>
        <item x="39"/>
        <item x="129"/>
        <item x="184"/>
        <item x="157"/>
        <item x="132"/>
        <item x="139"/>
        <item x="67"/>
        <item x="327"/>
        <item x="10"/>
        <item x="116"/>
        <item x="359"/>
        <item x="152"/>
        <item x="81"/>
        <item x="344"/>
        <item x="115"/>
        <item x="52"/>
        <item x="278"/>
        <item x="202"/>
        <item x="128"/>
        <item x="143"/>
        <item x="197"/>
        <item x="47"/>
        <item x="290"/>
        <item x="261"/>
        <item x="78"/>
        <item x="264"/>
        <item x="333"/>
        <item x="61"/>
        <item x="336"/>
        <item x="93"/>
        <item x="252"/>
        <item x="339"/>
        <item x="309"/>
        <item x="72"/>
        <item x="163"/>
        <item x="324"/>
        <item x="56"/>
        <item x="38"/>
        <item x="304"/>
        <item x="208"/>
        <item x="323"/>
        <item x="6"/>
        <item x="121"/>
        <item x="18"/>
        <item x="269"/>
        <item x="113"/>
        <item x="207"/>
        <item x="242"/>
        <item x="216"/>
        <item x="90"/>
        <item x="76"/>
        <item x="229"/>
        <item x="131"/>
        <item x="282"/>
        <item x="60"/>
        <item x="318"/>
        <item x="266"/>
        <item x="74"/>
        <item x="247"/>
        <item x="117"/>
        <item x="326"/>
        <item t="default"/>
      </items>
    </pivotField>
    <pivotField showAll="0"/>
    <pivotField showAll="0">
      <items count="51">
        <item x="30"/>
        <item x="48"/>
        <item x="14"/>
        <item x="27"/>
        <item x="40"/>
        <item x="38"/>
        <item x="8"/>
        <item x="15"/>
        <item x="32"/>
        <item x="29"/>
        <item x="47"/>
        <item x="16"/>
        <item x="42"/>
        <item x="12"/>
        <item x="1"/>
        <item x="37"/>
        <item x="36"/>
        <item x="20"/>
        <item x="31"/>
        <item x="28"/>
        <item x="23"/>
        <item x="0"/>
        <item x="2"/>
        <item x="13"/>
        <item x="39"/>
        <item x="19"/>
        <item x="24"/>
        <item x="17"/>
        <item x="45"/>
        <item x="18"/>
        <item x="3"/>
        <item x="43"/>
        <item x="7"/>
        <item x="6"/>
        <item x="41"/>
        <item x="21"/>
        <item x="25"/>
        <item x="33"/>
        <item x="11"/>
        <item x="44"/>
        <item x="26"/>
        <item x="9"/>
        <item x="4"/>
        <item x="46"/>
        <item x="49"/>
        <item x="5"/>
        <item x="10"/>
        <item x="34"/>
        <item x="35"/>
        <item x="22"/>
        <item t="default"/>
      </items>
    </pivotField>
    <pivotField showAll="0"/>
    <pivotField showAll="0"/>
    <pivotField showAll="0">
      <items count="6">
        <item x="2"/>
        <item x="4"/>
        <item x="1"/>
        <item x="3"/>
        <item x="0"/>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0"/>
  </rowFields>
  <rowItems count="11">
    <i>
      <x v="2"/>
    </i>
    <i>
      <x v="13"/>
    </i>
    <i>
      <x v="14"/>
    </i>
    <i>
      <x v="58"/>
    </i>
    <i>
      <x v="62"/>
    </i>
    <i>
      <x v="65"/>
    </i>
    <i>
      <x v="74"/>
    </i>
    <i>
      <x v="75"/>
    </i>
    <i>
      <x v="82"/>
    </i>
    <i>
      <x v="91"/>
    </i>
    <i t="grand">
      <x/>
    </i>
  </rowItems>
  <colItems count="1">
    <i/>
  </colItems>
  <dataFields count="1">
    <dataField name="Sum of Amount_with_Delivery_Charge " fld="24" baseField="0" baseItem="0"/>
  </dataFields>
  <chartFormats count="2">
    <chartFormat chart="0"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56EDCC9E-ACE1-4F28-8AF0-F122BF8C97BA}" name="PivotTable10" cacheId="0"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B38:B39" firstHeaderRow="1" firstDataRow="1" firstDataCol="0"/>
  <pivotFields count="32">
    <pivotField showAll="0"/>
    <pivotField showAll="0"/>
    <pivotField showAll="0"/>
    <pivotField showAll="0"/>
    <pivotField showAll="0"/>
    <pivotField showAll="0">
      <items count="4">
        <item x="1"/>
        <item x="0"/>
        <item x="2"/>
        <item t="default"/>
      </items>
    </pivotField>
    <pivotField showAll="0">
      <items count="9">
        <item x="5"/>
        <item x="7"/>
        <item x="1"/>
        <item x="3"/>
        <item x="4"/>
        <item x="2"/>
        <item x="0"/>
        <item x="6"/>
        <item t="default"/>
      </items>
    </pivotField>
    <pivotField showAll="0"/>
    <pivotField showAll="0"/>
    <pivotField showAll="0"/>
    <pivotField showAll="0">
      <items count="366">
        <item x="16"/>
        <item x="200"/>
        <item x="57"/>
        <item x="244"/>
        <item x="287"/>
        <item x="246"/>
        <item x="283"/>
        <item x="120"/>
        <item x="342"/>
        <item x="147"/>
        <item x="276"/>
        <item x="133"/>
        <item x="28"/>
        <item x="134"/>
        <item x="215"/>
        <item x="12"/>
        <item x="178"/>
        <item x="59"/>
        <item x="109"/>
        <item x="101"/>
        <item x="289"/>
        <item x="281"/>
        <item x="159"/>
        <item x="221"/>
        <item x="343"/>
        <item x="224"/>
        <item x="43"/>
        <item x="100"/>
        <item x="107"/>
        <item x="231"/>
        <item x="212"/>
        <item x="271"/>
        <item x="361"/>
        <item x="310"/>
        <item x="168"/>
        <item x="31"/>
        <item x="8"/>
        <item x="73"/>
        <item x="144"/>
        <item x="228"/>
        <item x="154"/>
        <item x="174"/>
        <item x="46"/>
        <item x="232"/>
        <item x="280"/>
        <item x="166"/>
        <item x="243"/>
        <item x="26"/>
        <item x="167"/>
        <item x="354"/>
        <item x="176"/>
        <item x="83"/>
        <item x="15"/>
        <item x="219"/>
        <item x="270"/>
        <item x="345"/>
        <item x="142"/>
        <item x="227"/>
        <item x="302"/>
        <item x="230"/>
        <item x="118"/>
        <item x="162"/>
        <item x="165"/>
        <item x="346"/>
        <item x="236"/>
        <item x="187"/>
        <item x="108"/>
        <item x="255"/>
        <item x="125"/>
        <item x="196"/>
        <item x="182"/>
        <item x="96"/>
        <item x="299"/>
        <item x="191"/>
        <item x="88"/>
        <item x="151"/>
        <item x="263"/>
        <item x="22"/>
        <item x="356"/>
        <item x="138"/>
        <item x="105"/>
        <item x="71"/>
        <item x="25"/>
        <item x="249"/>
        <item x="50"/>
        <item x="24"/>
        <item x="251"/>
        <item x="265"/>
        <item x="54"/>
        <item x="42"/>
        <item x="106"/>
        <item x="235"/>
        <item x="189"/>
        <item x="94"/>
        <item x="332"/>
        <item x="34"/>
        <item x="303"/>
        <item x="334"/>
        <item x="329"/>
        <item x="360"/>
        <item x="89"/>
        <item x="27"/>
        <item x="112"/>
        <item x="274"/>
        <item x="211"/>
        <item x="275"/>
        <item x="37"/>
        <item x="23"/>
        <item x="257"/>
        <item x="130"/>
        <item x="136"/>
        <item x="225"/>
        <item x="92"/>
        <item x="358"/>
        <item x="239"/>
        <item x="148"/>
        <item x="169"/>
        <item x="250"/>
        <item x="55"/>
        <item x="321"/>
        <item x="188"/>
        <item x="29"/>
        <item x="285"/>
        <item x="122"/>
        <item x="82"/>
        <item x="53"/>
        <item x="206"/>
        <item x="293"/>
        <item x="170"/>
        <item x="36"/>
        <item x="295"/>
        <item x="35"/>
        <item x="292"/>
        <item x="123"/>
        <item x="135"/>
        <item x="80"/>
        <item x="171"/>
        <item x="194"/>
        <item x="352"/>
        <item x="296"/>
        <item x="13"/>
        <item x="325"/>
        <item x="294"/>
        <item x="183"/>
        <item x="241"/>
        <item x="190"/>
        <item x="104"/>
        <item x="66"/>
        <item x="238"/>
        <item x="119"/>
        <item x="9"/>
        <item x="126"/>
        <item x="177"/>
        <item x="262"/>
        <item x="355"/>
        <item x="140"/>
        <item x="307"/>
        <item x="300"/>
        <item x="268"/>
        <item x="85"/>
        <item x="331"/>
        <item x="51"/>
        <item x="45"/>
        <item x="155"/>
        <item x="175"/>
        <item x="91"/>
        <item x="65"/>
        <item x="240"/>
        <item x="311"/>
        <item x="137"/>
        <item x="124"/>
        <item x="222"/>
        <item x="317"/>
        <item x="111"/>
        <item x="44"/>
        <item x="179"/>
        <item x="305"/>
        <item x="2"/>
        <item x="161"/>
        <item x="306"/>
        <item x="62"/>
        <item x="193"/>
        <item x="180"/>
        <item x="314"/>
        <item x="218"/>
        <item x="21"/>
        <item x="351"/>
        <item x="350"/>
        <item x="70"/>
        <item x="357"/>
        <item x="0"/>
        <item x="316"/>
        <item x="301"/>
        <item x="348"/>
        <item x="49"/>
        <item x="217"/>
        <item x="322"/>
        <item x="353"/>
        <item x="14"/>
        <item x="1"/>
        <item x="335"/>
        <item x="340"/>
        <item x="363"/>
        <item x="205"/>
        <item x="259"/>
        <item x="203"/>
        <item x="272"/>
        <item x="260"/>
        <item x="30"/>
        <item x="195"/>
        <item x="4"/>
        <item x="192"/>
        <item x="210"/>
        <item x="320"/>
        <item x="103"/>
        <item x="328"/>
        <item x="319"/>
        <item x="248"/>
        <item x="297"/>
        <item x="102"/>
        <item x="33"/>
        <item x="186"/>
        <item x="347"/>
        <item x="233"/>
        <item x="198"/>
        <item x="256"/>
        <item x="284"/>
        <item x="223"/>
        <item x="267"/>
        <item x="3"/>
        <item x="99"/>
        <item x="220"/>
        <item x="338"/>
        <item x="98"/>
        <item x="58"/>
        <item x="75"/>
        <item x="291"/>
        <item x="315"/>
        <item x="114"/>
        <item x="64"/>
        <item x="201"/>
        <item x="213"/>
        <item x="164"/>
        <item x="160"/>
        <item x="7"/>
        <item x="298"/>
        <item x="199"/>
        <item x="313"/>
        <item x="364"/>
        <item x="286"/>
        <item x="277"/>
        <item x="308"/>
        <item x="158"/>
        <item x="253"/>
        <item x="173"/>
        <item x="141"/>
        <item x="95"/>
        <item x="288"/>
        <item x="87"/>
        <item x="362"/>
        <item x="69"/>
        <item x="273"/>
        <item x="11"/>
        <item x="110"/>
        <item x="254"/>
        <item x="63"/>
        <item x="86"/>
        <item x="79"/>
        <item x="156"/>
        <item x="209"/>
        <item x="149"/>
        <item x="245"/>
        <item x="312"/>
        <item x="20"/>
        <item x="226"/>
        <item x="172"/>
        <item x="77"/>
        <item x="234"/>
        <item x="349"/>
        <item x="145"/>
        <item x="97"/>
        <item x="204"/>
        <item x="146"/>
        <item x="330"/>
        <item x="127"/>
        <item x="337"/>
        <item x="185"/>
        <item x="17"/>
        <item x="5"/>
        <item x="48"/>
        <item x="214"/>
        <item x="32"/>
        <item x="181"/>
        <item x="150"/>
        <item x="279"/>
        <item x="84"/>
        <item x="19"/>
        <item x="40"/>
        <item x="153"/>
        <item x="237"/>
        <item x="68"/>
        <item x="41"/>
        <item x="341"/>
        <item x="258"/>
        <item x="39"/>
        <item x="129"/>
        <item x="184"/>
        <item x="157"/>
        <item x="132"/>
        <item x="139"/>
        <item x="67"/>
        <item x="327"/>
        <item x="10"/>
        <item x="116"/>
        <item x="359"/>
        <item x="152"/>
        <item x="81"/>
        <item x="344"/>
        <item x="115"/>
        <item x="52"/>
        <item x="278"/>
        <item x="202"/>
        <item x="128"/>
        <item x="143"/>
        <item x="197"/>
        <item x="47"/>
        <item x="290"/>
        <item x="261"/>
        <item x="78"/>
        <item x="264"/>
        <item x="333"/>
        <item x="61"/>
        <item x="336"/>
        <item x="93"/>
        <item x="252"/>
        <item x="339"/>
        <item x="309"/>
        <item x="72"/>
        <item x="163"/>
        <item x="324"/>
        <item x="56"/>
        <item x="38"/>
        <item x="304"/>
        <item x="208"/>
        <item x="323"/>
        <item x="6"/>
        <item x="121"/>
        <item x="18"/>
        <item x="269"/>
        <item x="113"/>
        <item x="207"/>
        <item x="242"/>
        <item x="216"/>
        <item x="90"/>
        <item x="76"/>
        <item x="229"/>
        <item x="131"/>
        <item x="282"/>
        <item x="60"/>
        <item x="318"/>
        <item x="266"/>
        <item x="74"/>
        <item x="247"/>
        <item x="117"/>
        <item x="326"/>
        <item t="default"/>
      </items>
    </pivotField>
    <pivotField showAll="0"/>
    <pivotField dataField="1" showAll="0">
      <items count="51">
        <item x="30"/>
        <item x="48"/>
        <item x="14"/>
        <item x="27"/>
        <item x="40"/>
        <item x="38"/>
        <item x="8"/>
        <item x="15"/>
        <item x="32"/>
        <item x="29"/>
        <item x="47"/>
        <item x="16"/>
        <item x="42"/>
        <item x="12"/>
        <item x="1"/>
        <item x="37"/>
        <item x="36"/>
        <item x="20"/>
        <item x="31"/>
        <item x="28"/>
        <item x="23"/>
        <item x="0"/>
        <item x="2"/>
        <item x="13"/>
        <item x="39"/>
        <item x="19"/>
        <item x="24"/>
        <item x="17"/>
        <item x="45"/>
        <item x="18"/>
        <item x="3"/>
        <item x="43"/>
        <item x="7"/>
        <item x="6"/>
        <item x="41"/>
        <item x="21"/>
        <item x="25"/>
        <item x="33"/>
        <item x="11"/>
        <item x="44"/>
        <item x="26"/>
        <item x="9"/>
        <item x="4"/>
        <item x="46"/>
        <item x="49"/>
        <item x="5"/>
        <item x="10"/>
        <item x="34"/>
        <item x="35"/>
        <item x="22"/>
        <item t="default"/>
      </items>
    </pivotField>
    <pivotField showAll="0"/>
    <pivotField showAll="0"/>
    <pivotField showAll="0">
      <items count="6">
        <item x="2"/>
        <item x="4"/>
        <item x="1"/>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Count of Product_ID" fld="1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6">
  <rv s="0">
    <v>1</v>
    <v>8</v>
    <v>51</v>
    <v>7</v>
  </rv>
  <rv s="0">
    <v>2</v>
    <v>8</v>
    <v>17</v>
    <v>7</v>
  </rv>
  <rv s="0">
    <v>0</v>
    <v>8</v>
    <v>501</v>
    <v>7</v>
  </rv>
  <rv s="0">
    <v>1</v>
    <v>8</v>
    <v>101</v>
    <v>7</v>
  </rv>
  <rv s="0">
    <v>0</v>
    <v>8</v>
    <v>101</v>
    <v>7</v>
  </rv>
  <rv s="0">
    <v>1</v>
    <v>8</v>
    <v>501</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CE8CDF0C-B73E-4F6D-B143-79662E6FC2E5}" sourceName="Gender">
  <pivotTables>
    <pivotTable tabId="5" name="PivotTable1"/>
    <pivotTable tabId="3" name="PivotTable3"/>
    <pivotTable tabId="3" name="PivotTable9"/>
    <pivotTable tabId="3" name="PivotTable8"/>
    <pivotTable tabId="3" name="PivotTable7"/>
    <pivotTable tabId="3" name="PivotTable6"/>
    <pivotTable tabId="3" name="PivotTable5"/>
    <pivotTable tabId="3" name="PivotTable4"/>
    <pivotTable tabId="3" name="PivotTable30"/>
    <pivotTable tabId="3" name="PivotTable29"/>
    <pivotTable tabId="3" name="PivotTable28"/>
    <pivotTable tabId="3" name="PivotTable23"/>
    <pivotTable tabId="3" name="PivotTable22"/>
    <pivotTable tabId="3" name="PivotTable20"/>
    <pivotTable tabId="3" name="PivotTable2"/>
    <pivotTable tabId="3" name="PivotTable19"/>
    <pivotTable tabId="3" name="PivotTable18"/>
    <pivotTable tabId="3" name="PivotTable17"/>
    <pivotTable tabId="3" name="PivotTable16"/>
    <pivotTable tabId="3" name="PivotTable15"/>
    <pivotTable tabId="3" name="PivotTable14"/>
    <pivotTable tabId="3" name="PivotTable13"/>
    <pivotTable tabId="3" name="PivotTable12"/>
    <pivotTable tabId="3" name="PivotTable10"/>
    <pivotTable tabId="3" name="PivotTable1"/>
    <pivotTable tabId="3" name="PivotTable11"/>
    <pivotTable tabId="5" name="PivotTable4"/>
    <pivotTable tabId="5" name="PivotTable5"/>
    <pivotTable tabId="5" name="PivotTable6"/>
    <pivotTable tabId="5" name="PivotTable7"/>
    <pivotTable tabId="5" name="PivotTable2"/>
    <pivotTable tabId="5" name="PivotTable3"/>
  </pivotTables>
  <data>
    <tabular pivotCacheId="623949498">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30F152A2-8849-4DF9-8972-7952AE768423}" sourceName="City">
  <pivotTables>
    <pivotTable tabId="5" name="PivotTable1"/>
    <pivotTable tabId="5" name="PivotTable4"/>
    <pivotTable tabId="5" name="PivotTable5"/>
    <pivotTable tabId="3" name="PivotTable1"/>
    <pivotTable tabId="3" name="PivotTable10"/>
    <pivotTable tabId="3" name="PivotTable11"/>
    <pivotTable tabId="3" name="PivotTable12"/>
    <pivotTable tabId="3" name="PivotTable13"/>
    <pivotTable tabId="3" name="PivotTable14"/>
    <pivotTable tabId="3" name="PivotTable15"/>
    <pivotTable tabId="3" name="PivotTable16"/>
    <pivotTable tabId="3" name="PivotTable17"/>
    <pivotTable tabId="3" name="PivotTable18"/>
    <pivotTable tabId="3" name="PivotTable19"/>
    <pivotTable tabId="3" name="PivotTable2"/>
    <pivotTable tabId="3" name="PivotTable20"/>
    <pivotTable tabId="3" name="PivotTable22"/>
    <pivotTable tabId="3" name="PivotTable23"/>
    <pivotTable tabId="3" name="PivotTable28"/>
    <pivotTable tabId="3" name="PivotTable29"/>
    <pivotTable tabId="3" name="PivotTable3"/>
    <pivotTable tabId="3" name="PivotTable30"/>
    <pivotTable tabId="3" name="PivotTable4"/>
    <pivotTable tabId="3" name="PivotTable5"/>
    <pivotTable tabId="3" name="PivotTable6"/>
    <pivotTable tabId="3" name="PivotTable7"/>
    <pivotTable tabId="3" name="PivotTable8"/>
    <pivotTable tabId="3" name="PivotTable9"/>
    <pivotTable tabId="5" name="PivotTable6"/>
    <pivotTable tabId="5" name="PivotTable7"/>
    <pivotTable tabId="5" name="PivotTable2"/>
    <pivotTable tabId="5" name="PivotTable3"/>
  </pivotTables>
  <data>
    <tabular pivotCacheId="623949498">
      <items count="8">
        <i x="5" s="1"/>
        <i x="7" s="1"/>
        <i x="1" s="1"/>
        <i x="3" s="1"/>
        <i x="4" s="1"/>
        <i x="2" s="1"/>
        <i x="0"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pon_Code" xr10:uid="{23414662-0E09-455F-8241-76AF6C97C651}" sourceName="Coupon_Code">
  <pivotTables>
    <pivotTable tabId="5" name="PivotTable1"/>
    <pivotTable tabId="5" name="PivotTable4"/>
    <pivotTable tabId="5" name="PivotTable5"/>
    <pivotTable tabId="3" name="PivotTable1"/>
    <pivotTable tabId="3" name="PivotTable10"/>
    <pivotTable tabId="3" name="PivotTable11"/>
    <pivotTable tabId="3" name="PivotTable12"/>
    <pivotTable tabId="3" name="PivotTable13"/>
    <pivotTable tabId="3" name="PivotTable14"/>
    <pivotTable tabId="3" name="PivotTable15"/>
    <pivotTable tabId="3" name="PivotTable16"/>
    <pivotTable tabId="3" name="PivotTable17"/>
    <pivotTable tabId="3" name="PivotTable18"/>
    <pivotTable tabId="3" name="PivotTable19"/>
    <pivotTable tabId="3" name="PivotTable2"/>
    <pivotTable tabId="3" name="PivotTable20"/>
    <pivotTable tabId="3" name="PivotTable22"/>
    <pivotTable tabId="3" name="PivotTable23"/>
    <pivotTable tabId="3" name="PivotTable28"/>
    <pivotTable tabId="3" name="PivotTable29"/>
    <pivotTable tabId="3" name="PivotTable3"/>
    <pivotTable tabId="3" name="PivotTable30"/>
    <pivotTable tabId="3" name="PivotTable4"/>
    <pivotTable tabId="3" name="PivotTable5"/>
    <pivotTable tabId="3" name="PivotTable6"/>
    <pivotTable tabId="3" name="PivotTable7"/>
    <pivotTable tabId="3" name="PivotTable8"/>
    <pivotTable tabId="3" name="PivotTable9"/>
    <pivotTable tabId="5" name="PivotTable6"/>
    <pivotTable tabId="5" name="PivotTable7"/>
    <pivotTable tabId="5" name="PivotTable2"/>
    <pivotTable tabId="5" name="PivotTable3"/>
  </pivotTables>
  <data>
    <tabular pivotCacheId="623949498">
      <items count="5">
        <i x="2" s="1"/>
        <i x="4" s="1"/>
        <i x="1" s="1"/>
        <i x="3"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ID" xr10:uid="{CBC2FD32-9CB4-4106-8A8E-797EBC06C73B}" sourceName="Product_ID">
  <pivotTables>
    <pivotTable tabId="5" name="PivotTable1"/>
    <pivotTable tabId="5" name="PivotTable4"/>
    <pivotTable tabId="5" name="PivotTable5"/>
    <pivotTable tabId="3" name="PivotTable1"/>
    <pivotTable tabId="3" name="PivotTable10"/>
    <pivotTable tabId="3" name="PivotTable11"/>
    <pivotTable tabId="3" name="PivotTable12"/>
    <pivotTable tabId="3" name="PivotTable13"/>
    <pivotTable tabId="3" name="PivotTable14"/>
    <pivotTable tabId="3" name="PivotTable15"/>
    <pivotTable tabId="3" name="PivotTable16"/>
    <pivotTable tabId="3" name="PivotTable17"/>
    <pivotTable tabId="3" name="PivotTable18"/>
    <pivotTable tabId="3" name="PivotTable19"/>
    <pivotTable tabId="3" name="PivotTable2"/>
    <pivotTable tabId="3" name="PivotTable20"/>
    <pivotTable tabId="3" name="PivotTable22"/>
    <pivotTable tabId="3" name="PivotTable23"/>
    <pivotTable tabId="3" name="PivotTable28"/>
    <pivotTable tabId="3" name="PivotTable29"/>
    <pivotTable tabId="3" name="PivotTable3"/>
    <pivotTable tabId="3" name="PivotTable30"/>
    <pivotTable tabId="3" name="PivotTable4"/>
    <pivotTable tabId="3" name="PivotTable5"/>
    <pivotTable tabId="3" name="PivotTable6"/>
    <pivotTable tabId="3" name="PivotTable7"/>
    <pivotTable tabId="3" name="PivotTable8"/>
    <pivotTable tabId="3" name="PivotTable9"/>
    <pivotTable tabId="5" name="PivotTable6"/>
    <pivotTable tabId="5" name="PivotTable7"/>
    <pivotTable tabId="5" name="PivotTable2"/>
    <pivotTable tabId="5" name="PivotTable3"/>
  </pivotTables>
  <data>
    <tabular pivotCacheId="623949498">
      <items count="50">
        <i x="30" s="1"/>
        <i x="48" s="1"/>
        <i x="14" s="1"/>
        <i x="27" s="1"/>
        <i x="40" s="1"/>
        <i x="38" s="1"/>
        <i x="8" s="1"/>
        <i x="15" s="1"/>
        <i x="32" s="1"/>
        <i x="29" s="1"/>
        <i x="47" s="1"/>
        <i x="16" s="1"/>
        <i x="42" s="1"/>
        <i x="12" s="1"/>
        <i x="1" s="1"/>
        <i x="37" s="1"/>
        <i x="36" s="1"/>
        <i x="20" s="1"/>
        <i x="31" s="1"/>
        <i x="28" s="1"/>
        <i x="23" s="1"/>
        <i x="0" s="1"/>
        <i x="2" s="1"/>
        <i x="13" s="1"/>
        <i x="39" s="1"/>
        <i x="19" s="1"/>
        <i x="24" s="1"/>
        <i x="17" s="1"/>
        <i x="45" s="1"/>
        <i x="18" s="1"/>
        <i x="3" s="1"/>
        <i x="43" s="1"/>
        <i x="7" s="1"/>
        <i x="6" s="1"/>
        <i x="41" s="1"/>
        <i x="21" s="1"/>
        <i x="25" s="1"/>
        <i x="33" s="1"/>
        <i x="11" s="1"/>
        <i x="44" s="1"/>
        <i x="26" s="1"/>
        <i x="9" s="1"/>
        <i x="4" s="1"/>
        <i x="46" s="1"/>
        <i x="49" s="1"/>
        <i x="5" s="1"/>
        <i x="10" s="1"/>
        <i x="34" s="1"/>
        <i x="35" s="1"/>
        <i x="2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442D61E1-7DAA-4B27-A3DB-4B436C7193F7}" cache="Slicer_Gender1" caption="Gender" style="SlicerStyleLight6" rowHeight="234950"/>
  <slicer name="City" xr10:uid="{A9ED803A-1C14-4E0B-8A10-BFAAD61491E3}" cache="Slicer_City" caption="City" style="SlicerStyleLight6" rowHeight="234950"/>
  <slicer name="Coupon_Code" xr10:uid="{875943D8-62BE-455F-8373-BDAF75DD3D3F}" cache="Slicer_Coupon_Code" caption="Coupon_Code" columnCount="2" style="SlicerStyleLight6" rowHeight="234950"/>
  <slicer name="Product_ID" xr10:uid="{1846B2FC-03E7-4E4F-88BF-43A7C056AA61}" cache="Slicer_Product_ID" caption="Product_ID" columnCount="2" style="SlicerStyleLight6"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71A453AD-4E46-4DC9-97AF-E4506B9B7B45}" cache="Slicer_Gender1" caption="Gender" columnCount="3"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7A09BBA1-1D3D-4833-A26C-FE48D6F42A35}" cache="Slicer_Gender1" caption="Gender" columnCount="3" style="SlicerStyleLight6" rowHeight="252000"/>
  <slicer name="City 1" xr10:uid="{0FFE4E6E-2920-42EC-AFFF-8F2A3A4EA71D}" cache="Slicer_City" caption="City" columnCount="2" style="SlicerStyleLight6" rowHeight="234950"/>
  <slicer name="Coupon_Code 1" xr10:uid="{10381D0A-5D9C-4318-9AF1-332890337983}" cache="Slicer_Coupon_Code" caption="Coupon_Code" columnCount="2" style="SlicerStyleLight6" rowHeight="234950"/>
  <slicer name="Product_ID 1" xr10:uid="{384A6014-DBE6-4E27-8399-010872B01229}" cache="Slicer_Product_ID" caption="Product_ID" columnCount="2" style="SlicerStyleLight6" rowHeight="18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D228C02-2707-4B0E-BB3D-9C8292D56ACB}" name="Table1" displayName="Table1" ref="A1:AB501" totalsRowShown="0" headerRowDxfId="93" dataDxfId="91" headerRowBorderDxfId="92" tableBorderDxfId="90">
  <autoFilter ref="A1:AB501" xr:uid="{2D228C02-2707-4B0E-BB3D-9C8292D56ACB}"/>
  <tableColumns count="28">
    <tableColumn id="1" xr3:uid="{83156FBA-0CE3-482C-932C-902841A44E33}" name="Customer_ID" dataDxfId="89"/>
    <tableColumn id="2" xr3:uid="{268774B6-E755-466B-8F3D-E329C9F491C5}" name="First_Name" dataDxfId="88"/>
    <tableColumn id="3" xr3:uid="{B41129FD-4BCF-43E4-9C56-84EAE2229008}" name="Last_Name" dataDxfId="87"/>
    <tableColumn id="28" xr3:uid="{B0D1A594-AB0C-4F4B-A492-BADF81DB568A}" name="Full Name" dataDxfId="86">
      <calculatedColumnFormula>_xlfn.CONCAT(Table1[[#This Row],[First_Name]],Table1[[#This Row],[Last_Name]])</calculatedColumnFormula>
    </tableColumn>
    <tableColumn id="4" xr3:uid="{6E780818-90D4-45CF-9F17-B9706B374423}" name="Age" dataDxfId="85"/>
    <tableColumn id="5" xr3:uid="{9747CA6A-0828-4930-95D2-A96DE3BA09FC}" name="Gender" dataDxfId="84"/>
    <tableColumn id="6" xr3:uid="{33A9EAC8-A432-4474-B2B0-C2668660FF43}" name="City" dataDxfId="83"/>
    <tableColumn id="7" xr3:uid="{B361621B-2DB0-4D09-839A-036C393769CD}" name="Email" dataDxfId="82"/>
    <tableColumn id="8" xr3:uid="{5727F9AF-A717-41AF-9903-5D3D994C8270}" name="Address" dataDxfId="81"/>
    <tableColumn id="9" xr3:uid="{D8B3DC3E-351E-4C19-8157-E12D0A59B354}" name="Order_ID" dataDxfId="80"/>
    <tableColumn id="10" xr3:uid="{D9EF240A-4B8A-4B30-8FE7-73B083F77821}" name="Order_Date" dataDxfId="79"/>
    <tableColumn id="11" xr3:uid="{B63450ED-1087-48C8-8B3A-C20F13E54374}" name="Order_Time" dataDxfId="78"/>
    <tableColumn id="12" xr3:uid="{959919FB-D27F-420B-B014-19E91A469B2A}" name="Product_ID" dataDxfId="77"/>
    <tableColumn id="13" xr3:uid="{441C5C60-5005-4AB1-9A9D-6E7DCECC7862}" name="Price" dataDxfId="76"/>
    <tableColumn id="14" xr3:uid="{529BD455-536D-4B48-A6BD-B24029AC5324}" name="Quantity" dataDxfId="75"/>
    <tableColumn id="15" xr3:uid="{C142BF64-2279-4A62-B038-4BB527357671}" name="Coupon_Code" dataDxfId="74"/>
    <tableColumn id="16" xr3:uid="{6A593375-D1FE-4045-98AF-FE323CEA40BC}" name="Estimated_Days_to_Deliver" dataDxfId="73"/>
    <tableColumn id="17" xr3:uid="{01515E61-299A-4F10-ACE8-154604B70B61}" name="Delivery_Charge" dataDxfId="72"/>
    <tableColumn id="18" xr3:uid="{9DC1FDF5-0342-4B60-BB99-EF805BD8DC0C}" name="Delivery_Date" dataDxfId="71"/>
    <tableColumn id="19" xr3:uid="{37A9697F-A858-4B59-9ECA-4CFCBBD2337B}" name="Delivery_Time" dataDxfId="70"/>
    <tableColumn id="20" xr3:uid="{13DF0D39-C589-4008-99F5-90B0FE97AA55}" name="Day_Delivery" dataDxfId="69">
      <calculatedColumnFormula>Table1[[#This Row],[Delivery_Date]]-Table1[[#This Row],[Order_Date]]</calculatedColumnFormula>
    </tableColumn>
    <tableColumn id="21" xr3:uid="{29215F66-6D46-4C24-8484-6DA578F8F5D1}" name="Amount" dataDxfId="68">
      <calculatedColumnFormula>Table1[[#This Row],[Price]]*Table1[[#This Row],[Quantity]]</calculatedColumnFormula>
    </tableColumn>
    <tableColumn id="22" xr3:uid="{286578BE-4A72-400A-94C8-5861395B2905}" name="Discount_Percentage" dataDxfId="67">
      <calculatedColumnFormula array="1">_xlfn.IFS(
P2="FLAT8",8%,
P2="FLAT10",10%,
P2="FLAT15",15%,P2="FLAT20",20%,P2="DEL0",0%,
TRUE,0%
)</calculatedColumnFormula>
    </tableColumn>
    <tableColumn id="23" xr3:uid="{C7822891-FD6B-452C-8E63-B165F2912C53}" name="Discount_Amount" dataDxfId="66">
      <calculatedColumnFormula>Table1[[#This Row],[Amount]]-(Table1[[#This Row],[Amount]]*Table1[[#This Row],[Discount_Percentage]])</calculatedColumnFormula>
    </tableColumn>
    <tableColumn id="25" xr3:uid="{680C4C83-32B4-4699-BDF1-EE8D8503FB86}" name="Amount_with_Delivery_Charge " dataDxfId="65">
      <calculatedColumnFormula>IF(P2="DEL0",Table1[[#This Row],[Discount_Amount]],Table1[[#This Row],[Discount_Amount]]+Table1[[#This Row],[Delivery_Charge]])</calculatedColumnFormula>
    </tableColumn>
    <tableColumn id="26" xr3:uid="{49E0F201-6FC1-4F56-A20B-58EC0F00D710}" name="Full_Name" dataDxfId="64">
      <calculatedColumnFormula>_xlfn.CONCAT(Table1[[#This Row],[First_Name]],"  ",Table1[[#This Row],[Last_Name]])</calculatedColumnFormula>
    </tableColumn>
    <tableColumn id="27" xr3:uid="{6638B3CE-CF5D-4CA2-B683-392BB8D10430}" name="Delivery_Status" dataDxfId="63">
      <calculatedColumnFormula array="1">_xlfn.IFS( (S2-K2)&gt;Q2,"Late", (S2-K2)=Q2,"InTime", (S2-K2)&lt;Q2,"BeforeTime" )</calculatedColumnFormula>
    </tableColumn>
    <tableColumn id="24" xr3:uid="{F5F23050-02D1-46B0-8380-72E5F694DCA3}" name="Order month" dataDxfId="62">
      <calculatedColumnFormula>MONTH(Table1[[#This Row],[Order_Date]])</calculatedColumnFormula>
    </tableColumn>
  </tableColumns>
  <tableStyleInfo name="TableStyleLight2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C86CEFD-CF87-4C7A-A785-D7A538B3EC65}" name="Table3" displayName="Table3" ref="A1:AC501" totalsRowShown="0">
  <tableColumns count="29">
    <tableColumn id="1" xr3:uid="{BCEFEB53-2422-4D08-AAD8-B9238B8E80B2}" name="Customer_ID"/>
    <tableColumn id="2" xr3:uid="{A257D1D0-A4E5-401B-90D5-0DDFF1B02627}" name="First_Name"/>
    <tableColumn id="3" xr3:uid="{F501C130-4FF4-403B-A475-B9A93471E31B}" name="Last_Name"/>
    <tableColumn id="28" xr3:uid="{264CAC3A-B3E6-409D-AF52-8793E46267DF}" name="Full Name"/>
    <tableColumn id="4" xr3:uid="{DDAD52C3-44ED-41D5-94BD-04C18230064A}" name="Age"/>
    <tableColumn id="5" xr3:uid="{A84B3DB3-87D5-400E-8DB0-1C17AFA6CDFD}" name="Gender"/>
    <tableColumn id="6" xr3:uid="{561E30F2-E4E3-4F27-97B0-FEB7897E6622}" name="City"/>
    <tableColumn id="7" xr3:uid="{55D02045-28FF-4641-834B-36EF8A8479E3}" name="Email"/>
    <tableColumn id="8" xr3:uid="{BA67E69E-4C9C-4346-9DB9-554623D8F445}" name="Address"/>
    <tableColumn id="9" xr3:uid="{5123EAA0-9FA9-48AD-A0F8-AEEDC6E923E2}" name="Order_ID"/>
    <tableColumn id="10" xr3:uid="{CCB664A9-AC1C-4100-AFB4-70785B4C3297}" name="Order_Date" dataDxfId="61"/>
    <tableColumn id="11" xr3:uid="{4BCC321E-A87A-48A4-84A1-576FE1572FE7}" name="Order_Time"/>
    <tableColumn id="12" xr3:uid="{546FE63F-9B1B-426C-B748-400E18DE380B}" name="Product_ID"/>
    <tableColumn id="13" xr3:uid="{F7794142-575B-4C61-ADFF-C09535DC87F7}" name="Price"/>
    <tableColumn id="14" xr3:uid="{8807543D-25ED-4AAC-93FE-3B374F4BD563}" name="Quantity"/>
    <tableColumn id="15" xr3:uid="{0F83E2D1-5B67-4AFF-AB2A-439916F32663}" name="Coupon_Code"/>
    <tableColumn id="16" xr3:uid="{7CB7F19A-5E4E-44F4-BBFA-94E66622E887}" name="Estimated_Days_to_Deliver"/>
    <tableColumn id="17" xr3:uid="{43BE1903-F6CD-4E3B-93F4-DBE621E01422}" name="Delivery_Charge"/>
    <tableColumn id="18" xr3:uid="{CDD8D7AC-2332-4C82-85B7-589A8F67640E}" name="Delivery_Date"/>
    <tableColumn id="19" xr3:uid="{B63A28B5-67FD-444C-9D7C-AD63832BE4BB}" name="Delivery_Time"/>
    <tableColumn id="20" xr3:uid="{F73E41AB-2E4F-4E9C-B3B5-AD6A668781D2}" name="Day_Delivery"/>
    <tableColumn id="21" xr3:uid="{6975B9C8-37E9-4AF2-A730-03116522191C}" name="Amount"/>
    <tableColumn id="22" xr3:uid="{0EA838BC-27E2-4A8C-9498-ADC29FD6F99E}" name="Discount_Percentage"/>
    <tableColumn id="23" xr3:uid="{CA6B783F-611F-4FA0-8DE1-2ADA4E1B13CA}" name="Discount_Amount"/>
    <tableColumn id="24" xr3:uid="{4171DD30-32C4-4197-BE39-FBFB1BB2FD6A}" name="Amount_with_Delivery_Charge "/>
    <tableColumn id="25" xr3:uid="{C5AA0B4F-C27E-4ED7-8BF0-D8EE4C62FF2C}" name="Full_Name"/>
    <tableColumn id="26" xr3:uid="{7348A3D4-4EDC-4009-A09A-504657156F14}" name="Delivery_Status"/>
    <tableColumn id="27" xr3:uid="{713EF001-20E1-40F5-8B15-A799B2DE9CCA}" name="Order month"/>
    <tableColumn id="29" xr3:uid="{5C893DF5-560C-4782-AD3E-F76AB21698E2}" name="Column1" dataDxfId="6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0AB2E645-2193-4CC6-9841-B04B66E6719B}" sourceName="Order_Date">
  <pivotTables>
    <pivotTable tabId="5" name="PivotTable1"/>
    <pivotTable tabId="5" name="PivotTable4"/>
    <pivotTable tabId="5" name="PivotTable5"/>
    <pivotTable tabId="3" name="PivotTable1"/>
    <pivotTable tabId="3" name="PivotTable10"/>
    <pivotTable tabId="3" name="PivotTable11"/>
    <pivotTable tabId="3" name="PivotTable12"/>
    <pivotTable tabId="3" name="PivotTable13"/>
    <pivotTable tabId="3" name="PivotTable14"/>
    <pivotTable tabId="3" name="PivotTable15"/>
    <pivotTable tabId="3" name="PivotTable16"/>
    <pivotTable tabId="3" name="PivotTable17"/>
    <pivotTable tabId="3" name="PivotTable18"/>
    <pivotTable tabId="3" name="PivotTable19"/>
    <pivotTable tabId="3" name="PivotTable2"/>
    <pivotTable tabId="3" name="PivotTable20"/>
    <pivotTable tabId="3" name="PivotTable22"/>
    <pivotTable tabId="3" name="PivotTable23"/>
    <pivotTable tabId="3" name="PivotTable28"/>
    <pivotTable tabId="3" name="PivotTable29"/>
    <pivotTable tabId="3" name="PivotTable3"/>
    <pivotTable tabId="3" name="PivotTable30"/>
    <pivotTable tabId="3" name="PivotTable4"/>
    <pivotTable tabId="3" name="PivotTable5"/>
    <pivotTable tabId="3" name="PivotTable6"/>
    <pivotTable tabId="3" name="PivotTable7"/>
    <pivotTable tabId="3" name="PivotTable8"/>
    <pivotTable tabId="3" name="PivotTable9"/>
    <pivotTable tabId="5" name="PivotTable6"/>
    <pivotTable tabId="5" name="PivotTable7"/>
    <pivotTable tabId="5" name="PivotTable2"/>
    <pivotTable tabId="5" name="PivotTable3"/>
  </pivotTables>
  <state minimalRefreshVersion="6" lastRefreshVersion="6" pivotCacheId="623949498" filterType="unknown">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272F219B-6BF2-4D63-8849-B64444318848}" cache="NativeTimeline_Order_Date" caption="Order_Date" level="2" selectionLevel="2" scrollPosition="2025-06-06T00:00:00" style="TimeSlicerStyleLight6"/>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1" xr10:uid="{668DE7A2-0D5E-46F2-9FAF-1D17A5221BED}" cache="NativeTimeline_Order_Date" caption="Order_Date" showSelectionLabel="0" showTimeLevel="0" level="2" selectionLevel="2" scrollPosition="2023-12-01T00:00:00" style="TimeSlicerStyleLight6"/>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11/relationships/timeline" Target="../timelines/timeline1.xml"/><Relationship Id="rId4" Type="http://schemas.openxmlformats.org/officeDocument/2006/relationships/pivotTable" Target="../pivotTables/pivotTable4.xml"/><Relationship Id="rId9" Type="http://schemas.microsoft.com/office/2007/relationships/slicer" Target="../slicers/slicer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15.xml"/><Relationship Id="rId13" Type="http://schemas.openxmlformats.org/officeDocument/2006/relationships/pivotTable" Target="../pivotTables/pivotTable20.xml"/><Relationship Id="rId18" Type="http://schemas.openxmlformats.org/officeDocument/2006/relationships/pivotTable" Target="../pivotTables/pivotTable25.xml"/><Relationship Id="rId26" Type="http://schemas.openxmlformats.org/officeDocument/2006/relationships/drawing" Target="../drawings/drawing2.xml"/><Relationship Id="rId3" Type="http://schemas.openxmlformats.org/officeDocument/2006/relationships/pivotTable" Target="../pivotTables/pivotTable10.xml"/><Relationship Id="rId21" Type="http://schemas.openxmlformats.org/officeDocument/2006/relationships/pivotTable" Target="../pivotTables/pivotTable28.xml"/><Relationship Id="rId7" Type="http://schemas.openxmlformats.org/officeDocument/2006/relationships/pivotTable" Target="../pivotTables/pivotTable14.xml"/><Relationship Id="rId12" Type="http://schemas.openxmlformats.org/officeDocument/2006/relationships/pivotTable" Target="../pivotTables/pivotTable19.xml"/><Relationship Id="rId17" Type="http://schemas.openxmlformats.org/officeDocument/2006/relationships/pivotTable" Target="../pivotTables/pivotTable24.xml"/><Relationship Id="rId25" Type="http://schemas.openxmlformats.org/officeDocument/2006/relationships/pivotTable" Target="../pivotTables/pivotTable32.xml"/><Relationship Id="rId2" Type="http://schemas.openxmlformats.org/officeDocument/2006/relationships/pivotTable" Target="../pivotTables/pivotTable9.xml"/><Relationship Id="rId16" Type="http://schemas.openxmlformats.org/officeDocument/2006/relationships/pivotTable" Target="../pivotTables/pivotTable23.xml"/><Relationship Id="rId20" Type="http://schemas.openxmlformats.org/officeDocument/2006/relationships/pivotTable" Target="../pivotTables/pivotTable27.xml"/><Relationship Id="rId1" Type="http://schemas.openxmlformats.org/officeDocument/2006/relationships/pivotTable" Target="../pivotTables/pivotTable8.xml"/><Relationship Id="rId6" Type="http://schemas.openxmlformats.org/officeDocument/2006/relationships/pivotTable" Target="../pivotTables/pivotTable13.xml"/><Relationship Id="rId11" Type="http://schemas.openxmlformats.org/officeDocument/2006/relationships/pivotTable" Target="../pivotTables/pivotTable18.xml"/><Relationship Id="rId24" Type="http://schemas.openxmlformats.org/officeDocument/2006/relationships/pivotTable" Target="../pivotTables/pivotTable31.xml"/><Relationship Id="rId5" Type="http://schemas.openxmlformats.org/officeDocument/2006/relationships/pivotTable" Target="../pivotTables/pivotTable12.xml"/><Relationship Id="rId15" Type="http://schemas.openxmlformats.org/officeDocument/2006/relationships/pivotTable" Target="../pivotTables/pivotTable22.xml"/><Relationship Id="rId23" Type="http://schemas.openxmlformats.org/officeDocument/2006/relationships/pivotTable" Target="../pivotTables/pivotTable30.xml"/><Relationship Id="rId10" Type="http://schemas.openxmlformats.org/officeDocument/2006/relationships/pivotTable" Target="../pivotTables/pivotTable17.xml"/><Relationship Id="rId19" Type="http://schemas.openxmlformats.org/officeDocument/2006/relationships/pivotTable" Target="../pivotTables/pivotTable26.xml"/><Relationship Id="rId4" Type="http://schemas.openxmlformats.org/officeDocument/2006/relationships/pivotTable" Target="../pivotTables/pivotTable11.xml"/><Relationship Id="rId9" Type="http://schemas.openxmlformats.org/officeDocument/2006/relationships/pivotTable" Target="../pivotTables/pivotTable16.xml"/><Relationship Id="rId14" Type="http://schemas.openxmlformats.org/officeDocument/2006/relationships/pivotTable" Target="../pivotTables/pivotTable21.xml"/><Relationship Id="rId22" Type="http://schemas.openxmlformats.org/officeDocument/2006/relationships/pivotTable" Target="../pivotTables/pivotTable29.xml"/><Relationship Id="rId27" Type="http://schemas.microsoft.com/office/2007/relationships/slicer" Target="../slicers/slicer2.xml"/></Relationships>
</file>

<file path=xl/worksheets/_rels/sheet5.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5AD631-D9FE-4A47-8E66-4A9F8F4B1704}">
  <dimension ref="A1:AB501"/>
  <sheetViews>
    <sheetView topLeftCell="A396" workbookViewId="0">
      <selection activeCell="H481" sqref="H481"/>
    </sheetView>
  </sheetViews>
  <sheetFormatPr defaultRowHeight="14.4" x14ac:dyDescent="0.3"/>
  <cols>
    <col min="1" max="1" width="15.109375" customWidth="1"/>
    <col min="2" max="2" width="14.5546875" customWidth="1"/>
    <col min="3" max="4" width="14.88671875" customWidth="1"/>
    <col min="5" max="5" width="8.6640625" customWidth="1"/>
    <col min="6" max="6" width="10.33203125" customWidth="1"/>
    <col min="7" max="7" width="8.6640625" customWidth="1"/>
    <col min="8" max="8" width="31.33203125" customWidth="1"/>
    <col min="9" max="9" width="53.44140625" customWidth="1"/>
    <col min="10" max="10" width="16.5546875" customWidth="1"/>
    <col min="11" max="11" width="18.5546875" customWidth="1"/>
    <col min="12" max="12" width="19" customWidth="1"/>
    <col min="13" max="13" width="14.33203125" customWidth="1"/>
    <col min="14" max="14" width="8.6640625" customWidth="1"/>
    <col min="15" max="15" width="16.109375" customWidth="1"/>
    <col min="16" max="16" width="21.6640625" customWidth="1"/>
    <col min="17" max="17" width="28.33203125" customWidth="1"/>
    <col min="18" max="18" width="18" customWidth="1"/>
    <col min="19" max="19" width="16.44140625" customWidth="1"/>
    <col min="20" max="20" width="22.77734375" customWidth="1"/>
    <col min="21" max="21" width="18.109375" customWidth="1"/>
    <col min="22" max="22" width="20" customWidth="1"/>
    <col min="23" max="23" width="23.21875" customWidth="1"/>
    <col min="24" max="24" width="23" customWidth="1"/>
    <col min="25" max="25" width="38" customWidth="1"/>
    <col min="26" max="26" width="36.77734375" customWidth="1"/>
    <col min="27" max="27" width="29.109375" customWidth="1"/>
    <col min="28" max="28" width="14.44140625" customWidth="1"/>
  </cols>
  <sheetData>
    <row r="1" spans="1:28" x14ac:dyDescent="0.3">
      <c r="A1" s="1" t="s">
        <v>0</v>
      </c>
      <c r="B1" s="1" t="s">
        <v>1</v>
      </c>
      <c r="C1" s="1" t="s">
        <v>2</v>
      </c>
      <c r="D1" s="2" t="s">
        <v>2162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2" t="s">
        <v>19</v>
      </c>
      <c r="V1" s="2" t="s">
        <v>20</v>
      </c>
      <c r="W1" s="2" t="s">
        <v>21</v>
      </c>
      <c r="X1" s="2" t="s">
        <v>22</v>
      </c>
      <c r="Y1" s="2" t="s">
        <v>23</v>
      </c>
      <c r="Z1" s="2" t="s">
        <v>24</v>
      </c>
      <c r="AA1" s="2" t="s">
        <v>25</v>
      </c>
      <c r="AB1" s="2" t="s">
        <v>2273</v>
      </c>
    </row>
    <row r="2" spans="1:28" x14ac:dyDescent="0.3">
      <c r="A2" s="3" t="s">
        <v>26</v>
      </c>
      <c r="B2" s="3" t="s">
        <v>27</v>
      </c>
      <c r="C2" s="3" t="s">
        <v>28</v>
      </c>
      <c r="D2" s="3" t="str">
        <f>_xlfn.CONCAT(Table1[[#This Row],[First_Name]],Table1[[#This Row],[Last_Name]])</f>
        <v>AnneOconnell</v>
      </c>
      <c r="E2" s="3">
        <v>37</v>
      </c>
      <c r="F2" s="3" t="s">
        <v>29</v>
      </c>
      <c r="G2" s="3" t="s">
        <v>30</v>
      </c>
      <c r="H2" s="3" t="s">
        <v>31</v>
      </c>
      <c r="I2" s="3" t="s">
        <v>32</v>
      </c>
      <c r="J2" s="3" t="s">
        <v>33</v>
      </c>
      <c r="K2" s="4">
        <v>45358</v>
      </c>
      <c r="L2" s="3" t="s">
        <v>34</v>
      </c>
      <c r="M2" s="3" t="s">
        <v>35</v>
      </c>
      <c r="N2" s="3">
        <v>308.88</v>
      </c>
      <c r="O2" s="3">
        <v>5</v>
      </c>
      <c r="P2" s="3" t="s">
        <v>36</v>
      </c>
      <c r="Q2" s="3">
        <v>4</v>
      </c>
      <c r="R2" s="3">
        <v>60</v>
      </c>
      <c r="S2" s="4">
        <v>45361</v>
      </c>
      <c r="T2" s="3" t="s">
        <v>37</v>
      </c>
      <c r="U2" s="5">
        <f>Table1[[#This Row],[Delivery_Date]]-Table1[[#This Row],[Order_Date]]</f>
        <v>3</v>
      </c>
      <c r="V2" s="5">
        <f>Table1[[#This Row],[Price]]*Table1[[#This Row],[Quantity]]</f>
        <v>1544.4</v>
      </c>
      <c r="W2" s="6" cm="1">
        <f t="array" ref="W2">_xlfn.IFS(
P2="FLAT8",8%,
P2="FLAT10",10%,
P2="FLAT15",15%,P2="FLAT20",20%,P2="DEL0",0%,
TRUE,0%
)</f>
        <v>0.08</v>
      </c>
      <c r="X2" s="5">
        <f>Table1[[#This Row],[Amount]]-(Table1[[#This Row],[Amount]]*Table1[[#This Row],[Discount_Percentage]])</f>
        <v>1420.8480000000002</v>
      </c>
      <c r="Y2" s="5">
        <f>IF(P2="DEL0",Table1[[#This Row],[Discount_Amount]],Table1[[#This Row],[Discount_Amount]]+Table1[[#This Row],[Delivery_Charge]])</f>
        <v>1480.8480000000002</v>
      </c>
      <c r="Z2" s="7" t="str">
        <f>_xlfn.CONCAT(Table1[[#This Row],[First_Name]],"  ",Table1[[#This Row],[Last_Name]])</f>
        <v>Anne  Oconnell</v>
      </c>
      <c r="AA2" s="5" t="str" cm="1">
        <f t="array" ref="AA2">_xlfn.IFS( (S2-K2)&gt;Q2,"Late", (S2-K2)=Q2,"InTime", (S2-K2)&lt;Q2,"BeforeTime" )</f>
        <v>BeforeTime</v>
      </c>
      <c r="AB2" s="3">
        <f>MONTH(Table1[[#This Row],[Order_Date]])</f>
        <v>3</v>
      </c>
    </row>
    <row r="3" spans="1:28" x14ac:dyDescent="0.3">
      <c r="A3" s="3" t="s">
        <v>38</v>
      </c>
      <c r="B3" s="3" t="s">
        <v>39</v>
      </c>
      <c r="C3" s="3" t="s">
        <v>40</v>
      </c>
      <c r="D3" s="3" t="str">
        <f>_xlfn.CONCAT(Table1[[#This Row],[First_Name]],Table1[[#This Row],[Last_Name]])</f>
        <v>AnthonyThomas</v>
      </c>
      <c r="E3" s="3">
        <v>53</v>
      </c>
      <c r="F3" s="3" t="s">
        <v>41</v>
      </c>
      <c r="G3" s="3" t="s">
        <v>42</v>
      </c>
      <c r="H3" s="3" t="s">
        <v>43</v>
      </c>
      <c r="I3" s="3" t="s">
        <v>44</v>
      </c>
      <c r="J3" s="3" t="s">
        <v>45</v>
      </c>
      <c r="K3" s="4">
        <v>45378</v>
      </c>
      <c r="L3" s="3" t="s">
        <v>46</v>
      </c>
      <c r="M3" s="3" t="s">
        <v>47</v>
      </c>
      <c r="N3" s="3">
        <v>166.28</v>
      </c>
      <c r="O3" s="3">
        <v>4</v>
      </c>
      <c r="P3" s="3" t="s">
        <v>36</v>
      </c>
      <c r="Q3" s="3">
        <v>7</v>
      </c>
      <c r="R3" s="3">
        <v>66</v>
      </c>
      <c r="S3" s="4">
        <v>45381</v>
      </c>
      <c r="T3" s="3" t="s">
        <v>48</v>
      </c>
      <c r="U3" s="5">
        <f>Table1[[#This Row],[Delivery_Date]]-Table1[[#This Row],[Order_Date]]</f>
        <v>3</v>
      </c>
      <c r="V3" s="5">
        <f>Table1[[#This Row],[Price]]*Table1[[#This Row],[Quantity]]</f>
        <v>665.12</v>
      </c>
      <c r="W3" s="6" cm="1">
        <f t="array" ref="W3">_xlfn.IFS(
P3="FLAT8",8%,
P3="FLAT10",10%,
P3="FLAT15",15%,P3="FLAT20",20%,P3="DEL0",0%,
TRUE,0%
)</f>
        <v>0.08</v>
      </c>
      <c r="X3" s="5">
        <f>Table1[[#This Row],[Amount]]-(Table1[[#This Row],[Amount]]*Table1[[#This Row],[Discount_Percentage]])</f>
        <v>611.91039999999998</v>
      </c>
      <c r="Y3" s="5">
        <f>IF(P3="DEL0",Table1[[#This Row],[Discount_Amount]],Table1[[#This Row],[Discount_Amount]]+Table1[[#This Row],[Delivery_Charge]])</f>
        <v>677.91039999999998</v>
      </c>
      <c r="Z3" s="7" t="str">
        <f>_xlfn.CONCAT(Table1[[#This Row],[First_Name]],"  ",Table1[[#This Row],[Last_Name]])</f>
        <v>Anthony  Thomas</v>
      </c>
      <c r="AA3" s="5" t="str" cm="1">
        <f t="array" ref="AA3">_xlfn.IFS( (S3-K3)&gt;Q3,"Late", (S3-K3)=Q3,"InTime", (S3-K3)&lt;Q3,"BeforeTime" )</f>
        <v>BeforeTime</v>
      </c>
      <c r="AB3" s="3">
        <f>MONTH(Table1[[#This Row],[Order_Date]])</f>
        <v>3</v>
      </c>
    </row>
    <row r="4" spans="1:28" x14ac:dyDescent="0.3">
      <c r="A4" s="3" t="s">
        <v>49</v>
      </c>
      <c r="B4" s="3" t="s">
        <v>50</v>
      </c>
      <c r="C4" s="3" t="s">
        <v>51</v>
      </c>
      <c r="D4" s="3" t="str">
        <f>_xlfn.CONCAT(Table1[[#This Row],[First_Name]],Table1[[#This Row],[Last_Name]])</f>
        <v>KarlGallagher</v>
      </c>
      <c r="E4" s="3">
        <v>60</v>
      </c>
      <c r="F4" s="3" t="s">
        <v>52</v>
      </c>
      <c r="G4" s="3" t="s">
        <v>30</v>
      </c>
      <c r="H4" s="3" t="s">
        <v>53</v>
      </c>
      <c r="I4" s="3" t="s">
        <v>54</v>
      </c>
      <c r="J4" s="3" t="s">
        <v>55</v>
      </c>
      <c r="K4" s="4">
        <v>45342</v>
      </c>
      <c r="L4" s="3" t="s">
        <v>56</v>
      </c>
      <c r="M4" s="3" t="s">
        <v>57</v>
      </c>
      <c r="N4" s="3">
        <v>202.54</v>
      </c>
      <c r="O4" s="3">
        <v>1</v>
      </c>
      <c r="P4" s="3" t="s">
        <v>58</v>
      </c>
      <c r="Q4" s="3">
        <v>3</v>
      </c>
      <c r="R4" s="3">
        <v>47</v>
      </c>
      <c r="S4" s="4">
        <v>45344</v>
      </c>
      <c r="T4" s="3" t="s">
        <v>59</v>
      </c>
      <c r="U4" s="5">
        <f>Table1[[#This Row],[Delivery_Date]]-Table1[[#This Row],[Order_Date]]</f>
        <v>2</v>
      </c>
      <c r="V4" s="5">
        <f>Table1[[#This Row],[Price]]*Table1[[#This Row],[Quantity]]</f>
        <v>202.54</v>
      </c>
      <c r="W4" s="6" cm="1">
        <f t="array" ref="W4">_xlfn.IFS(
P4="FLAT8",8%,
P4="FLAT10",10%,
P4="FLAT15",15%,P4="FLAT20",20%,P4="DEL0",0%,
TRUE,0%
)</f>
        <v>0.15</v>
      </c>
      <c r="X4" s="5">
        <f>Table1[[#This Row],[Amount]]-(Table1[[#This Row],[Amount]]*Table1[[#This Row],[Discount_Percentage]])</f>
        <v>172.15899999999999</v>
      </c>
      <c r="Y4" s="5">
        <f>IF(P4="DEL0",Table1[[#This Row],[Discount_Amount]],Table1[[#This Row],[Discount_Amount]]+Table1[[#This Row],[Delivery_Charge]])</f>
        <v>219.15899999999999</v>
      </c>
      <c r="Z4" s="7" t="str">
        <f>_xlfn.CONCAT(Table1[[#This Row],[First_Name]],"  ",Table1[[#This Row],[Last_Name]])</f>
        <v>Karl  Gallagher</v>
      </c>
      <c r="AA4" s="5" t="str" cm="1">
        <f t="array" ref="AA4">_xlfn.IFS( (S4-K4)&gt;Q4,"Late", (S4-K4)=Q4,"InTime", (S4-K4)&lt;Q4,"BeforeTime" )</f>
        <v>BeforeTime</v>
      </c>
      <c r="AB4" s="3">
        <f>MONTH(Table1[[#This Row],[Order_Date]])</f>
        <v>2</v>
      </c>
    </row>
    <row r="5" spans="1:28" x14ac:dyDescent="0.3">
      <c r="A5" s="3" t="s">
        <v>49</v>
      </c>
      <c r="B5" s="3" t="s">
        <v>50</v>
      </c>
      <c r="C5" s="3" t="s">
        <v>51</v>
      </c>
      <c r="D5" s="3" t="str">
        <f>_xlfn.CONCAT(Table1[[#This Row],[First_Name]],Table1[[#This Row],[Last_Name]])</f>
        <v>KarlGallagher</v>
      </c>
      <c r="E5" s="3">
        <v>60</v>
      </c>
      <c r="F5" s="3" t="s">
        <v>52</v>
      </c>
      <c r="G5" s="3" t="s">
        <v>30</v>
      </c>
      <c r="H5" s="3" t="s">
        <v>53</v>
      </c>
      <c r="I5" s="3" t="s">
        <v>54</v>
      </c>
      <c r="J5" s="3" t="s">
        <v>60</v>
      </c>
      <c r="K5" s="4">
        <v>45426</v>
      </c>
      <c r="L5" s="3" t="s">
        <v>61</v>
      </c>
      <c r="M5" s="3" t="s">
        <v>62</v>
      </c>
      <c r="N5" s="3">
        <v>405</v>
      </c>
      <c r="O5" s="3">
        <v>5</v>
      </c>
      <c r="P5" s="3" t="s">
        <v>63</v>
      </c>
      <c r="Q5" s="3">
        <v>6</v>
      </c>
      <c r="R5" s="3">
        <v>47</v>
      </c>
      <c r="S5" s="4">
        <v>45430</v>
      </c>
      <c r="T5" s="3" t="s">
        <v>64</v>
      </c>
      <c r="U5" s="5">
        <f>Table1[[#This Row],[Delivery_Date]]-Table1[[#This Row],[Order_Date]]</f>
        <v>4</v>
      </c>
      <c r="V5" s="5">
        <f>Table1[[#This Row],[Price]]*Table1[[#This Row],[Quantity]]</f>
        <v>2025</v>
      </c>
      <c r="W5" s="6" cm="1">
        <f t="array" ref="W5">_xlfn.IFS(
P5="FLAT8",8%,
P5="FLAT10",10%,
P5="FLAT15",15%,P5="FLAT20",20%,P5="DEL0",0%,
TRUE,0%
)</f>
        <v>0</v>
      </c>
      <c r="X5" s="5">
        <f>Table1[[#This Row],[Amount]]-(Table1[[#This Row],[Amount]]*Table1[[#This Row],[Discount_Percentage]])</f>
        <v>2025</v>
      </c>
      <c r="Y5" s="5">
        <f>IF(P5="DEL0",Table1[[#This Row],[Discount_Amount]],Table1[[#This Row],[Discount_Amount]]+Table1[[#This Row],[Delivery_Charge]])</f>
        <v>2025</v>
      </c>
      <c r="Z5" s="7" t="str">
        <f>_xlfn.CONCAT(Table1[[#This Row],[First_Name]],"  ",Table1[[#This Row],[Last_Name]])</f>
        <v>Karl  Gallagher</v>
      </c>
      <c r="AA5" s="5" t="str" cm="1">
        <f t="array" ref="AA5">_xlfn.IFS( (S5-K5)&gt;Q5,"Late", (S5-K5)=Q5,"InTime", (S5-K5)&lt;Q5,"BeforeTime" )</f>
        <v>BeforeTime</v>
      </c>
      <c r="AB5" s="3">
        <f>MONTH(Table1[[#This Row],[Order_Date]])</f>
        <v>5</v>
      </c>
    </row>
    <row r="6" spans="1:28" x14ac:dyDescent="0.3">
      <c r="A6" s="3" t="s">
        <v>65</v>
      </c>
      <c r="B6" s="3" t="s">
        <v>66</v>
      </c>
      <c r="C6" s="3" t="s">
        <v>67</v>
      </c>
      <c r="D6" s="3" t="str">
        <f>_xlfn.CONCAT(Table1[[#This Row],[First_Name]],Table1[[#This Row],[Last_Name]])</f>
        <v>AngelaHorne</v>
      </c>
      <c r="E6" s="3">
        <v>49</v>
      </c>
      <c r="F6" s="3" t="s">
        <v>52</v>
      </c>
      <c r="G6" s="3" t="s">
        <v>30</v>
      </c>
      <c r="H6" s="3" t="s">
        <v>68</v>
      </c>
      <c r="I6" s="3" t="s">
        <v>69</v>
      </c>
      <c r="J6" s="3" t="s">
        <v>70</v>
      </c>
      <c r="K6" s="4">
        <v>45391</v>
      </c>
      <c r="L6" s="3" t="s">
        <v>71</v>
      </c>
      <c r="M6" s="3" t="s">
        <v>47</v>
      </c>
      <c r="N6" s="3">
        <v>166.28</v>
      </c>
      <c r="O6" s="3">
        <v>1</v>
      </c>
      <c r="P6" s="3" t="s">
        <v>36</v>
      </c>
      <c r="Q6" s="3">
        <v>2</v>
      </c>
      <c r="R6" s="3">
        <v>54</v>
      </c>
      <c r="S6" s="4">
        <v>45395</v>
      </c>
      <c r="T6" s="3" t="s">
        <v>72</v>
      </c>
      <c r="U6" s="5">
        <f>Table1[[#This Row],[Delivery_Date]]-Table1[[#This Row],[Order_Date]]</f>
        <v>4</v>
      </c>
      <c r="V6" s="5">
        <f>Table1[[#This Row],[Price]]*Table1[[#This Row],[Quantity]]</f>
        <v>166.28</v>
      </c>
      <c r="W6" s="6" cm="1">
        <f t="array" ref="W6">_xlfn.IFS(
P6="FLAT8",8%,
P6="FLAT10",10%,
P6="FLAT15",15%,P6="FLAT20",20%,P6="DEL0",0%,
TRUE,0%
)</f>
        <v>0.08</v>
      </c>
      <c r="X6" s="5">
        <f>Table1[[#This Row],[Amount]]-(Table1[[#This Row],[Amount]]*Table1[[#This Row],[Discount_Percentage]])</f>
        <v>152.9776</v>
      </c>
      <c r="Y6" s="5">
        <f>IF(P6="DEL0",Table1[[#This Row],[Discount_Amount]],Table1[[#This Row],[Discount_Amount]]+Table1[[#This Row],[Delivery_Charge]])</f>
        <v>206.9776</v>
      </c>
      <c r="Z6" s="7" t="str">
        <f>_xlfn.CONCAT(Table1[[#This Row],[First_Name]],"  ",Table1[[#This Row],[Last_Name]])</f>
        <v>Angela  Horne</v>
      </c>
      <c r="AA6" s="5" t="str" cm="1">
        <f t="array" ref="AA6">_xlfn.IFS( (S6-K6)&gt;Q6,"Late", (S6-K6)=Q6,"InTime", (S6-K6)&lt;Q6,"BeforeTime" )</f>
        <v>Late</v>
      </c>
      <c r="AB6" s="3">
        <f>MONTH(Table1[[#This Row],[Order_Date]])</f>
        <v>4</v>
      </c>
    </row>
    <row r="7" spans="1:28" x14ac:dyDescent="0.3">
      <c r="A7" s="3" t="s">
        <v>73</v>
      </c>
      <c r="B7" s="3" t="s">
        <v>74</v>
      </c>
      <c r="C7" s="3" t="s">
        <v>75</v>
      </c>
      <c r="D7" s="3" t="str">
        <f>_xlfn.CONCAT(Table1[[#This Row],[First_Name]],Table1[[#This Row],[Last_Name]])</f>
        <v>ChristineWest</v>
      </c>
      <c r="E7" s="3">
        <v>53</v>
      </c>
      <c r="F7" s="3" t="s">
        <v>52</v>
      </c>
      <c r="G7" s="3" t="s">
        <v>76</v>
      </c>
      <c r="H7" s="3" t="s">
        <v>77</v>
      </c>
      <c r="I7" s="3" t="s">
        <v>78</v>
      </c>
      <c r="J7" s="3" t="s">
        <v>79</v>
      </c>
      <c r="K7" s="4">
        <v>45543</v>
      </c>
      <c r="L7" s="3" t="s">
        <v>80</v>
      </c>
      <c r="M7" s="3" t="s">
        <v>81</v>
      </c>
      <c r="N7" s="3">
        <v>330.11</v>
      </c>
      <c r="O7" s="3">
        <v>4</v>
      </c>
      <c r="P7" s="3" t="s">
        <v>58</v>
      </c>
      <c r="Q7" s="3">
        <v>6</v>
      </c>
      <c r="R7" s="3">
        <v>39</v>
      </c>
      <c r="S7" s="4">
        <v>45547</v>
      </c>
      <c r="T7" s="3" t="s">
        <v>82</v>
      </c>
      <c r="U7" s="5">
        <f>Table1[[#This Row],[Delivery_Date]]-Table1[[#This Row],[Order_Date]]</f>
        <v>4</v>
      </c>
      <c r="V7" s="5">
        <f>Table1[[#This Row],[Price]]*Table1[[#This Row],[Quantity]]</f>
        <v>1320.44</v>
      </c>
      <c r="W7" s="6" cm="1">
        <f t="array" ref="W7">_xlfn.IFS(
P7="FLAT8",8%,
P7="FLAT10",10%,
P7="FLAT15",15%,P7="FLAT20",20%,P7="DEL0",0%,
TRUE,0%
)</f>
        <v>0.15</v>
      </c>
      <c r="X7" s="5">
        <f>Table1[[#This Row],[Amount]]-(Table1[[#This Row],[Amount]]*Table1[[#This Row],[Discount_Percentage]])</f>
        <v>1122.374</v>
      </c>
      <c r="Y7" s="5">
        <f>IF(P7="DEL0",Table1[[#This Row],[Discount_Amount]],Table1[[#This Row],[Discount_Amount]]+Table1[[#This Row],[Delivery_Charge]])</f>
        <v>1161.374</v>
      </c>
      <c r="Z7" s="7" t="str">
        <f>_xlfn.CONCAT(Table1[[#This Row],[First_Name]],"  ",Table1[[#This Row],[Last_Name]])</f>
        <v>Christine  West</v>
      </c>
      <c r="AA7" s="5" t="str" cm="1">
        <f t="array" ref="AA7">_xlfn.IFS( (S7-K7)&gt;Q7,"Late", (S7-K7)=Q7,"InTime", (S7-K7)&lt;Q7,"BeforeTime" )</f>
        <v>BeforeTime</v>
      </c>
      <c r="AB7" s="3">
        <f>MONTH(Table1[[#This Row],[Order_Date]])</f>
        <v>9</v>
      </c>
    </row>
    <row r="8" spans="1:28" x14ac:dyDescent="0.3">
      <c r="A8" s="3" t="s">
        <v>49</v>
      </c>
      <c r="B8" s="3" t="s">
        <v>50</v>
      </c>
      <c r="C8" s="3" t="s">
        <v>51</v>
      </c>
      <c r="D8" s="3" t="str">
        <f>_xlfn.CONCAT(Table1[[#This Row],[First_Name]],Table1[[#This Row],[Last_Name]])</f>
        <v>KarlGallagher</v>
      </c>
      <c r="E8" s="3">
        <v>60</v>
      </c>
      <c r="F8" s="3" t="s">
        <v>52</v>
      </c>
      <c r="G8" s="3" t="s">
        <v>30</v>
      </c>
      <c r="H8" s="3" t="s">
        <v>53</v>
      </c>
      <c r="I8" s="3" t="s">
        <v>54</v>
      </c>
      <c r="J8" s="3" t="s">
        <v>83</v>
      </c>
      <c r="K8" s="4">
        <v>45662</v>
      </c>
      <c r="L8" s="3" t="s">
        <v>84</v>
      </c>
      <c r="M8" s="3" t="s">
        <v>35</v>
      </c>
      <c r="N8" s="3">
        <v>308.88</v>
      </c>
      <c r="O8" s="3">
        <v>5</v>
      </c>
      <c r="P8" s="3" t="s">
        <v>85</v>
      </c>
      <c r="Q8" s="3">
        <v>5</v>
      </c>
      <c r="R8" s="3">
        <v>47</v>
      </c>
      <c r="S8" s="4">
        <v>45665</v>
      </c>
      <c r="T8" s="3" t="s">
        <v>86</v>
      </c>
      <c r="U8" s="5">
        <f>Table1[[#This Row],[Delivery_Date]]-Table1[[#This Row],[Order_Date]]</f>
        <v>3</v>
      </c>
      <c r="V8" s="5">
        <f>Table1[[#This Row],[Price]]*Table1[[#This Row],[Quantity]]</f>
        <v>1544.4</v>
      </c>
      <c r="W8" s="6" cm="1">
        <f t="array" ref="W8">_xlfn.IFS(
P8="FLAT8",8%,
P8="FLAT10",10%,
P8="FLAT15",15%,P8="FLAT20",20%,P8="DEL0",0%,
TRUE,0%
)</f>
        <v>0.2</v>
      </c>
      <c r="X8" s="5">
        <f>Table1[[#This Row],[Amount]]-(Table1[[#This Row],[Amount]]*Table1[[#This Row],[Discount_Percentage]])</f>
        <v>1235.52</v>
      </c>
      <c r="Y8" s="5">
        <f>IF(P8="DEL0",Table1[[#This Row],[Discount_Amount]],Table1[[#This Row],[Discount_Amount]]+Table1[[#This Row],[Delivery_Charge]])</f>
        <v>1282.52</v>
      </c>
      <c r="Z8" s="7" t="str">
        <f>_xlfn.CONCAT(Table1[[#This Row],[First_Name]],"  ",Table1[[#This Row],[Last_Name]])</f>
        <v>Karl  Gallagher</v>
      </c>
      <c r="AA8" s="5" t="str" cm="1">
        <f t="array" ref="AA8">_xlfn.IFS( (S8-K8)&gt;Q8,"Late", (S8-K8)=Q8,"InTime", (S8-K8)&lt;Q8,"BeforeTime" )</f>
        <v>BeforeTime</v>
      </c>
      <c r="AB8" s="3">
        <f>MONTH(Table1[[#This Row],[Order_Date]])</f>
        <v>1</v>
      </c>
    </row>
    <row r="9" spans="1:28" x14ac:dyDescent="0.3">
      <c r="A9" s="3" t="s">
        <v>87</v>
      </c>
      <c r="B9" s="3" t="s">
        <v>88</v>
      </c>
      <c r="C9" s="3" t="s">
        <v>89</v>
      </c>
      <c r="D9" s="3" t="str">
        <f>_xlfn.CONCAT(Table1[[#This Row],[First_Name]],Table1[[#This Row],[Last_Name]])</f>
        <v>DavidDelacruz</v>
      </c>
      <c r="E9" s="3">
        <v>26</v>
      </c>
      <c r="F9" s="3" t="s">
        <v>41</v>
      </c>
      <c r="G9" s="3" t="s">
        <v>90</v>
      </c>
      <c r="H9" s="3" t="s">
        <v>91</v>
      </c>
      <c r="I9" s="3" t="s">
        <v>92</v>
      </c>
      <c r="J9" s="3" t="s">
        <v>93</v>
      </c>
      <c r="K9" s="4">
        <v>45459</v>
      </c>
      <c r="L9" s="3" t="s">
        <v>94</v>
      </c>
      <c r="M9" s="3" t="s">
        <v>95</v>
      </c>
      <c r="N9" s="3">
        <v>363.64</v>
      </c>
      <c r="O9" s="3">
        <v>3</v>
      </c>
      <c r="P9" s="3" t="s">
        <v>96</v>
      </c>
      <c r="Q9" s="3">
        <v>2</v>
      </c>
      <c r="R9" s="3">
        <v>70</v>
      </c>
      <c r="S9" s="4">
        <v>45464</v>
      </c>
      <c r="T9" s="3" t="s">
        <v>97</v>
      </c>
      <c r="U9" s="5">
        <f>Table1[[#This Row],[Delivery_Date]]-Table1[[#This Row],[Order_Date]]</f>
        <v>5</v>
      </c>
      <c r="V9" s="5">
        <f>Table1[[#This Row],[Price]]*Table1[[#This Row],[Quantity]]</f>
        <v>1090.92</v>
      </c>
      <c r="W9" s="6" cm="1">
        <f t="array" ref="W9">_xlfn.IFS(
P9="FLAT8",8%,
P9="FLAT10",10%,
P9="FLAT15",15%,P9="FLAT20",20%,P9="DEL0",0%,
TRUE,0%
)</f>
        <v>0.1</v>
      </c>
      <c r="X9" s="5">
        <f>Table1[[#This Row],[Amount]]-(Table1[[#This Row],[Amount]]*Table1[[#This Row],[Discount_Percentage]])</f>
        <v>981.82800000000009</v>
      </c>
      <c r="Y9" s="5">
        <f>IF(P9="DEL0",Table1[[#This Row],[Discount_Amount]],Table1[[#This Row],[Discount_Amount]]+Table1[[#This Row],[Delivery_Charge]])</f>
        <v>1051.828</v>
      </c>
      <c r="Z9" s="7" t="str">
        <f>_xlfn.CONCAT(Table1[[#This Row],[First_Name]],"  ",Table1[[#This Row],[Last_Name]])</f>
        <v>David  Delacruz</v>
      </c>
      <c r="AA9" s="5" t="str" cm="1">
        <f t="array" ref="AA9">_xlfn.IFS( (S9-K9)&gt;Q9,"Late", (S9-K9)=Q9,"InTime", (S9-K9)&lt;Q9,"BeforeTime" )</f>
        <v>Late</v>
      </c>
      <c r="AB9" s="3">
        <f>MONTH(Table1[[#This Row],[Order_Date]])</f>
        <v>6</v>
      </c>
    </row>
    <row r="10" spans="1:28" x14ac:dyDescent="0.3">
      <c r="A10" s="3" t="s">
        <v>98</v>
      </c>
      <c r="B10" s="3" t="s">
        <v>99</v>
      </c>
      <c r="C10" s="3" t="s">
        <v>100</v>
      </c>
      <c r="D10" s="3" t="str">
        <f>_xlfn.CONCAT(Table1[[#This Row],[First_Name]],Table1[[#This Row],[Last_Name]])</f>
        <v>MarcusValenzuela</v>
      </c>
      <c r="E10" s="3">
        <v>39</v>
      </c>
      <c r="F10" s="3" t="s">
        <v>29</v>
      </c>
      <c r="G10" s="3" t="s">
        <v>30</v>
      </c>
      <c r="H10" s="3" t="s">
        <v>101</v>
      </c>
      <c r="I10" s="3" t="s">
        <v>102</v>
      </c>
      <c r="J10" s="3" t="s">
        <v>103</v>
      </c>
      <c r="K10" s="4">
        <v>45040</v>
      </c>
      <c r="L10" s="3" t="s">
        <v>104</v>
      </c>
      <c r="M10" s="3" t="s">
        <v>105</v>
      </c>
      <c r="N10" s="3">
        <v>275.44</v>
      </c>
      <c r="O10" s="3">
        <v>1</v>
      </c>
      <c r="P10" s="3" t="s">
        <v>36</v>
      </c>
      <c r="Q10" s="3">
        <v>7</v>
      </c>
      <c r="R10" s="3">
        <v>63</v>
      </c>
      <c r="S10" s="4">
        <v>45042</v>
      </c>
      <c r="T10" s="3" t="s">
        <v>106</v>
      </c>
      <c r="U10" s="5">
        <f>Table1[[#This Row],[Delivery_Date]]-Table1[[#This Row],[Order_Date]]</f>
        <v>2</v>
      </c>
      <c r="V10" s="5">
        <f>Table1[[#This Row],[Price]]*Table1[[#This Row],[Quantity]]</f>
        <v>275.44</v>
      </c>
      <c r="W10" s="6" cm="1">
        <f t="array" ref="W10">_xlfn.IFS(
P10="FLAT8",8%,
P10="FLAT10",10%,
P10="FLAT15",15%,P10="FLAT20",20%,P10="DEL0",0%,
TRUE,0%
)</f>
        <v>0.08</v>
      </c>
      <c r="X10" s="5">
        <f>Table1[[#This Row],[Amount]]-(Table1[[#This Row],[Amount]]*Table1[[#This Row],[Discount_Percentage]])</f>
        <v>253.40479999999999</v>
      </c>
      <c r="Y10" s="5">
        <f>IF(P10="DEL0",Table1[[#This Row],[Discount_Amount]],Table1[[#This Row],[Discount_Amount]]+Table1[[#This Row],[Delivery_Charge]])</f>
        <v>316.40480000000002</v>
      </c>
      <c r="Z10" s="7" t="str">
        <f>_xlfn.CONCAT(Table1[[#This Row],[First_Name]],"  ",Table1[[#This Row],[Last_Name]])</f>
        <v>Marcus  Valenzuela</v>
      </c>
      <c r="AA10" s="5" t="str" cm="1">
        <f t="array" ref="AA10">_xlfn.IFS( (S10-K10)&gt;Q10,"Late", (S10-K10)=Q10,"InTime", (S10-K10)&lt;Q10,"BeforeTime" )</f>
        <v>BeforeTime</v>
      </c>
      <c r="AB10" s="3">
        <f>MONTH(Table1[[#This Row],[Order_Date]])</f>
        <v>4</v>
      </c>
    </row>
    <row r="11" spans="1:28" x14ac:dyDescent="0.3">
      <c r="A11" s="3" t="s">
        <v>107</v>
      </c>
      <c r="B11" s="3" t="s">
        <v>108</v>
      </c>
      <c r="C11" s="3" t="s">
        <v>109</v>
      </c>
      <c r="D11" s="3" t="str">
        <f>_xlfn.CONCAT(Table1[[#This Row],[First_Name]],Table1[[#This Row],[Last_Name]])</f>
        <v>DebraRodriguez</v>
      </c>
      <c r="E11" s="3">
        <v>48</v>
      </c>
      <c r="F11" s="3" t="s">
        <v>52</v>
      </c>
      <c r="G11" s="3" t="s">
        <v>42</v>
      </c>
      <c r="H11" s="3" t="s">
        <v>110</v>
      </c>
      <c r="I11" s="3" t="s">
        <v>111</v>
      </c>
      <c r="J11" s="3" t="s">
        <v>112</v>
      </c>
      <c r="K11" s="4">
        <v>45282</v>
      </c>
      <c r="L11" s="3" t="s">
        <v>113</v>
      </c>
      <c r="M11" s="3" t="s">
        <v>114</v>
      </c>
      <c r="N11" s="3">
        <v>48.45</v>
      </c>
      <c r="O11" s="3">
        <v>1</v>
      </c>
      <c r="P11" s="3" t="s">
        <v>58</v>
      </c>
      <c r="Q11" s="3">
        <v>7</v>
      </c>
      <c r="R11" s="3">
        <v>59</v>
      </c>
      <c r="S11" s="4">
        <v>45287</v>
      </c>
      <c r="T11" s="3" t="s">
        <v>115</v>
      </c>
      <c r="U11" s="5">
        <f>Table1[[#This Row],[Delivery_Date]]-Table1[[#This Row],[Order_Date]]</f>
        <v>5</v>
      </c>
      <c r="V11" s="5">
        <f>Table1[[#This Row],[Price]]*Table1[[#This Row],[Quantity]]</f>
        <v>48.45</v>
      </c>
      <c r="W11" s="6" cm="1">
        <f t="array" ref="W11">_xlfn.IFS(
P11="FLAT8",8%,
P11="FLAT10",10%,
P11="FLAT15",15%,P11="FLAT20",20%,P11="DEL0",0%,
TRUE,0%
)</f>
        <v>0.15</v>
      </c>
      <c r="X11" s="5">
        <f>Table1[[#This Row],[Amount]]-(Table1[[#This Row],[Amount]]*Table1[[#This Row],[Discount_Percentage]])</f>
        <v>41.182500000000005</v>
      </c>
      <c r="Y11" s="5">
        <f>IF(P11="DEL0",Table1[[#This Row],[Discount_Amount]],Table1[[#This Row],[Discount_Amount]]+Table1[[#This Row],[Delivery_Charge]])</f>
        <v>100.1825</v>
      </c>
      <c r="Z11" s="7" t="str">
        <f>_xlfn.CONCAT(Table1[[#This Row],[First_Name]],"  ",Table1[[#This Row],[Last_Name]])</f>
        <v>Debra  Rodriguez</v>
      </c>
      <c r="AA11" s="5" t="str" cm="1">
        <f t="array" ref="AA11">_xlfn.IFS( (S11-K11)&gt;Q11,"Late", (S11-K11)=Q11,"InTime", (S11-K11)&lt;Q11,"BeforeTime" )</f>
        <v>BeforeTime</v>
      </c>
      <c r="AB11" s="3">
        <f>MONTH(Table1[[#This Row],[Order_Date]])</f>
        <v>12</v>
      </c>
    </row>
    <row r="12" spans="1:28" x14ac:dyDescent="0.3">
      <c r="A12" s="3" t="s">
        <v>49</v>
      </c>
      <c r="B12" s="3" t="s">
        <v>50</v>
      </c>
      <c r="C12" s="3" t="s">
        <v>51</v>
      </c>
      <c r="D12" s="3" t="str">
        <f>_xlfn.CONCAT(Table1[[#This Row],[First_Name]],Table1[[#This Row],[Last_Name]])</f>
        <v>KarlGallagher</v>
      </c>
      <c r="E12" s="3">
        <v>60</v>
      </c>
      <c r="F12" s="3" t="s">
        <v>52</v>
      </c>
      <c r="G12" s="3" t="s">
        <v>30</v>
      </c>
      <c r="H12" s="3" t="s">
        <v>53</v>
      </c>
      <c r="I12" s="3" t="s">
        <v>54</v>
      </c>
      <c r="J12" s="3" t="s">
        <v>116</v>
      </c>
      <c r="K12" s="4">
        <v>45588</v>
      </c>
      <c r="L12" s="3" t="s">
        <v>117</v>
      </c>
      <c r="M12" s="3" t="s">
        <v>95</v>
      </c>
      <c r="N12" s="3">
        <v>363.64</v>
      </c>
      <c r="O12" s="3">
        <v>4</v>
      </c>
      <c r="P12" s="3" t="s">
        <v>63</v>
      </c>
      <c r="Q12" s="3">
        <v>2</v>
      </c>
      <c r="R12" s="3">
        <v>35</v>
      </c>
      <c r="S12" s="4">
        <v>45590</v>
      </c>
      <c r="T12" s="3" t="s">
        <v>118</v>
      </c>
      <c r="U12" s="5">
        <f>Table1[[#This Row],[Delivery_Date]]-Table1[[#This Row],[Order_Date]]</f>
        <v>2</v>
      </c>
      <c r="V12" s="5">
        <f>Table1[[#This Row],[Price]]*Table1[[#This Row],[Quantity]]</f>
        <v>1454.56</v>
      </c>
      <c r="W12" s="6" cm="1">
        <f t="array" ref="W12">_xlfn.IFS(
P12="FLAT8",8%,
P12="FLAT10",10%,
P12="FLAT15",15%,P12="FLAT20",20%,P12="DEL0",0%,
TRUE,0%
)</f>
        <v>0</v>
      </c>
      <c r="X12" s="5">
        <f>Table1[[#This Row],[Amount]]-(Table1[[#This Row],[Amount]]*Table1[[#This Row],[Discount_Percentage]])</f>
        <v>1454.56</v>
      </c>
      <c r="Y12" s="5">
        <f>IF(P12="DEL0",Table1[[#This Row],[Discount_Amount]],Table1[[#This Row],[Discount_Amount]]+Table1[[#This Row],[Delivery_Charge]])</f>
        <v>1454.56</v>
      </c>
      <c r="Z12" s="7" t="str">
        <f>_xlfn.CONCAT(Table1[[#This Row],[First_Name]],"  ",Table1[[#This Row],[Last_Name]])</f>
        <v>Karl  Gallagher</v>
      </c>
      <c r="AA12" s="5" t="str" cm="1">
        <f t="array" ref="AA12">_xlfn.IFS( (S12-K12)&gt;Q12,"Late", (S12-K12)=Q12,"InTime", (S12-K12)&lt;Q12,"BeforeTime" )</f>
        <v>InTime</v>
      </c>
      <c r="AB12" s="3">
        <f>MONTH(Table1[[#This Row],[Order_Date]])</f>
        <v>10</v>
      </c>
    </row>
    <row r="13" spans="1:28" x14ac:dyDescent="0.3">
      <c r="A13" s="3" t="s">
        <v>119</v>
      </c>
      <c r="B13" s="3" t="s">
        <v>120</v>
      </c>
      <c r="C13" s="3" t="s">
        <v>121</v>
      </c>
      <c r="D13" s="3" t="str">
        <f>_xlfn.CONCAT(Table1[[#This Row],[First_Name]],Table1[[#This Row],[Last_Name]])</f>
        <v>BobbyForbes</v>
      </c>
      <c r="E13" s="3">
        <v>20</v>
      </c>
      <c r="F13" s="3" t="s">
        <v>29</v>
      </c>
      <c r="G13" s="3" t="s">
        <v>90</v>
      </c>
      <c r="H13" s="3" t="s">
        <v>122</v>
      </c>
      <c r="I13" s="3" t="s">
        <v>123</v>
      </c>
      <c r="J13" s="3" t="s">
        <v>124</v>
      </c>
      <c r="K13" s="4">
        <v>45498</v>
      </c>
      <c r="L13" s="3" t="s">
        <v>125</v>
      </c>
      <c r="M13" s="3" t="s">
        <v>126</v>
      </c>
      <c r="N13" s="3">
        <v>257.06</v>
      </c>
      <c r="O13" s="3">
        <v>3</v>
      </c>
      <c r="P13" s="3" t="s">
        <v>63</v>
      </c>
      <c r="Q13" s="3">
        <v>7</v>
      </c>
      <c r="R13" s="3">
        <v>62</v>
      </c>
      <c r="S13" s="4">
        <v>45499</v>
      </c>
      <c r="T13" s="3" t="s">
        <v>127</v>
      </c>
      <c r="U13" s="5">
        <f>Table1[[#This Row],[Delivery_Date]]-Table1[[#This Row],[Order_Date]]</f>
        <v>1</v>
      </c>
      <c r="V13" s="5">
        <f>Table1[[#This Row],[Price]]*Table1[[#This Row],[Quantity]]</f>
        <v>771.18000000000006</v>
      </c>
      <c r="W13" s="6" cm="1">
        <f t="array" ref="W13">_xlfn.IFS(
P13="FLAT8",8%,
P13="FLAT10",10%,
P13="FLAT15",15%,P13="FLAT20",20%,P13="DEL0",0%,
TRUE,0%
)</f>
        <v>0</v>
      </c>
      <c r="X13" s="5">
        <f>Table1[[#This Row],[Amount]]-(Table1[[#This Row],[Amount]]*Table1[[#This Row],[Discount_Percentage]])</f>
        <v>771.18000000000006</v>
      </c>
      <c r="Y13" s="5">
        <f>IF(P13="DEL0",Table1[[#This Row],[Discount_Amount]],Table1[[#This Row],[Discount_Amount]]+Table1[[#This Row],[Delivery_Charge]])</f>
        <v>771.18000000000006</v>
      </c>
      <c r="Z13" s="7" t="str">
        <f>_xlfn.CONCAT(Table1[[#This Row],[First_Name]],"  ",Table1[[#This Row],[Last_Name]])</f>
        <v>Bobby  Forbes</v>
      </c>
      <c r="AA13" s="5" t="str" cm="1">
        <f t="array" ref="AA13">_xlfn.IFS( (S13-K13)&gt;Q13,"Late", (S13-K13)=Q13,"InTime", (S13-K13)&lt;Q13,"BeforeTime" )</f>
        <v>BeforeTime</v>
      </c>
      <c r="AB13" s="3">
        <f>MONTH(Table1[[#This Row],[Order_Date]])</f>
        <v>7</v>
      </c>
    </row>
    <row r="14" spans="1:28" x14ac:dyDescent="0.3">
      <c r="A14" s="3" t="s">
        <v>128</v>
      </c>
      <c r="B14" s="3" t="s">
        <v>129</v>
      </c>
      <c r="C14" s="3" t="s">
        <v>130</v>
      </c>
      <c r="D14" s="3" t="str">
        <f>_xlfn.CONCAT(Table1[[#This Row],[First_Name]],Table1[[#This Row],[Last_Name]])</f>
        <v>JosephStewart</v>
      </c>
      <c r="E14" s="3">
        <v>30</v>
      </c>
      <c r="F14" s="3" t="s">
        <v>41</v>
      </c>
      <c r="G14" s="3" t="s">
        <v>42</v>
      </c>
      <c r="H14" s="3" t="s">
        <v>131</v>
      </c>
      <c r="I14" s="3" t="s">
        <v>132</v>
      </c>
      <c r="J14" s="3" t="s">
        <v>133</v>
      </c>
      <c r="K14" s="4">
        <v>44997</v>
      </c>
      <c r="L14" s="3" t="s">
        <v>134</v>
      </c>
      <c r="M14" s="3" t="s">
        <v>135</v>
      </c>
      <c r="N14" s="3">
        <v>175.93</v>
      </c>
      <c r="O14" s="3">
        <v>4</v>
      </c>
      <c r="P14" s="3" t="s">
        <v>36</v>
      </c>
      <c r="Q14" s="3">
        <v>3</v>
      </c>
      <c r="R14" s="3">
        <v>65</v>
      </c>
      <c r="S14" s="4">
        <v>44999</v>
      </c>
      <c r="T14" s="3" t="s">
        <v>136</v>
      </c>
      <c r="U14" s="5">
        <f>Table1[[#This Row],[Delivery_Date]]-Table1[[#This Row],[Order_Date]]</f>
        <v>2</v>
      </c>
      <c r="V14" s="5">
        <f>Table1[[#This Row],[Price]]*Table1[[#This Row],[Quantity]]</f>
        <v>703.72</v>
      </c>
      <c r="W14" s="6" cm="1">
        <f t="array" ref="W14">_xlfn.IFS(
P14="FLAT8",8%,
P14="FLAT10",10%,
P14="FLAT15",15%,P14="FLAT20",20%,P14="DEL0",0%,
TRUE,0%
)</f>
        <v>0.08</v>
      </c>
      <c r="X14" s="5">
        <f>Table1[[#This Row],[Amount]]-(Table1[[#This Row],[Amount]]*Table1[[#This Row],[Discount_Percentage]])</f>
        <v>647.42240000000004</v>
      </c>
      <c r="Y14" s="5">
        <f>IF(P14="DEL0",Table1[[#This Row],[Discount_Amount]],Table1[[#This Row],[Discount_Amount]]+Table1[[#This Row],[Delivery_Charge]])</f>
        <v>712.42240000000004</v>
      </c>
      <c r="Z14" s="7" t="str">
        <f>_xlfn.CONCAT(Table1[[#This Row],[First_Name]],"  ",Table1[[#This Row],[Last_Name]])</f>
        <v>Joseph  Stewart</v>
      </c>
      <c r="AA14" s="5" t="str" cm="1">
        <f t="array" ref="AA14">_xlfn.IFS( (S14-K14)&gt;Q14,"Late", (S14-K14)=Q14,"InTime", (S14-K14)&lt;Q14,"BeforeTime" )</f>
        <v>BeforeTime</v>
      </c>
      <c r="AB14" s="3">
        <f>MONTH(Table1[[#This Row],[Order_Date]])</f>
        <v>3</v>
      </c>
    </row>
    <row r="15" spans="1:28" x14ac:dyDescent="0.3">
      <c r="A15" s="3" t="s">
        <v>137</v>
      </c>
      <c r="B15" s="3" t="s">
        <v>138</v>
      </c>
      <c r="C15" s="3" t="s">
        <v>139</v>
      </c>
      <c r="D15" s="3" t="str">
        <f>_xlfn.CONCAT(Table1[[#This Row],[First_Name]],Table1[[#This Row],[Last_Name]])</f>
        <v>KaraBrennan</v>
      </c>
      <c r="E15" s="3">
        <v>25</v>
      </c>
      <c r="F15" s="3" t="s">
        <v>52</v>
      </c>
      <c r="G15" s="3" t="s">
        <v>140</v>
      </c>
      <c r="H15" s="3" t="s">
        <v>141</v>
      </c>
      <c r="I15" s="3" t="s">
        <v>142</v>
      </c>
      <c r="J15" s="3" t="s">
        <v>143</v>
      </c>
      <c r="K15" s="4">
        <v>45267</v>
      </c>
      <c r="L15" s="3" t="s">
        <v>144</v>
      </c>
      <c r="M15" s="3" t="s">
        <v>145</v>
      </c>
      <c r="N15" s="3">
        <v>190.1</v>
      </c>
      <c r="O15" s="3">
        <v>1</v>
      </c>
      <c r="P15" s="3" t="s">
        <v>63</v>
      </c>
      <c r="Q15" s="3">
        <v>1</v>
      </c>
      <c r="R15" s="3">
        <v>70</v>
      </c>
      <c r="S15" s="4">
        <v>45270</v>
      </c>
      <c r="T15" s="3" t="s">
        <v>146</v>
      </c>
      <c r="U15" s="5">
        <f>Table1[[#This Row],[Delivery_Date]]-Table1[[#This Row],[Order_Date]]</f>
        <v>3</v>
      </c>
      <c r="V15" s="5">
        <f>Table1[[#This Row],[Price]]*Table1[[#This Row],[Quantity]]</f>
        <v>190.1</v>
      </c>
      <c r="W15" s="6" cm="1">
        <f t="array" ref="W15">_xlfn.IFS(
P15="FLAT8",8%,
P15="FLAT10",10%,
P15="FLAT15",15%,P15="FLAT20",20%,P15="DEL0",0%,
TRUE,0%
)</f>
        <v>0</v>
      </c>
      <c r="X15" s="5">
        <f>Table1[[#This Row],[Amount]]-(Table1[[#This Row],[Amount]]*Table1[[#This Row],[Discount_Percentage]])</f>
        <v>190.1</v>
      </c>
      <c r="Y15" s="5">
        <f>IF(P15="DEL0",Table1[[#This Row],[Discount_Amount]],Table1[[#This Row],[Discount_Amount]]+Table1[[#This Row],[Delivery_Charge]])</f>
        <v>190.1</v>
      </c>
      <c r="Z15" s="7" t="str">
        <f>_xlfn.CONCAT(Table1[[#This Row],[First_Name]],"  ",Table1[[#This Row],[Last_Name]])</f>
        <v>Kara  Brennan</v>
      </c>
      <c r="AA15" s="5" t="str" cm="1">
        <f t="array" ref="AA15">_xlfn.IFS( (S15-K15)&gt;Q15,"Late", (S15-K15)=Q15,"InTime", (S15-K15)&lt;Q15,"BeforeTime" )</f>
        <v>Late</v>
      </c>
      <c r="AB15" s="3">
        <f>MONTH(Table1[[#This Row],[Order_Date]])</f>
        <v>12</v>
      </c>
    </row>
    <row r="16" spans="1:28" x14ac:dyDescent="0.3">
      <c r="A16" s="3" t="s">
        <v>147</v>
      </c>
      <c r="B16" s="3" t="s">
        <v>148</v>
      </c>
      <c r="C16" s="3" t="s">
        <v>149</v>
      </c>
      <c r="D16" s="3" t="str">
        <f>_xlfn.CONCAT(Table1[[#This Row],[First_Name]],Table1[[#This Row],[Last_Name]])</f>
        <v>AmyReid</v>
      </c>
      <c r="E16" s="3">
        <v>44</v>
      </c>
      <c r="F16" s="3" t="s">
        <v>41</v>
      </c>
      <c r="G16" s="3" t="s">
        <v>90</v>
      </c>
      <c r="H16" s="3" t="s">
        <v>150</v>
      </c>
      <c r="I16" s="3" t="s">
        <v>151</v>
      </c>
      <c r="J16" s="3" t="s">
        <v>152</v>
      </c>
      <c r="K16" s="4">
        <v>45377</v>
      </c>
      <c r="L16" s="3" t="s">
        <v>153</v>
      </c>
      <c r="M16" s="3" t="s">
        <v>154</v>
      </c>
      <c r="N16" s="3">
        <v>220.27</v>
      </c>
      <c r="O16" s="3">
        <v>2</v>
      </c>
      <c r="P16" s="3" t="s">
        <v>63</v>
      </c>
      <c r="Q16" s="3">
        <v>3</v>
      </c>
      <c r="R16" s="3">
        <v>39</v>
      </c>
      <c r="S16" s="4">
        <v>45382</v>
      </c>
      <c r="T16" s="3" t="s">
        <v>155</v>
      </c>
      <c r="U16" s="5">
        <f>Table1[[#This Row],[Delivery_Date]]-Table1[[#This Row],[Order_Date]]</f>
        <v>5</v>
      </c>
      <c r="V16" s="5">
        <f>Table1[[#This Row],[Price]]*Table1[[#This Row],[Quantity]]</f>
        <v>440.54</v>
      </c>
      <c r="W16" s="6" cm="1">
        <f t="array" ref="W16">_xlfn.IFS(
P16="FLAT8",8%,
P16="FLAT10",10%,
P16="FLAT15",15%,P16="FLAT20",20%,P16="DEL0",0%,
TRUE,0%
)</f>
        <v>0</v>
      </c>
      <c r="X16" s="5">
        <f>Table1[[#This Row],[Amount]]-(Table1[[#This Row],[Amount]]*Table1[[#This Row],[Discount_Percentage]])</f>
        <v>440.54</v>
      </c>
      <c r="Y16" s="5">
        <f>IF(P16="DEL0",Table1[[#This Row],[Discount_Amount]],Table1[[#This Row],[Discount_Amount]]+Table1[[#This Row],[Delivery_Charge]])</f>
        <v>440.54</v>
      </c>
      <c r="Z16" s="7" t="str">
        <f>_xlfn.CONCAT(Table1[[#This Row],[First_Name]],"  ",Table1[[#This Row],[Last_Name]])</f>
        <v>Amy  Reid</v>
      </c>
      <c r="AA16" s="5" t="str" cm="1">
        <f t="array" ref="AA16">_xlfn.IFS( (S16-K16)&gt;Q16,"Late", (S16-K16)=Q16,"InTime", (S16-K16)&lt;Q16,"BeforeTime" )</f>
        <v>Late</v>
      </c>
      <c r="AB16" s="3">
        <f>MONTH(Table1[[#This Row],[Order_Date]])</f>
        <v>3</v>
      </c>
    </row>
    <row r="17" spans="1:28" x14ac:dyDescent="0.3">
      <c r="A17" s="3" t="s">
        <v>156</v>
      </c>
      <c r="B17" s="3" t="s">
        <v>157</v>
      </c>
      <c r="C17" s="3" t="s">
        <v>158</v>
      </c>
      <c r="D17" s="3" t="str">
        <f>_xlfn.CONCAT(Table1[[#This Row],[First_Name]],Table1[[#This Row],[Last_Name]])</f>
        <v>JoshuaCampbell</v>
      </c>
      <c r="E17" s="3">
        <v>24</v>
      </c>
      <c r="F17" s="3" t="s">
        <v>29</v>
      </c>
      <c r="G17" s="3" t="s">
        <v>159</v>
      </c>
      <c r="H17" s="3" t="s">
        <v>160</v>
      </c>
      <c r="I17" s="3" t="s">
        <v>161</v>
      </c>
      <c r="J17" s="3" t="s">
        <v>162</v>
      </c>
      <c r="K17" s="4">
        <v>45079</v>
      </c>
      <c r="L17" s="3" t="s">
        <v>163</v>
      </c>
      <c r="M17" s="3" t="s">
        <v>81</v>
      </c>
      <c r="N17" s="3">
        <v>330.11</v>
      </c>
      <c r="O17" s="3">
        <v>4</v>
      </c>
      <c r="P17" s="3" t="s">
        <v>63</v>
      </c>
      <c r="Q17" s="3">
        <v>1</v>
      </c>
      <c r="R17" s="3">
        <v>58</v>
      </c>
      <c r="S17" s="4">
        <v>45080</v>
      </c>
      <c r="T17" s="3" t="s">
        <v>164</v>
      </c>
      <c r="U17" s="5">
        <f>Table1[[#This Row],[Delivery_Date]]-Table1[[#This Row],[Order_Date]]</f>
        <v>1</v>
      </c>
      <c r="V17" s="5">
        <f>Table1[[#This Row],[Price]]*Table1[[#This Row],[Quantity]]</f>
        <v>1320.44</v>
      </c>
      <c r="W17" s="6" cm="1">
        <f t="array" ref="W17">_xlfn.IFS(
P17="FLAT8",8%,
P17="FLAT10",10%,
P17="FLAT15",15%,P17="FLAT20",20%,P17="DEL0",0%,
TRUE,0%
)</f>
        <v>0</v>
      </c>
      <c r="X17" s="5">
        <f>Table1[[#This Row],[Amount]]-(Table1[[#This Row],[Amount]]*Table1[[#This Row],[Discount_Percentage]])</f>
        <v>1320.44</v>
      </c>
      <c r="Y17" s="5">
        <f>IF(P17="DEL0",Table1[[#This Row],[Discount_Amount]],Table1[[#This Row],[Discount_Amount]]+Table1[[#This Row],[Delivery_Charge]])</f>
        <v>1320.44</v>
      </c>
      <c r="Z17" s="7" t="str">
        <f>_xlfn.CONCAT(Table1[[#This Row],[First_Name]],"  ",Table1[[#This Row],[Last_Name]])</f>
        <v>Joshua  Campbell</v>
      </c>
      <c r="AA17" s="5" t="str" cm="1">
        <f t="array" ref="AA17">_xlfn.IFS( (S17-K17)&gt;Q17,"Late", (S17-K17)=Q17,"InTime", (S17-K17)&lt;Q17,"BeforeTime" )</f>
        <v>InTime</v>
      </c>
      <c r="AB17" s="3">
        <f>MONTH(Table1[[#This Row],[Order_Date]])</f>
        <v>6</v>
      </c>
    </row>
    <row r="18" spans="1:28" x14ac:dyDescent="0.3">
      <c r="A18" s="3" t="s">
        <v>165</v>
      </c>
      <c r="B18" s="3" t="s">
        <v>166</v>
      </c>
      <c r="C18" s="3" t="s">
        <v>167</v>
      </c>
      <c r="D18" s="3" t="str">
        <f>_xlfn.CONCAT(Table1[[#This Row],[First_Name]],Table1[[#This Row],[Last_Name]])</f>
        <v>ErinMiller</v>
      </c>
      <c r="E18" s="3">
        <v>46</v>
      </c>
      <c r="F18" s="3" t="s">
        <v>29</v>
      </c>
      <c r="G18" s="3" t="s">
        <v>168</v>
      </c>
      <c r="H18" s="3" t="s">
        <v>169</v>
      </c>
      <c r="I18" s="3" t="s">
        <v>170</v>
      </c>
      <c r="J18" s="3" t="s">
        <v>171</v>
      </c>
      <c r="K18" s="4">
        <v>44966</v>
      </c>
      <c r="L18" s="3" t="s">
        <v>172</v>
      </c>
      <c r="M18" s="3" t="s">
        <v>173</v>
      </c>
      <c r="N18" s="3">
        <v>272.51</v>
      </c>
      <c r="O18" s="3">
        <v>4</v>
      </c>
      <c r="P18" s="3" t="s">
        <v>96</v>
      </c>
      <c r="Q18" s="3">
        <v>5</v>
      </c>
      <c r="R18" s="3">
        <v>40</v>
      </c>
      <c r="S18" s="4">
        <v>44970</v>
      </c>
      <c r="T18" s="3" t="s">
        <v>174</v>
      </c>
      <c r="U18" s="5">
        <f>Table1[[#This Row],[Delivery_Date]]-Table1[[#This Row],[Order_Date]]</f>
        <v>4</v>
      </c>
      <c r="V18" s="5">
        <f>Table1[[#This Row],[Price]]*Table1[[#This Row],[Quantity]]</f>
        <v>1090.04</v>
      </c>
      <c r="W18" s="6" cm="1">
        <f t="array" ref="W18">_xlfn.IFS(
P18="FLAT8",8%,
P18="FLAT10",10%,
P18="FLAT15",15%,P18="FLAT20",20%,P18="DEL0",0%,
TRUE,0%
)</f>
        <v>0.1</v>
      </c>
      <c r="X18" s="5">
        <f>Table1[[#This Row],[Amount]]-(Table1[[#This Row],[Amount]]*Table1[[#This Row],[Discount_Percentage]])</f>
        <v>981.03599999999994</v>
      </c>
      <c r="Y18" s="5">
        <f>IF(P18="DEL0",Table1[[#This Row],[Discount_Amount]],Table1[[#This Row],[Discount_Amount]]+Table1[[#This Row],[Delivery_Charge]])</f>
        <v>1021.0359999999999</v>
      </c>
      <c r="Z18" s="7" t="str">
        <f>_xlfn.CONCAT(Table1[[#This Row],[First_Name]],"  ",Table1[[#This Row],[Last_Name]])</f>
        <v>Erin  Miller</v>
      </c>
      <c r="AA18" s="5" t="str" cm="1">
        <f t="array" ref="AA18">_xlfn.IFS( (S18-K18)&gt;Q18,"Late", (S18-K18)=Q18,"InTime", (S18-K18)&lt;Q18,"BeforeTime" )</f>
        <v>BeforeTime</v>
      </c>
      <c r="AB18" s="3">
        <f>MONTH(Table1[[#This Row],[Order_Date]])</f>
        <v>2</v>
      </c>
    </row>
    <row r="19" spans="1:28" x14ac:dyDescent="0.3">
      <c r="A19" s="3" t="s">
        <v>175</v>
      </c>
      <c r="B19" s="3" t="s">
        <v>176</v>
      </c>
      <c r="C19" s="3" t="s">
        <v>177</v>
      </c>
      <c r="D19" s="3" t="str">
        <f>_xlfn.CONCAT(Table1[[#This Row],[First_Name]],Table1[[#This Row],[Last_Name]])</f>
        <v>GinaMoreno</v>
      </c>
      <c r="E19" s="3">
        <v>36</v>
      </c>
      <c r="F19" s="3" t="s">
        <v>52</v>
      </c>
      <c r="G19" s="3" t="s">
        <v>140</v>
      </c>
      <c r="H19" s="3" t="s">
        <v>178</v>
      </c>
      <c r="I19" s="3" t="s">
        <v>179</v>
      </c>
      <c r="J19" s="3" t="s">
        <v>180</v>
      </c>
      <c r="K19" s="4">
        <v>45542</v>
      </c>
      <c r="L19" s="3" t="s">
        <v>181</v>
      </c>
      <c r="M19" s="3" t="s">
        <v>182</v>
      </c>
      <c r="N19" s="3">
        <v>104.18</v>
      </c>
      <c r="O19" s="3">
        <v>2</v>
      </c>
      <c r="P19" s="3" t="s">
        <v>63</v>
      </c>
      <c r="Q19" s="3">
        <v>4</v>
      </c>
      <c r="R19" s="3">
        <v>44</v>
      </c>
      <c r="S19" s="4">
        <v>45545</v>
      </c>
      <c r="T19" s="3" t="s">
        <v>183</v>
      </c>
      <c r="U19" s="5">
        <f>Table1[[#This Row],[Delivery_Date]]-Table1[[#This Row],[Order_Date]]</f>
        <v>3</v>
      </c>
      <c r="V19" s="5">
        <f>Table1[[#This Row],[Price]]*Table1[[#This Row],[Quantity]]</f>
        <v>208.36</v>
      </c>
      <c r="W19" s="6" cm="1">
        <f t="array" ref="W19">_xlfn.IFS(
P19="FLAT8",8%,
P19="FLAT10",10%,
P19="FLAT15",15%,P19="FLAT20",20%,P19="DEL0",0%,
TRUE,0%
)</f>
        <v>0</v>
      </c>
      <c r="X19" s="5">
        <f>Table1[[#This Row],[Amount]]-(Table1[[#This Row],[Amount]]*Table1[[#This Row],[Discount_Percentage]])</f>
        <v>208.36</v>
      </c>
      <c r="Y19" s="5">
        <f>IF(P19="DEL0",Table1[[#This Row],[Discount_Amount]],Table1[[#This Row],[Discount_Amount]]+Table1[[#This Row],[Delivery_Charge]])</f>
        <v>208.36</v>
      </c>
      <c r="Z19" s="7" t="str">
        <f>_xlfn.CONCAT(Table1[[#This Row],[First_Name]],"  ",Table1[[#This Row],[Last_Name]])</f>
        <v>Gina  Moreno</v>
      </c>
      <c r="AA19" s="5" t="str" cm="1">
        <f t="array" ref="AA19">_xlfn.IFS( (S19-K19)&gt;Q19,"Late", (S19-K19)=Q19,"InTime", (S19-K19)&lt;Q19,"BeforeTime" )</f>
        <v>BeforeTime</v>
      </c>
      <c r="AB19" s="3">
        <f>MONTH(Table1[[#This Row],[Order_Date]])</f>
        <v>9</v>
      </c>
    </row>
    <row r="20" spans="1:28" x14ac:dyDescent="0.3">
      <c r="A20" s="3" t="s">
        <v>184</v>
      </c>
      <c r="B20" s="3" t="s">
        <v>185</v>
      </c>
      <c r="C20" s="3" t="s">
        <v>186</v>
      </c>
      <c r="D20" s="3" t="str">
        <f>_xlfn.CONCAT(Table1[[#This Row],[First_Name]],Table1[[#This Row],[Last_Name]])</f>
        <v>MalloryMitchell</v>
      </c>
      <c r="E20" s="3">
        <v>42</v>
      </c>
      <c r="F20" s="3" t="s">
        <v>41</v>
      </c>
      <c r="G20" s="3" t="s">
        <v>168</v>
      </c>
      <c r="H20" s="3" t="s">
        <v>187</v>
      </c>
      <c r="I20" s="3" t="s">
        <v>188</v>
      </c>
      <c r="J20" s="3" t="s">
        <v>189</v>
      </c>
      <c r="K20" s="4">
        <v>45665</v>
      </c>
      <c r="L20" s="3" t="s">
        <v>190</v>
      </c>
      <c r="M20" s="3" t="s">
        <v>114</v>
      </c>
      <c r="N20" s="3">
        <v>48.45</v>
      </c>
      <c r="O20" s="3">
        <v>4</v>
      </c>
      <c r="P20" s="3" t="s">
        <v>96</v>
      </c>
      <c r="Q20" s="3">
        <v>1</v>
      </c>
      <c r="R20" s="3">
        <v>70</v>
      </c>
      <c r="S20" s="4">
        <v>45670</v>
      </c>
      <c r="T20" s="3" t="s">
        <v>191</v>
      </c>
      <c r="U20" s="5">
        <f>Table1[[#This Row],[Delivery_Date]]-Table1[[#This Row],[Order_Date]]</f>
        <v>5</v>
      </c>
      <c r="V20" s="5">
        <f>Table1[[#This Row],[Price]]*Table1[[#This Row],[Quantity]]</f>
        <v>193.8</v>
      </c>
      <c r="W20" s="6" cm="1">
        <f t="array" ref="W20">_xlfn.IFS(
P20="FLAT8",8%,
P20="FLAT10",10%,
P20="FLAT15",15%,P20="FLAT20",20%,P20="DEL0",0%,
TRUE,0%
)</f>
        <v>0.1</v>
      </c>
      <c r="X20" s="5">
        <f>Table1[[#This Row],[Amount]]-(Table1[[#This Row],[Amount]]*Table1[[#This Row],[Discount_Percentage]])</f>
        <v>174.42000000000002</v>
      </c>
      <c r="Y20" s="5">
        <f>IF(P20="DEL0",Table1[[#This Row],[Discount_Amount]],Table1[[#This Row],[Discount_Amount]]+Table1[[#This Row],[Delivery_Charge]])</f>
        <v>244.42000000000002</v>
      </c>
      <c r="Z20" s="7" t="str">
        <f>_xlfn.CONCAT(Table1[[#This Row],[First_Name]],"  ",Table1[[#This Row],[Last_Name]])</f>
        <v>Mallory  Mitchell</v>
      </c>
      <c r="AA20" s="5" t="str" cm="1">
        <f t="array" ref="AA20">_xlfn.IFS( (S20-K20)&gt;Q20,"Late", (S20-K20)=Q20,"InTime", (S20-K20)&lt;Q20,"BeforeTime" )</f>
        <v>Late</v>
      </c>
      <c r="AB20" s="3">
        <f>MONTH(Table1[[#This Row],[Order_Date]])</f>
        <v>1</v>
      </c>
    </row>
    <row r="21" spans="1:28" x14ac:dyDescent="0.3">
      <c r="A21" s="3" t="s">
        <v>192</v>
      </c>
      <c r="B21" s="3" t="s">
        <v>193</v>
      </c>
      <c r="C21" s="3" t="s">
        <v>194</v>
      </c>
      <c r="D21" s="3" t="str">
        <f>_xlfn.CONCAT(Table1[[#This Row],[First_Name]],Table1[[#This Row],[Last_Name]])</f>
        <v>TraciJones</v>
      </c>
      <c r="E21" s="3">
        <v>34</v>
      </c>
      <c r="F21" s="3" t="s">
        <v>29</v>
      </c>
      <c r="G21" s="3" t="s">
        <v>90</v>
      </c>
      <c r="H21" s="3" t="s">
        <v>195</v>
      </c>
      <c r="I21" s="3" t="s">
        <v>196</v>
      </c>
      <c r="J21" s="3" t="s">
        <v>197</v>
      </c>
      <c r="K21" s="4">
        <v>45556</v>
      </c>
      <c r="L21" s="3" t="s">
        <v>198</v>
      </c>
      <c r="M21" s="3" t="s">
        <v>199</v>
      </c>
      <c r="N21" s="3">
        <v>20.7</v>
      </c>
      <c r="O21" s="3">
        <v>5</v>
      </c>
      <c r="P21" s="3" t="s">
        <v>63</v>
      </c>
      <c r="Q21" s="3">
        <v>7</v>
      </c>
      <c r="R21" s="3">
        <v>38</v>
      </c>
      <c r="S21" s="4">
        <v>45561</v>
      </c>
      <c r="T21" s="3" t="s">
        <v>200</v>
      </c>
      <c r="U21" s="5">
        <f>Table1[[#This Row],[Delivery_Date]]-Table1[[#This Row],[Order_Date]]</f>
        <v>5</v>
      </c>
      <c r="V21" s="5">
        <f>Table1[[#This Row],[Price]]*Table1[[#This Row],[Quantity]]</f>
        <v>103.5</v>
      </c>
      <c r="W21" s="6" cm="1">
        <f t="array" ref="W21">_xlfn.IFS(
P21="FLAT8",8%,
P21="FLAT10",10%,
P21="FLAT15",15%,P21="FLAT20",20%,P21="DEL0",0%,
TRUE,0%
)</f>
        <v>0</v>
      </c>
      <c r="X21" s="5">
        <f>Table1[[#This Row],[Amount]]-(Table1[[#This Row],[Amount]]*Table1[[#This Row],[Discount_Percentage]])</f>
        <v>103.5</v>
      </c>
      <c r="Y21" s="5">
        <f>IF(P21="DEL0",Table1[[#This Row],[Discount_Amount]],Table1[[#This Row],[Discount_Amount]]+Table1[[#This Row],[Delivery_Charge]])</f>
        <v>103.5</v>
      </c>
      <c r="Z21" s="7" t="str">
        <f>_xlfn.CONCAT(Table1[[#This Row],[First_Name]],"  ",Table1[[#This Row],[Last_Name]])</f>
        <v>Traci  Jones</v>
      </c>
      <c r="AA21" s="5" t="str" cm="1">
        <f t="array" ref="AA21">_xlfn.IFS( (S21-K21)&gt;Q21,"Late", (S21-K21)=Q21,"InTime", (S21-K21)&lt;Q21,"BeforeTime" )</f>
        <v>BeforeTime</v>
      </c>
      <c r="AB21" s="3">
        <f>MONTH(Table1[[#This Row],[Order_Date]])</f>
        <v>9</v>
      </c>
    </row>
    <row r="22" spans="1:28" x14ac:dyDescent="0.3">
      <c r="A22" s="3" t="s">
        <v>201</v>
      </c>
      <c r="B22" s="3" t="s">
        <v>202</v>
      </c>
      <c r="C22" s="3" t="s">
        <v>203</v>
      </c>
      <c r="D22" s="3" t="str">
        <f>_xlfn.CONCAT(Table1[[#This Row],[First_Name]],Table1[[#This Row],[Last_Name]])</f>
        <v>DeborahBates</v>
      </c>
      <c r="E22" s="3">
        <v>23</v>
      </c>
      <c r="F22" s="3" t="s">
        <v>29</v>
      </c>
      <c r="G22" s="3" t="s">
        <v>90</v>
      </c>
      <c r="H22" s="3" t="s">
        <v>204</v>
      </c>
      <c r="I22" s="3" t="s">
        <v>205</v>
      </c>
      <c r="J22" s="3" t="s">
        <v>206</v>
      </c>
      <c r="K22" s="4">
        <v>45520</v>
      </c>
      <c r="L22" s="3" t="s">
        <v>207</v>
      </c>
      <c r="M22" s="3" t="s">
        <v>35</v>
      </c>
      <c r="N22" s="3">
        <v>308.88</v>
      </c>
      <c r="O22" s="3">
        <v>3</v>
      </c>
      <c r="P22" s="3" t="s">
        <v>96</v>
      </c>
      <c r="Q22" s="3">
        <v>7</v>
      </c>
      <c r="R22" s="3">
        <v>43</v>
      </c>
      <c r="S22" s="4">
        <v>45521</v>
      </c>
      <c r="T22" s="3" t="s">
        <v>208</v>
      </c>
      <c r="U22" s="5">
        <f>Table1[[#This Row],[Delivery_Date]]-Table1[[#This Row],[Order_Date]]</f>
        <v>1</v>
      </c>
      <c r="V22" s="5">
        <f>Table1[[#This Row],[Price]]*Table1[[#This Row],[Quantity]]</f>
        <v>926.64</v>
      </c>
      <c r="W22" s="6" cm="1">
        <f t="array" ref="W22">_xlfn.IFS(
P22="FLAT8",8%,
P22="FLAT10",10%,
P22="FLAT15",15%,P22="FLAT20",20%,P22="DEL0",0%,
TRUE,0%
)</f>
        <v>0.1</v>
      </c>
      <c r="X22" s="5">
        <f>Table1[[#This Row],[Amount]]-(Table1[[#This Row],[Amount]]*Table1[[#This Row],[Discount_Percentage]])</f>
        <v>833.976</v>
      </c>
      <c r="Y22" s="5">
        <f>IF(P22="DEL0",Table1[[#This Row],[Discount_Amount]],Table1[[#This Row],[Discount_Amount]]+Table1[[#This Row],[Delivery_Charge]])</f>
        <v>876.976</v>
      </c>
      <c r="Z22" s="7" t="str">
        <f>_xlfn.CONCAT(Table1[[#This Row],[First_Name]],"  ",Table1[[#This Row],[Last_Name]])</f>
        <v>Deborah  Bates</v>
      </c>
      <c r="AA22" s="5" t="str" cm="1">
        <f t="array" ref="AA22">_xlfn.IFS( (S22-K22)&gt;Q22,"Late", (S22-K22)=Q22,"InTime", (S22-K22)&lt;Q22,"BeforeTime" )</f>
        <v>BeforeTime</v>
      </c>
      <c r="AB22" s="3">
        <f>MONTH(Table1[[#This Row],[Order_Date]])</f>
        <v>8</v>
      </c>
    </row>
    <row r="23" spans="1:28" x14ac:dyDescent="0.3">
      <c r="A23" s="3" t="s">
        <v>209</v>
      </c>
      <c r="B23" s="3" t="s">
        <v>210</v>
      </c>
      <c r="C23" s="3" t="s">
        <v>211</v>
      </c>
      <c r="D23" s="3" t="str">
        <f>_xlfn.CONCAT(Table1[[#This Row],[First_Name]],Table1[[#This Row],[Last_Name]])</f>
        <v>ChristianClayton</v>
      </c>
      <c r="E23" s="3">
        <v>39</v>
      </c>
      <c r="F23" s="3" t="s">
        <v>41</v>
      </c>
      <c r="G23" s="3" t="s">
        <v>159</v>
      </c>
      <c r="H23" s="3" t="s">
        <v>212</v>
      </c>
      <c r="I23" s="3" t="s">
        <v>213</v>
      </c>
      <c r="J23" s="3" t="s">
        <v>214</v>
      </c>
      <c r="K23" s="4">
        <v>45352</v>
      </c>
      <c r="L23" s="3" t="s">
        <v>215</v>
      </c>
      <c r="M23" s="3" t="s">
        <v>182</v>
      </c>
      <c r="N23" s="3">
        <v>104.18</v>
      </c>
      <c r="O23" s="3">
        <v>5</v>
      </c>
      <c r="P23" s="3" t="s">
        <v>36</v>
      </c>
      <c r="Q23" s="3">
        <v>5</v>
      </c>
      <c r="R23" s="3">
        <v>58</v>
      </c>
      <c r="S23" s="4">
        <v>45356</v>
      </c>
      <c r="T23" s="3" t="s">
        <v>216</v>
      </c>
      <c r="U23" s="5">
        <f>Table1[[#This Row],[Delivery_Date]]-Table1[[#This Row],[Order_Date]]</f>
        <v>4</v>
      </c>
      <c r="V23" s="5">
        <f>Table1[[#This Row],[Price]]*Table1[[#This Row],[Quantity]]</f>
        <v>520.90000000000009</v>
      </c>
      <c r="W23" s="6" cm="1">
        <f t="array" ref="W23">_xlfn.IFS(
P23="FLAT8",8%,
P23="FLAT10",10%,
P23="FLAT15",15%,P23="FLAT20",20%,P23="DEL0",0%,
TRUE,0%
)</f>
        <v>0.08</v>
      </c>
      <c r="X23" s="5">
        <f>Table1[[#This Row],[Amount]]-(Table1[[#This Row],[Amount]]*Table1[[#This Row],[Discount_Percentage]])</f>
        <v>479.22800000000007</v>
      </c>
      <c r="Y23" s="5">
        <f>IF(P23="DEL0",Table1[[#This Row],[Discount_Amount]],Table1[[#This Row],[Discount_Amount]]+Table1[[#This Row],[Delivery_Charge]])</f>
        <v>537.22800000000007</v>
      </c>
      <c r="Z23" s="7" t="str">
        <f>_xlfn.CONCAT(Table1[[#This Row],[First_Name]],"  ",Table1[[#This Row],[Last_Name]])</f>
        <v>Christian  Clayton</v>
      </c>
      <c r="AA23" s="5" t="str" cm="1">
        <f t="array" ref="AA23">_xlfn.IFS( (S23-K23)&gt;Q23,"Late", (S23-K23)=Q23,"InTime", (S23-K23)&lt;Q23,"BeforeTime" )</f>
        <v>BeforeTime</v>
      </c>
      <c r="AB23" s="3">
        <f>MONTH(Table1[[#This Row],[Order_Date]])</f>
        <v>3</v>
      </c>
    </row>
    <row r="24" spans="1:28" x14ac:dyDescent="0.3">
      <c r="A24" s="3" t="s">
        <v>217</v>
      </c>
      <c r="B24" s="3" t="s">
        <v>218</v>
      </c>
      <c r="C24" s="3" t="s">
        <v>219</v>
      </c>
      <c r="D24" s="3" t="str">
        <f>_xlfn.CONCAT(Table1[[#This Row],[First_Name]],Table1[[#This Row],[Last_Name]])</f>
        <v>MarkHenderson</v>
      </c>
      <c r="E24" s="3">
        <v>33</v>
      </c>
      <c r="F24" s="3" t="s">
        <v>52</v>
      </c>
      <c r="G24" s="3" t="s">
        <v>220</v>
      </c>
      <c r="H24" s="3" t="s">
        <v>221</v>
      </c>
      <c r="I24" s="3" t="s">
        <v>222</v>
      </c>
      <c r="J24" s="3" t="s">
        <v>223</v>
      </c>
      <c r="K24" s="4">
        <v>45125</v>
      </c>
      <c r="L24" s="3" t="s">
        <v>224</v>
      </c>
      <c r="M24" s="3" t="s">
        <v>225</v>
      </c>
      <c r="N24" s="3">
        <v>461.07</v>
      </c>
      <c r="O24" s="3">
        <v>1</v>
      </c>
      <c r="P24" s="3" t="s">
        <v>36</v>
      </c>
      <c r="Q24" s="3">
        <v>1</v>
      </c>
      <c r="R24" s="3">
        <v>56</v>
      </c>
      <c r="S24" s="4">
        <v>45126</v>
      </c>
      <c r="T24" s="3" t="s">
        <v>226</v>
      </c>
      <c r="U24" s="5">
        <f>Table1[[#This Row],[Delivery_Date]]-Table1[[#This Row],[Order_Date]]</f>
        <v>1</v>
      </c>
      <c r="V24" s="5">
        <f>Table1[[#This Row],[Price]]*Table1[[#This Row],[Quantity]]</f>
        <v>461.07</v>
      </c>
      <c r="W24" s="6" cm="1">
        <f t="array" ref="W24">_xlfn.IFS(
P24="FLAT8",8%,
P24="FLAT10",10%,
P24="FLAT15",15%,P24="FLAT20",20%,P24="DEL0",0%,
TRUE,0%
)</f>
        <v>0.08</v>
      </c>
      <c r="X24" s="5">
        <f>Table1[[#This Row],[Amount]]-(Table1[[#This Row],[Amount]]*Table1[[#This Row],[Discount_Percentage]])</f>
        <v>424.18439999999998</v>
      </c>
      <c r="Y24" s="5">
        <f>IF(P24="DEL0",Table1[[#This Row],[Discount_Amount]],Table1[[#This Row],[Discount_Amount]]+Table1[[#This Row],[Delivery_Charge]])</f>
        <v>480.18439999999998</v>
      </c>
      <c r="Z24" s="7" t="str">
        <f>_xlfn.CONCAT(Table1[[#This Row],[First_Name]],"  ",Table1[[#This Row],[Last_Name]])</f>
        <v>Mark  Henderson</v>
      </c>
      <c r="AA24" s="5" t="str" cm="1">
        <f t="array" ref="AA24">_xlfn.IFS( (S24-K24)&gt;Q24,"Late", (S24-K24)=Q24,"InTime", (S24-K24)&lt;Q24,"BeforeTime" )</f>
        <v>InTime</v>
      </c>
      <c r="AB24" s="3">
        <f>MONTH(Table1[[#This Row],[Order_Date]])</f>
        <v>7</v>
      </c>
    </row>
    <row r="25" spans="1:28" x14ac:dyDescent="0.3">
      <c r="A25" s="3" t="s">
        <v>227</v>
      </c>
      <c r="B25" s="3" t="s">
        <v>228</v>
      </c>
      <c r="C25" s="3" t="s">
        <v>229</v>
      </c>
      <c r="D25" s="3" t="str">
        <f>_xlfn.CONCAT(Table1[[#This Row],[First_Name]],Table1[[#This Row],[Last_Name]])</f>
        <v>JohnHerrera</v>
      </c>
      <c r="E25" s="3">
        <v>64</v>
      </c>
      <c r="F25" s="3" t="s">
        <v>41</v>
      </c>
      <c r="G25" s="3" t="s">
        <v>42</v>
      </c>
      <c r="H25" s="3" t="s">
        <v>230</v>
      </c>
      <c r="I25" s="3" t="s">
        <v>231</v>
      </c>
      <c r="J25" s="3" t="s">
        <v>232</v>
      </c>
      <c r="K25" s="4">
        <v>45194</v>
      </c>
      <c r="L25" s="3" t="s">
        <v>233</v>
      </c>
      <c r="M25" s="3" t="s">
        <v>234</v>
      </c>
      <c r="N25" s="3">
        <v>132.97</v>
      </c>
      <c r="O25" s="3">
        <v>1</v>
      </c>
      <c r="P25" s="3" t="s">
        <v>58</v>
      </c>
      <c r="Q25" s="3">
        <v>4</v>
      </c>
      <c r="R25" s="3">
        <v>55</v>
      </c>
      <c r="S25" s="4">
        <v>45198</v>
      </c>
      <c r="T25" s="3" t="s">
        <v>235</v>
      </c>
      <c r="U25" s="5">
        <f>Table1[[#This Row],[Delivery_Date]]-Table1[[#This Row],[Order_Date]]</f>
        <v>4</v>
      </c>
      <c r="V25" s="5">
        <f>Table1[[#This Row],[Price]]*Table1[[#This Row],[Quantity]]</f>
        <v>132.97</v>
      </c>
      <c r="W25" s="6" cm="1">
        <f t="array" ref="W25">_xlfn.IFS(
P25="FLAT8",8%,
P25="FLAT10",10%,
P25="FLAT15",15%,P25="FLAT20",20%,P25="DEL0",0%,
TRUE,0%
)</f>
        <v>0.15</v>
      </c>
      <c r="X25" s="5">
        <f>Table1[[#This Row],[Amount]]-(Table1[[#This Row],[Amount]]*Table1[[#This Row],[Discount_Percentage]])</f>
        <v>113.0245</v>
      </c>
      <c r="Y25" s="5">
        <f>IF(P25="DEL0",Table1[[#This Row],[Discount_Amount]],Table1[[#This Row],[Discount_Amount]]+Table1[[#This Row],[Delivery_Charge]])</f>
        <v>168.02449999999999</v>
      </c>
      <c r="Z25" s="7" t="str">
        <f>_xlfn.CONCAT(Table1[[#This Row],[First_Name]],"  ",Table1[[#This Row],[Last_Name]])</f>
        <v>John  Herrera</v>
      </c>
      <c r="AA25" s="5" t="str" cm="1">
        <f t="array" ref="AA25">_xlfn.IFS( (S25-K25)&gt;Q25,"Late", (S25-K25)=Q25,"InTime", (S25-K25)&lt;Q25,"BeforeTime" )</f>
        <v>InTime</v>
      </c>
      <c r="AB25" s="3">
        <f>MONTH(Table1[[#This Row],[Order_Date]])</f>
        <v>9</v>
      </c>
    </row>
    <row r="26" spans="1:28" x14ac:dyDescent="0.3">
      <c r="A26" s="3" t="s">
        <v>236</v>
      </c>
      <c r="B26" s="3" t="s">
        <v>66</v>
      </c>
      <c r="C26" s="3" t="s">
        <v>237</v>
      </c>
      <c r="D26" s="3" t="str">
        <f>_xlfn.CONCAT(Table1[[#This Row],[First_Name]],Table1[[#This Row],[Last_Name]])</f>
        <v>AngelaEvans</v>
      </c>
      <c r="E26" s="3">
        <v>52</v>
      </c>
      <c r="F26" s="3" t="s">
        <v>52</v>
      </c>
      <c r="G26" s="3" t="s">
        <v>42</v>
      </c>
      <c r="H26" s="3" t="s">
        <v>238</v>
      </c>
      <c r="I26" s="3" t="s">
        <v>239</v>
      </c>
      <c r="J26" s="3" t="s">
        <v>240</v>
      </c>
      <c r="K26" s="4">
        <v>45146</v>
      </c>
      <c r="L26" s="3" t="s">
        <v>241</v>
      </c>
      <c r="M26" s="3" t="s">
        <v>242</v>
      </c>
      <c r="N26" s="3">
        <v>126.19</v>
      </c>
      <c r="O26" s="3">
        <v>2</v>
      </c>
      <c r="P26" s="3" t="s">
        <v>63</v>
      </c>
      <c r="Q26" s="3">
        <v>3</v>
      </c>
      <c r="R26" s="3">
        <v>63</v>
      </c>
      <c r="S26" s="4">
        <v>45150</v>
      </c>
      <c r="T26" s="3" t="s">
        <v>243</v>
      </c>
      <c r="U26" s="5">
        <f>Table1[[#This Row],[Delivery_Date]]-Table1[[#This Row],[Order_Date]]</f>
        <v>4</v>
      </c>
      <c r="V26" s="5">
        <f>Table1[[#This Row],[Price]]*Table1[[#This Row],[Quantity]]</f>
        <v>252.38</v>
      </c>
      <c r="W26" s="6" cm="1">
        <f t="array" ref="W26">_xlfn.IFS(
P26="FLAT8",8%,
P26="FLAT10",10%,
P26="FLAT15",15%,P26="FLAT20",20%,P26="DEL0",0%,
TRUE,0%
)</f>
        <v>0</v>
      </c>
      <c r="X26" s="5">
        <f>Table1[[#This Row],[Amount]]-(Table1[[#This Row],[Amount]]*Table1[[#This Row],[Discount_Percentage]])</f>
        <v>252.38</v>
      </c>
      <c r="Y26" s="5">
        <f>IF(P26="DEL0",Table1[[#This Row],[Discount_Amount]],Table1[[#This Row],[Discount_Amount]]+Table1[[#This Row],[Delivery_Charge]])</f>
        <v>252.38</v>
      </c>
      <c r="Z26" s="7" t="str">
        <f>_xlfn.CONCAT(Table1[[#This Row],[First_Name]],"  ",Table1[[#This Row],[Last_Name]])</f>
        <v>Angela  Evans</v>
      </c>
      <c r="AA26" s="5" t="str" cm="1">
        <f t="array" ref="AA26">_xlfn.IFS( (S26-K26)&gt;Q26,"Late", (S26-K26)=Q26,"InTime", (S26-K26)&lt;Q26,"BeforeTime" )</f>
        <v>Late</v>
      </c>
      <c r="AB26" s="3">
        <f>MONTH(Table1[[#This Row],[Order_Date]])</f>
        <v>8</v>
      </c>
    </row>
    <row r="27" spans="1:28" x14ac:dyDescent="0.3">
      <c r="A27" s="3" t="s">
        <v>236</v>
      </c>
      <c r="B27" s="3" t="s">
        <v>66</v>
      </c>
      <c r="C27" s="3" t="s">
        <v>237</v>
      </c>
      <c r="D27" s="3" t="str">
        <f>_xlfn.CONCAT(Table1[[#This Row],[First_Name]],Table1[[#This Row],[Last_Name]])</f>
        <v>AngelaEvans</v>
      </c>
      <c r="E27" s="3">
        <v>52</v>
      </c>
      <c r="F27" s="3" t="s">
        <v>52</v>
      </c>
      <c r="G27" s="3" t="s">
        <v>42</v>
      </c>
      <c r="H27" s="3" t="s">
        <v>238</v>
      </c>
      <c r="I27" s="3" t="s">
        <v>239</v>
      </c>
      <c r="J27" s="3" t="s">
        <v>244</v>
      </c>
      <c r="K27" s="4">
        <v>45138</v>
      </c>
      <c r="L27" s="3" t="s">
        <v>245</v>
      </c>
      <c r="M27" s="3" t="s">
        <v>246</v>
      </c>
      <c r="N27" s="3">
        <v>282.63</v>
      </c>
      <c r="O27" s="3">
        <v>3</v>
      </c>
      <c r="P27" s="3" t="s">
        <v>63</v>
      </c>
      <c r="Q27" s="3">
        <v>2</v>
      </c>
      <c r="R27" s="3">
        <v>40</v>
      </c>
      <c r="S27" s="4">
        <v>45142</v>
      </c>
      <c r="T27" s="3" t="s">
        <v>247</v>
      </c>
      <c r="U27" s="5">
        <f>Table1[[#This Row],[Delivery_Date]]-Table1[[#This Row],[Order_Date]]</f>
        <v>4</v>
      </c>
      <c r="V27" s="5">
        <f>Table1[[#This Row],[Price]]*Table1[[#This Row],[Quantity]]</f>
        <v>847.89</v>
      </c>
      <c r="W27" s="6" cm="1">
        <f t="array" ref="W27">_xlfn.IFS(
P27="FLAT8",8%,
P27="FLAT10",10%,
P27="FLAT15",15%,P27="FLAT20",20%,P27="DEL0",0%,
TRUE,0%
)</f>
        <v>0</v>
      </c>
      <c r="X27" s="5">
        <f>Table1[[#This Row],[Amount]]-(Table1[[#This Row],[Amount]]*Table1[[#This Row],[Discount_Percentage]])</f>
        <v>847.89</v>
      </c>
      <c r="Y27" s="5">
        <f>IF(P27="DEL0",Table1[[#This Row],[Discount_Amount]],Table1[[#This Row],[Discount_Amount]]+Table1[[#This Row],[Delivery_Charge]])</f>
        <v>847.89</v>
      </c>
      <c r="Z27" s="7" t="str">
        <f>_xlfn.CONCAT(Table1[[#This Row],[First_Name]],"  ",Table1[[#This Row],[Last_Name]])</f>
        <v>Angela  Evans</v>
      </c>
      <c r="AA27" s="5" t="str" cm="1">
        <f t="array" ref="AA27">_xlfn.IFS( (S27-K27)&gt;Q27,"Late", (S27-K27)=Q27,"InTime", (S27-K27)&lt;Q27,"BeforeTime" )</f>
        <v>Late</v>
      </c>
      <c r="AB27" s="3">
        <f>MONTH(Table1[[#This Row],[Order_Date]])</f>
        <v>7</v>
      </c>
    </row>
    <row r="28" spans="1:28" x14ac:dyDescent="0.3">
      <c r="A28" s="3" t="s">
        <v>119</v>
      </c>
      <c r="B28" s="3" t="s">
        <v>120</v>
      </c>
      <c r="C28" s="3" t="s">
        <v>121</v>
      </c>
      <c r="D28" s="3" t="str">
        <f>_xlfn.CONCAT(Table1[[#This Row],[First_Name]],Table1[[#This Row],[Last_Name]])</f>
        <v>BobbyForbes</v>
      </c>
      <c r="E28" s="3">
        <v>20</v>
      </c>
      <c r="F28" s="3" t="s">
        <v>29</v>
      </c>
      <c r="G28" s="3" t="s">
        <v>90</v>
      </c>
      <c r="H28" s="3" t="s">
        <v>122</v>
      </c>
      <c r="I28" s="3" t="s">
        <v>123</v>
      </c>
      <c r="J28" s="3" t="s">
        <v>248</v>
      </c>
      <c r="K28" s="4">
        <v>45066</v>
      </c>
      <c r="L28" s="3" t="s">
        <v>249</v>
      </c>
      <c r="M28" s="3" t="s">
        <v>250</v>
      </c>
      <c r="N28" s="3">
        <v>128.13999999999999</v>
      </c>
      <c r="O28" s="3">
        <v>3</v>
      </c>
      <c r="P28" s="3" t="s">
        <v>36</v>
      </c>
      <c r="Q28" s="3">
        <v>4</v>
      </c>
      <c r="R28" s="3">
        <v>70</v>
      </c>
      <c r="S28" s="4">
        <v>45069</v>
      </c>
      <c r="T28" s="3" t="s">
        <v>251</v>
      </c>
      <c r="U28" s="5">
        <f>Table1[[#This Row],[Delivery_Date]]-Table1[[#This Row],[Order_Date]]</f>
        <v>3</v>
      </c>
      <c r="V28" s="5">
        <f>Table1[[#This Row],[Price]]*Table1[[#This Row],[Quantity]]</f>
        <v>384.41999999999996</v>
      </c>
      <c r="W28" s="6" cm="1">
        <f t="array" ref="W28">_xlfn.IFS(
P28="FLAT8",8%,
P28="FLAT10",10%,
P28="FLAT15",15%,P28="FLAT20",20%,P28="DEL0",0%,
TRUE,0%
)</f>
        <v>0.08</v>
      </c>
      <c r="X28" s="5">
        <f>Table1[[#This Row],[Amount]]-(Table1[[#This Row],[Amount]]*Table1[[#This Row],[Discount_Percentage]])</f>
        <v>353.66639999999995</v>
      </c>
      <c r="Y28" s="5">
        <f>IF(P28="DEL0",Table1[[#This Row],[Discount_Amount]],Table1[[#This Row],[Discount_Amount]]+Table1[[#This Row],[Delivery_Charge]])</f>
        <v>423.66639999999995</v>
      </c>
      <c r="Z28" s="7" t="str">
        <f>_xlfn.CONCAT(Table1[[#This Row],[First_Name]],"  ",Table1[[#This Row],[Last_Name]])</f>
        <v>Bobby  Forbes</v>
      </c>
      <c r="AA28" s="5" t="str" cm="1">
        <f t="array" ref="AA28">_xlfn.IFS( (S28-K28)&gt;Q28,"Late", (S28-K28)=Q28,"InTime", (S28-K28)&lt;Q28,"BeforeTime" )</f>
        <v>BeforeTime</v>
      </c>
      <c r="AB28" s="3">
        <f>MONTH(Table1[[#This Row],[Order_Date]])</f>
        <v>5</v>
      </c>
    </row>
    <row r="29" spans="1:28" x14ac:dyDescent="0.3">
      <c r="A29" s="3" t="s">
        <v>119</v>
      </c>
      <c r="B29" s="3" t="s">
        <v>120</v>
      </c>
      <c r="C29" s="3" t="s">
        <v>121</v>
      </c>
      <c r="D29" s="3" t="str">
        <f>_xlfn.CONCAT(Table1[[#This Row],[First_Name]],Table1[[#This Row],[Last_Name]])</f>
        <v>BobbyForbes</v>
      </c>
      <c r="E29" s="3">
        <v>20</v>
      </c>
      <c r="F29" s="3" t="s">
        <v>29</v>
      </c>
      <c r="G29" s="3" t="s">
        <v>90</v>
      </c>
      <c r="H29" s="3" t="s">
        <v>122</v>
      </c>
      <c r="I29" s="3" t="s">
        <v>123</v>
      </c>
      <c r="J29" s="3" t="s">
        <v>252</v>
      </c>
      <c r="K29" s="4">
        <v>45185</v>
      </c>
      <c r="L29" s="3" t="s">
        <v>253</v>
      </c>
      <c r="M29" s="3" t="s">
        <v>95</v>
      </c>
      <c r="N29" s="3">
        <v>363.64</v>
      </c>
      <c r="O29" s="3">
        <v>3</v>
      </c>
      <c r="P29" s="3" t="s">
        <v>85</v>
      </c>
      <c r="Q29" s="3">
        <v>5</v>
      </c>
      <c r="R29" s="3">
        <v>39</v>
      </c>
      <c r="S29" s="4">
        <v>45189</v>
      </c>
      <c r="T29" s="3" t="s">
        <v>254</v>
      </c>
      <c r="U29" s="5">
        <f>Table1[[#This Row],[Delivery_Date]]-Table1[[#This Row],[Order_Date]]</f>
        <v>4</v>
      </c>
      <c r="V29" s="5">
        <f>Table1[[#This Row],[Price]]*Table1[[#This Row],[Quantity]]</f>
        <v>1090.92</v>
      </c>
      <c r="W29" s="6" cm="1">
        <f t="array" ref="W29">_xlfn.IFS(
P29="FLAT8",8%,
P29="FLAT10",10%,
P29="FLAT15",15%,P29="FLAT20",20%,P29="DEL0",0%,
TRUE,0%
)</f>
        <v>0.2</v>
      </c>
      <c r="X29" s="5">
        <f>Table1[[#This Row],[Amount]]-(Table1[[#This Row],[Amount]]*Table1[[#This Row],[Discount_Percentage]])</f>
        <v>872.7360000000001</v>
      </c>
      <c r="Y29" s="5">
        <f>IF(P29="DEL0",Table1[[#This Row],[Discount_Amount]],Table1[[#This Row],[Discount_Amount]]+Table1[[#This Row],[Delivery_Charge]])</f>
        <v>911.7360000000001</v>
      </c>
      <c r="Z29" s="7" t="str">
        <f>_xlfn.CONCAT(Table1[[#This Row],[First_Name]],"  ",Table1[[#This Row],[Last_Name]])</f>
        <v>Bobby  Forbes</v>
      </c>
      <c r="AA29" s="5" t="str" cm="1">
        <f t="array" ref="AA29">_xlfn.IFS( (S29-K29)&gt;Q29,"Late", (S29-K29)=Q29,"InTime", (S29-K29)&lt;Q29,"BeforeTime" )</f>
        <v>BeforeTime</v>
      </c>
      <c r="AB29" s="3">
        <f>MONTH(Table1[[#This Row],[Order_Date]])</f>
        <v>9</v>
      </c>
    </row>
    <row r="30" spans="1:28" x14ac:dyDescent="0.3">
      <c r="A30" s="3" t="s">
        <v>255</v>
      </c>
      <c r="B30" s="3" t="s">
        <v>256</v>
      </c>
      <c r="C30" s="3" t="s">
        <v>257</v>
      </c>
      <c r="D30" s="3" t="str">
        <f>_xlfn.CONCAT(Table1[[#This Row],[First_Name]],Table1[[#This Row],[Last_Name]])</f>
        <v>AshleyRose</v>
      </c>
      <c r="E30" s="3">
        <v>60</v>
      </c>
      <c r="F30" s="3" t="s">
        <v>52</v>
      </c>
      <c r="G30" s="3" t="s">
        <v>30</v>
      </c>
      <c r="H30" s="3" t="s">
        <v>258</v>
      </c>
      <c r="I30" s="3" t="s">
        <v>259</v>
      </c>
      <c r="J30" s="3" t="s">
        <v>260</v>
      </c>
      <c r="K30" s="4">
        <v>44987</v>
      </c>
      <c r="L30" s="3" t="s">
        <v>261</v>
      </c>
      <c r="M30" s="3" t="s">
        <v>95</v>
      </c>
      <c r="N30" s="3">
        <v>363.64</v>
      </c>
      <c r="O30" s="3">
        <v>2</v>
      </c>
      <c r="P30" s="3" t="s">
        <v>58</v>
      </c>
      <c r="Q30" s="3">
        <v>1</v>
      </c>
      <c r="R30" s="3">
        <v>43</v>
      </c>
      <c r="S30" s="4">
        <v>44988</v>
      </c>
      <c r="T30" s="3" t="s">
        <v>262</v>
      </c>
      <c r="U30" s="5">
        <f>Table1[[#This Row],[Delivery_Date]]-Table1[[#This Row],[Order_Date]]</f>
        <v>1</v>
      </c>
      <c r="V30" s="5">
        <f>Table1[[#This Row],[Price]]*Table1[[#This Row],[Quantity]]</f>
        <v>727.28</v>
      </c>
      <c r="W30" s="6" cm="1">
        <f t="array" ref="W30">_xlfn.IFS(
P30="FLAT8",8%,
P30="FLAT10",10%,
P30="FLAT15",15%,P30="FLAT20",20%,P30="DEL0",0%,
TRUE,0%
)</f>
        <v>0.15</v>
      </c>
      <c r="X30" s="5">
        <f>Table1[[#This Row],[Amount]]-(Table1[[#This Row],[Amount]]*Table1[[#This Row],[Discount_Percentage]])</f>
        <v>618.18799999999999</v>
      </c>
      <c r="Y30" s="5">
        <f>IF(P30="DEL0",Table1[[#This Row],[Discount_Amount]],Table1[[#This Row],[Discount_Amount]]+Table1[[#This Row],[Delivery_Charge]])</f>
        <v>661.18799999999999</v>
      </c>
      <c r="Z30" s="7" t="str">
        <f>_xlfn.CONCAT(Table1[[#This Row],[First_Name]],"  ",Table1[[#This Row],[Last_Name]])</f>
        <v>Ashley  Rose</v>
      </c>
      <c r="AA30" s="5" t="str" cm="1">
        <f t="array" ref="AA30">_xlfn.IFS( (S30-K30)&gt;Q30,"Late", (S30-K30)=Q30,"InTime", (S30-K30)&lt;Q30,"BeforeTime" )</f>
        <v>InTime</v>
      </c>
      <c r="AB30" s="3">
        <f>MONTH(Table1[[#This Row],[Order_Date]])</f>
        <v>3</v>
      </c>
    </row>
    <row r="31" spans="1:28" x14ac:dyDescent="0.3">
      <c r="A31" s="3" t="s">
        <v>263</v>
      </c>
      <c r="B31" s="3" t="s">
        <v>264</v>
      </c>
      <c r="C31" s="3" t="s">
        <v>265</v>
      </c>
      <c r="D31" s="3" t="str">
        <f>_xlfn.CONCAT(Table1[[#This Row],[First_Name]],Table1[[#This Row],[Last_Name]])</f>
        <v>TaylorDavis</v>
      </c>
      <c r="E31" s="3">
        <v>54</v>
      </c>
      <c r="F31" s="3" t="s">
        <v>41</v>
      </c>
      <c r="G31" s="3" t="s">
        <v>30</v>
      </c>
      <c r="H31" s="3" t="s">
        <v>266</v>
      </c>
      <c r="I31" s="3" t="s">
        <v>267</v>
      </c>
      <c r="J31" s="3" t="s">
        <v>268</v>
      </c>
      <c r="K31" s="4">
        <v>45224</v>
      </c>
      <c r="L31" s="3" t="s">
        <v>269</v>
      </c>
      <c r="M31" s="3" t="s">
        <v>270</v>
      </c>
      <c r="N31" s="3">
        <v>62.42</v>
      </c>
      <c r="O31" s="3">
        <v>1</v>
      </c>
      <c r="P31" s="3" t="s">
        <v>63</v>
      </c>
      <c r="Q31" s="3">
        <v>3</v>
      </c>
      <c r="R31" s="3">
        <v>58</v>
      </c>
      <c r="S31" s="4">
        <v>45229</v>
      </c>
      <c r="T31" s="3" t="s">
        <v>271</v>
      </c>
      <c r="U31" s="5">
        <f>Table1[[#This Row],[Delivery_Date]]-Table1[[#This Row],[Order_Date]]</f>
        <v>5</v>
      </c>
      <c r="V31" s="5">
        <f>Table1[[#This Row],[Price]]*Table1[[#This Row],[Quantity]]</f>
        <v>62.42</v>
      </c>
      <c r="W31" s="6" cm="1">
        <f t="array" ref="W31">_xlfn.IFS(
P31="FLAT8",8%,
P31="FLAT10",10%,
P31="FLAT15",15%,P31="FLAT20",20%,P31="DEL0",0%,
TRUE,0%
)</f>
        <v>0</v>
      </c>
      <c r="X31" s="5">
        <f>Table1[[#This Row],[Amount]]-(Table1[[#This Row],[Amount]]*Table1[[#This Row],[Discount_Percentage]])</f>
        <v>62.42</v>
      </c>
      <c r="Y31" s="5">
        <f>IF(P31="DEL0",Table1[[#This Row],[Discount_Amount]],Table1[[#This Row],[Discount_Amount]]+Table1[[#This Row],[Delivery_Charge]])</f>
        <v>62.42</v>
      </c>
      <c r="Z31" s="7" t="str">
        <f>_xlfn.CONCAT(Table1[[#This Row],[First_Name]],"  ",Table1[[#This Row],[Last_Name]])</f>
        <v>Taylor  Davis</v>
      </c>
      <c r="AA31" s="5" t="str" cm="1">
        <f t="array" ref="AA31">_xlfn.IFS( (S31-K31)&gt;Q31,"Late", (S31-K31)=Q31,"InTime", (S31-K31)&lt;Q31,"BeforeTime" )</f>
        <v>Late</v>
      </c>
      <c r="AB31" s="3">
        <f>MONTH(Table1[[#This Row],[Order_Date]])</f>
        <v>10</v>
      </c>
    </row>
    <row r="32" spans="1:28" x14ac:dyDescent="0.3">
      <c r="A32" s="3" t="s">
        <v>272</v>
      </c>
      <c r="B32" s="3" t="s">
        <v>273</v>
      </c>
      <c r="C32" s="3" t="s">
        <v>274</v>
      </c>
      <c r="D32" s="3" t="str">
        <f>_xlfn.CONCAT(Table1[[#This Row],[First_Name]],Table1[[#This Row],[Last_Name]])</f>
        <v>LaurenLong</v>
      </c>
      <c r="E32" s="3">
        <v>44</v>
      </c>
      <c r="F32" s="3" t="s">
        <v>29</v>
      </c>
      <c r="G32" s="3" t="s">
        <v>220</v>
      </c>
      <c r="H32" s="3" t="s">
        <v>275</v>
      </c>
      <c r="I32" s="3" t="s">
        <v>276</v>
      </c>
      <c r="J32" s="3" t="s">
        <v>277</v>
      </c>
      <c r="K32" s="4">
        <v>45389</v>
      </c>
      <c r="L32" s="3" t="s">
        <v>278</v>
      </c>
      <c r="M32" s="3" t="s">
        <v>234</v>
      </c>
      <c r="N32" s="3">
        <v>132.97</v>
      </c>
      <c r="O32" s="3">
        <v>1</v>
      </c>
      <c r="P32" s="3" t="s">
        <v>63</v>
      </c>
      <c r="Q32" s="3">
        <v>6</v>
      </c>
      <c r="R32" s="3">
        <v>57</v>
      </c>
      <c r="S32" s="4">
        <v>45396</v>
      </c>
      <c r="T32" s="3" t="s">
        <v>279</v>
      </c>
      <c r="U32" s="5">
        <f>Table1[[#This Row],[Delivery_Date]]-Table1[[#This Row],[Order_Date]]</f>
        <v>7</v>
      </c>
      <c r="V32" s="5">
        <f>Table1[[#This Row],[Price]]*Table1[[#This Row],[Quantity]]</f>
        <v>132.97</v>
      </c>
      <c r="W32" s="6" cm="1">
        <f t="array" ref="W32">_xlfn.IFS(
P32="FLAT8",8%,
P32="FLAT10",10%,
P32="FLAT15",15%,P32="FLAT20",20%,P32="DEL0",0%,
TRUE,0%
)</f>
        <v>0</v>
      </c>
      <c r="X32" s="5">
        <f>Table1[[#This Row],[Amount]]-(Table1[[#This Row],[Amount]]*Table1[[#This Row],[Discount_Percentage]])</f>
        <v>132.97</v>
      </c>
      <c r="Y32" s="5">
        <f>IF(P32="DEL0",Table1[[#This Row],[Discount_Amount]],Table1[[#This Row],[Discount_Amount]]+Table1[[#This Row],[Delivery_Charge]])</f>
        <v>132.97</v>
      </c>
      <c r="Z32" s="7" t="str">
        <f>_xlfn.CONCAT(Table1[[#This Row],[First_Name]],"  ",Table1[[#This Row],[Last_Name]])</f>
        <v>Lauren  Long</v>
      </c>
      <c r="AA32" s="5" t="str" cm="1">
        <f t="array" ref="AA32">_xlfn.IFS( (S32-K32)&gt;Q32,"Late", (S32-K32)=Q32,"InTime", (S32-K32)&lt;Q32,"BeforeTime" )</f>
        <v>Late</v>
      </c>
      <c r="AB32" s="3">
        <f>MONTH(Table1[[#This Row],[Order_Date]])</f>
        <v>4</v>
      </c>
    </row>
    <row r="33" spans="1:28" x14ac:dyDescent="0.3">
      <c r="A33" s="3" t="s">
        <v>280</v>
      </c>
      <c r="B33" s="3" t="s">
        <v>281</v>
      </c>
      <c r="C33" s="3" t="s">
        <v>282</v>
      </c>
      <c r="D33" s="3" t="str">
        <f>_xlfn.CONCAT(Table1[[#This Row],[First_Name]],Table1[[#This Row],[Last_Name]])</f>
        <v>TeresaHarvey</v>
      </c>
      <c r="E33" s="3">
        <v>64</v>
      </c>
      <c r="F33" s="3" t="s">
        <v>52</v>
      </c>
      <c r="G33" s="3" t="s">
        <v>30</v>
      </c>
      <c r="H33" s="3" t="s">
        <v>283</v>
      </c>
      <c r="I33" s="3" t="s">
        <v>284</v>
      </c>
      <c r="J33" s="3" t="s">
        <v>285</v>
      </c>
      <c r="K33" s="4">
        <v>45039</v>
      </c>
      <c r="L33" s="3" t="s">
        <v>286</v>
      </c>
      <c r="M33" s="3" t="s">
        <v>287</v>
      </c>
      <c r="N33" s="3">
        <v>157.63999999999999</v>
      </c>
      <c r="O33" s="3">
        <v>4</v>
      </c>
      <c r="P33" s="3" t="s">
        <v>85</v>
      </c>
      <c r="Q33" s="3">
        <v>7</v>
      </c>
      <c r="R33" s="3">
        <v>59</v>
      </c>
      <c r="S33" s="4">
        <v>45046</v>
      </c>
      <c r="T33" s="3" t="s">
        <v>288</v>
      </c>
      <c r="U33" s="5">
        <f>Table1[[#This Row],[Delivery_Date]]-Table1[[#This Row],[Order_Date]]</f>
        <v>7</v>
      </c>
      <c r="V33" s="5">
        <f>Table1[[#This Row],[Price]]*Table1[[#This Row],[Quantity]]</f>
        <v>630.55999999999995</v>
      </c>
      <c r="W33" s="6" cm="1">
        <f t="array" ref="W33">_xlfn.IFS(
P33="FLAT8",8%,
P33="FLAT10",10%,
P33="FLAT15",15%,P33="FLAT20",20%,P33="DEL0",0%,
TRUE,0%
)</f>
        <v>0.2</v>
      </c>
      <c r="X33" s="5">
        <f>Table1[[#This Row],[Amount]]-(Table1[[#This Row],[Amount]]*Table1[[#This Row],[Discount_Percentage]])</f>
        <v>504.44799999999998</v>
      </c>
      <c r="Y33" s="5">
        <f>IF(P33="DEL0",Table1[[#This Row],[Discount_Amount]],Table1[[#This Row],[Discount_Amount]]+Table1[[#This Row],[Delivery_Charge]])</f>
        <v>563.44799999999998</v>
      </c>
      <c r="Z33" s="7" t="str">
        <f>_xlfn.CONCAT(Table1[[#This Row],[First_Name]],"  ",Table1[[#This Row],[Last_Name]])</f>
        <v>Teresa  Harvey</v>
      </c>
      <c r="AA33" s="5" t="str" cm="1">
        <f t="array" ref="AA33">_xlfn.IFS( (S33-K33)&gt;Q33,"Late", (S33-K33)=Q33,"InTime", (S33-K33)&lt;Q33,"BeforeTime" )</f>
        <v>InTime</v>
      </c>
      <c r="AB33" s="3">
        <f>MONTH(Table1[[#This Row],[Order_Date]])</f>
        <v>4</v>
      </c>
    </row>
    <row r="34" spans="1:28" x14ac:dyDescent="0.3">
      <c r="A34" s="3" t="s">
        <v>272</v>
      </c>
      <c r="B34" s="3" t="s">
        <v>273</v>
      </c>
      <c r="C34" s="3" t="s">
        <v>274</v>
      </c>
      <c r="D34" s="3" t="str">
        <f>_xlfn.CONCAT(Table1[[#This Row],[First_Name]],Table1[[#This Row],[Last_Name]])</f>
        <v>LaurenLong</v>
      </c>
      <c r="E34" s="3">
        <v>44</v>
      </c>
      <c r="F34" s="3" t="s">
        <v>29</v>
      </c>
      <c r="G34" s="3" t="s">
        <v>220</v>
      </c>
      <c r="H34" s="3" t="s">
        <v>275</v>
      </c>
      <c r="I34" s="3" t="s">
        <v>276</v>
      </c>
      <c r="J34" s="3" t="s">
        <v>289</v>
      </c>
      <c r="K34" s="4">
        <v>45548</v>
      </c>
      <c r="L34" s="3" t="s">
        <v>290</v>
      </c>
      <c r="M34" s="3" t="s">
        <v>291</v>
      </c>
      <c r="N34" s="3">
        <v>158.53</v>
      </c>
      <c r="O34" s="3">
        <v>5</v>
      </c>
      <c r="P34" s="3" t="s">
        <v>85</v>
      </c>
      <c r="Q34" s="3">
        <v>3</v>
      </c>
      <c r="R34" s="3">
        <v>42</v>
      </c>
      <c r="S34" s="4">
        <v>45553</v>
      </c>
      <c r="T34" s="3" t="s">
        <v>292</v>
      </c>
      <c r="U34" s="5">
        <f>Table1[[#This Row],[Delivery_Date]]-Table1[[#This Row],[Order_Date]]</f>
        <v>5</v>
      </c>
      <c r="V34" s="5">
        <f>Table1[[#This Row],[Price]]*Table1[[#This Row],[Quantity]]</f>
        <v>792.65</v>
      </c>
      <c r="W34" s="6" cm="1">
        <f t="array" ref="W34">_xlfn.IFS(
P34="FLAT8",8%,
P34="FLAT10",10%,
P34="FLAT15",15%,P34="FLAT20",20%,P34="DEL0",0%,
TRUE,0%
)</f>
        <v>0.2</v>
      </c>
      <c r="X34" s="5">
        <f>Table1[[#This Row],[Amount]]-(Table1[[#This Row],[Amount]]*Table1[[#This Row],[Discount_Percentage]])</f>
        <v>634.12</v>
      </c>
      <c r="Y34" s="5">
        <f>IF(P34="DEL0",Table1[[#This Row],[Discount_Amount]],Table1[[#This Row],[Discount_Amount]]+Table1[[#This Row],[Delivery_Charge]])</f>
        <v>676.12</v>
      </c>
      <c r="Z34" s="7" t="str">
        <f>_xlfn.CONCAT(Table1[[#This Row],[First_Name]],"  ",Table1[[#This Row],[Last_Name]])</f>
        <v>Lauren  Long</v>
      </c>
      <c r="AA34" s="5" t="str" cm="1">
        <f t="array" ref="AA34">_xlfn.IFS( (S34-K34)&gt;Q34,"Late", (S34-K34)=Q34,"InTime", (S34-K34)&lt;Q34,"BeforeTime" )</f>
        <v>Late</v>
      </c>
      <c r="AB34" s="3">
        <f>MONTH(Table1[[#This Row],[Order_Date]])</f>
        <v>9</v>
      </c>
    </row>
    <row r="35" spans="1:28" x14ac:dyDescent="0.3">
      <c r="A35" s="3" t="s">
        <v>293</v>
      </c>
      <c r="B35" s="3" t="s">
        <v>294</v>
      </c>
      <c r="C35" s="3" t="s">
        <v>295</v>
      </c>
      <c r="D35" s="3" t="str">
        <f>_xlfn.CONCAT(Table1[[#This Row],[First_Name]],Table1[[#This Row],[Last_Name]])</f>
        <v>HeatherSchneider</v>
      </c>
      <c r="E35" s="3">
        <v>48</v>
      </c>
      <c r="F35" s="3" t="s">
        <v>41</v>
      </c>
      <c r="G35" s="3" t="s">
        <v>90</v>
      </c>
      <c r="H35" s="3" t="s">
        <v>296</v>
      </c>
      <c r="I35" s="3" t="s">
        <v>297</v>
      </c>
      <c r="J35" s="3" t="s">
        <v>298</v>
      </c>
      <c r="K35" s="4">
        <v>45407</v>
      </c>
      <c r="L35" s="3" t="s">
        <v>299</v>
      </c>
      <c r="M35" s="3" t="s">
        <v>270</v>
      </c>
      <c r="N35" s="3">
        <v>62.42</v>
      </c>
      <c r="O35" s="3">
        <v>3</v>
      </c>
      <c r="P35" s="3" t="s">
        <v>36</v>
      </c>
      <c r="Q35" s="3">
        <v>4</v>
      </c>
      <c r="R35" s="3">
        <v>36</v>
      </c>
      <c r="S35" s="4">
        <v>45414</v>
      </c>
      <c r="T35" s="3" t="s">
        <v>300</v>
      </c>
      <c r="U35" s="5">
        <f>Table1[[#This Row],[Delivery_Date]]-Table1[[#This Row],[Order_Date]]</f>
        <v>7</v>
      </c>
      <c r="V35" s="5">
        <f>Table1[[#This Row],[Price]]*Table1[[#This Row],[Quantity]]</f>
        <v>187.26</v>
      </c>
      <c r="W35" s="6" cm="1">
        <f t="array" ref="W35">_xlfn.IFS(
P35="FLAT8",8%,
P35="FLAT10",10%,
P35="FLAT15",15%,P35="FLAT20",20%,P35="DEL0",0%,
TRUE,0%
)</f>
        <v>0.08</v>
      </c>
      <c r="X35" s="5">
        <f>Table1[[#This Row],[Amount]]-(Table1[[#This Row],[Amount]]*Table1[[#This Row],[Discount_Percentage]])</f>
        <v>172.2792</v>
      </c>
      <c r="Y35" s="5">
        <f>IF(P35="DEL0",Table1[[#This Row],[Discount_Amount]],Table1[[#This Row],[Discount_Amount]]+Table1[[#This Row],[Delivery_Charge]])</f>
        <v>208.2792</v>
      </c>
      <c r="Z35" s="7" t="str">
        <f>_xlfn.CONCAT(Table1[[#This Row],[First_Name]],"  ",Table1[[#This Row],[Last_Name]])</f>
        <v>Heather  Schneider</v>
      </c>
      <c r="AA35" s="5" t="str" cm="1">
        <f t="array" ref="AA35">_xlfn.IFS( (S35-K35)&gt;Q35,"Late", (S35-K35)=Q35,"InTime", (S35-K35)&lt;Q35,"BeforeTime" )</f>
        <v>Late</v>
      </c>
      <c r="AB35" s="3">
        <f>MONTH(Table1[[#This Row],[Order_Date]])</f>
        <v>4</v>
      </c>
    </row>
    <row r="36" spans="1:28" x14ac:dyDescent="0.3">
      <c r="A36" s="3" t="s">
        <v>301</v>
      </c>
      <c r="B36" s="3" t="s">
        <v>302</v>
      </c>
      <c r="C36" s="3" t="s">
        <v>303</v>
      </c>
      <c r="D36" s="3" t="str">
        <f>_xlfn.CONCAT(Table1[[#This Row],[First_Name]],Table1[[#This Row],[Last_Name]])</f>
        <v>ValerieCarr</v>
      </c>
      <c r="E36" s="3">
        <v>26</v>
      </c>
      <c r="F36" s="3" t="s">
        <v>52</v>
      </c>
      <c r="G36" s="3" t="s">
        <v>168</v>
      </c>
      <c r="H36" s="3" t="s">
        <v>304</v>
      </c>
      <c r="I36" s="3" t="s">
        <v>305</v>
      </c>
      <c r="J36" s="3" t="s">
        <v>306</v>
      </c>
      <c r="K36" s="4">
        <v>45168</v>
      </c>
      <c r="L36" s="3" t="s">
        <v>307</v>
      </c>
      <c r="M36" s="3" t="s">
        <v>308</v>
      </c>
      <c r="N36" s="3">
        <v>129.75</v>
      </c>
      <c r="O36" s="3">
        <v>1</v>
      </c>
      <c r="P36" s="3" t="s">
        <v>96</v>
      </c>
      <c r="Q36" s="3">
        <v>5</v>
      </c>
      <c r="R36" s="3">
        <v>70</v>
      </c>
      <c r="S36" s="4">
        <v>45172</v>
      </c>
      <c r="T36" s="3" t="s">
        <v>309</v>
      </c>
      <c r="U36" s="5">
        <f>Table1[[#This Row],[Delivery_Date]]-Table1[[#This Row],[Order_Date]]</f>
        <v>4</v>
      </c>
      <c r="V36" s="5">
        <f>Table1[[#This Row],[Price]]*Table1[[#This Row],[Quantity]]</f>
        <v>129.75</v>
      </c>
      <c r="W36" s="6" cm="1">
        <f t="array" ref="W36">_xlfn.IFS(
P36="FLAT8",8%,
P36="FLAT10",10%,
P36="FLAT15",15%,P36="FLAT20",20%,P36="DEL0",0%,
TRUE,0%
)</f>
        <v>0.1</v>
      </c>
      <c r="X36" s="5">
        <f>Table1[[#This Row],[Amount]]-(Table1[[#This Row],[Amount]]*Table1[[#This Row],[Discount_Percentage]])</f>
        <v>116.77500000000001</v>
      </c>
      <c r="Y36" s="5">
        <f>IF(P36="DEL0",Table1[[#This Row],[Discount_Amount]],Table1[[#This Row],[Discount_Amount]]+Table1[[#This Row],[Delivery_Charge]])</f>
        <v>186.77500000000001</v>
      </c>
      <c r="Z36" s="7" t="str">
        <f>_xlfn.CONCAT(Table1[[#This Row],[First_Name]],"  ",Table1[[#This Row],[Last_Name]])</f>
        <v>Valerie  Carr</v>
      </c>
      <c r="AA36" s="5" t="str" cm="1">
        <f t="array" ref="AA36">_xlfn.IFS( (S36-K36)&gt;Q36,"Late", (S36-K36)=Q36,"InTime", (S36-K36)&lt;Q36,"BeforeTime" )</f>
        <v>BeforeTime</v>
      </c>
      <c r="AB36" s="3">
        <f>MONTH(Table1[[#This Row],[Order_Date]])</f>
        <v>8</v>
      </c>
    </row>
    <row r="37" spans="1:28" x14ac:dyDescent="0.3">
      <c r="A37" s="3" t="s">
        <v>236</v>
      </c>
      <c r="B37" s="3" t="s">
        <v>66</v>
      </c>
      <c r="C37" s="3" t="s">
        <v>237</v>
      </c>
      <c r="D37" s="3" t="str">
        <f>_xlfn.CONCAT(Table1[[#This Row],[First_Name]],Table1[[#This Row],[Last_Name]])</f>
        <v>AngelaEvans</v>
      </c>
      <c r="E37" s="3">
        <v>52</v>
      </c>
      <c r="F37" s="3" t="s">
        <v>52</v>
      </c>
      <c r="G37" s="3" t="s">
        <v>42</v>
      </c>
      <c r="H37" s="3" t="s">
        <v>238</v>
      </c>
      <c r="I37" s="3" t="s">
        <v>239</v>
      </c>
      <c r="J37" s="3" t="s">
        <v>310</v>
      </c>
      <c r="K37" s="4">
        <v>45244</v>
      </c>
      <c r="L37" s="3" t="s">
        <v>311</v>
      </c>
      <c r="M37" s="3" t="s">
        <v>287</v>
      </c>
      <c r="N37" s="3">
        <v>157.63999999999999</v>
      </c>
      <c r="O37" s="3">
        <v>5</v>
      </c>
      <c r="P37" s="3" t="s">
        <v>36</v>
      </c>
      <c r="Q37" s="3">
        <v>4</v>
      </c>
      <c r="R37" s="3">
        <v>53</v>
      </c>
      <c r="S37" s="4">
        <v>45246</v>
      </c>
      <c r="T37" s="3" t="s">
        <v>312</v>
      </c>
      <c r="U37" s="5">
        <f>Table1[[#This Row],[Delivery_Date]]-Table1[[#This Row],[Order_Date]]</f>
        <v>2</v>
      </c>
      <c r="V37" s="5">
        <f>Table1[[#This Row],[Price]]*Table1[[#This Row],[Quantity]]</f>
        <v>788.19999999999993</v>
      </c>
      <c r="W37" s="6" cm="1">
        <f t="array" ref="W37">_xlfn.IFS(
P37="FLAT8",8%,
P37="FLAT10",10%,
P37="FLAT15",15%,P37="FLAT20",20%,P37="DEL0",0%,
TRUE,0%
)</f>
        <v>0.08</v>
      </c>
      <c r="X37" s="5">
        <f>Table1[[#This Row],[Amount]]-(Table1[[#This Row],[Amount]]*Table1[[#This Row],[Discount_Percentage]])</f>
        <v>725.14399999999989</v>
      </c>
      <c r="Y37" s="5">
        <f>IF(P37="DEL0",Table1[[#This Row],[Discount_Amount]],Table1[[#This Row],[Discount_Amount]]+Table1[[#This Row],[Delivery_Charge]])</f>
        <v>778.14399999999989</v>
      </c>
      <c r="Z37" s="7" t="str">
        <f>_xlfn.CONCAT(Table1[[#This Row],[First_Name]],"  ",Table1[[#This Row],[Last_Name]])</f>
        <v>Angela  Evans</v>
      </c>
      <c r="AA37" s="5" t="str" cm="1">
        <f t="array" ref="AA37">_xlfn.IFS( (S37-K37)&gt;Q37,"Late", (S37-K37)=Q37,"InTime", (S37-K37)&lt;Q37,"BeforeTime" )</f>
        <v>BeforeTime</v>
      </c>
      <c r="AB37" s="3">
        <f>MONTH(Table1[[#This Row],[Order_Date]])</f>
        <v>11</v>
      </c>
    </row>
    <row r="38" spans="1:28" x14ac:dyDescent="0.3">
      <c r="A38" s="3" t="s">
        <v>65</v>
      </c>
      <c r="B38" s="3" t="s">
        <v>66</v>
      </c>
      <c r="C38" s="3" t="s">
        <v>67</v>
      </c>
      <c r="D38" s="3" t="str">
        <f>_xlfn.CONCAT(Table1[[#This Row],[First_Name]],Table1[[#This Row],[Last_Name]])</f>
        <v>AngelaHorne</v>
      </c>
      <c r="E38" s="3">
        <v>49</v>
      </c>
      <c r="F38" s="3" t="s">
        <v>52</v>
      </c>
      <c r="G38" s="3" t="s">
        <v>30</v>
      </c>
      <c r="H38" s="3" t="s">
        <v>68</v>
      </c>
      <c r="I38" s="3" t="s">
        <v>69</v>
      </c>
      <c r="J38" s="3" t="s">
        <v>313</v>
      </c>
      <c r="K38" s="4">
        <v>45242</v>
      </c>
      <c r="L38" s="3" t="s">
        <v>314</v>
      </c>
      <c r="M38" s="3" t="s">
        <v>199</v>
      </c>
      <c r="N38" s="3">
        <v>20.7</v>
      </c>
      <c r="O38" s="3">
        <v>5</v>
      </c>
      <c r="P38" s="3" t="s">
        <v>63</v>
      </c>
      <c r="Q38" s="3">
        <v>2</v>
      </c>
      <c r="R38" s="3">
        <v>64</v>
      </c>
      <c r="S38" s="4">
        <v>45248</v>
      </c>
      <c r="T38" s="3" t="s">
        <v>315</v>
      </c>
      <c r="U38" s="5">
        <f>Table1[[#This Row],[Delivery_Date]]-Table1[[#This Row],[Order_Date]]</f>
        <v>6</v>
      </c>
      <c r="V38" s="5">
        <f>Table1[[#This Row],[Price]]*Table1[[#This Row],[Quantity]]</f>
        <v>103.5</v>
      </c>
      <c r="W38" s="6" cm="1">
        <f t="array" ref="W38">_xlfn.IFS(
P38="FLAT8",8%,
P38="FLAT10",10%,
P38="FLAT15",15%,P38="FLAT20",20%,P38="DEL0",0%,
TRUE,0%
)</f>
        <v>0</v>
      </c>
      <c r="X38" s="5">
        <f>Table1[[#This Row],[Amount]]-(Table1[[#This Row],[Amount]]*Table1[[#This Row],[Discount_Percentage]])</f>
        <v>103.5</v>
      </c>
      <c r="Y38" s="5">
        <f>IF(P38="DEL0",Table1[[#This Row],[Discount_Amount]],Table1[[#This Row],[Discount_Amount]]+Table1[[#This Row],[Delivery_Charge]])</f>
        <v>103.5</v>
      </c>
      <c r="Z38" s="7" t="str">
        <f>_xlfn.CONCAT(Table1[[#This Row],[First_Name]],"  ",Table1[[#This Row],[Last_Name]])</f>
        <v>Angela  Horne</v>
      </c>
      <c r="AA38" s="5" t="str" cm="1">
        <f t="array" ref="AA38">_xlfn.IFS( (S38-K38)&gt;Q38,"Late", (S38-K38)=Q38,"InTime", (S38-K38)&lt;Q38,"BeforeTime" )</f>
        <v>Late</v>
      </c>
      <c r="AB38" s="3">
        <f>MONTH(Table1[[#This Row],[Order_Date]])</f>
        <v>11</v>
      </c>
    </row>
    <row r="39" spans="1:28" x14ac:dyDescent="0.3">
      <c r="A39" s="3" t="s">
        <v>316</v>
      </c>
      <c r="B39" s="3" t="s">
        <v>317</v>
      </c>
      <c r="C39" s="3" t="s">
        <v>318</v>
      </c>
      <c r="D39" s="3" t="str">
        <f>_xlfn.CONCAT(Table1[[#This Row],[First_Name]],Table1[[#This Row],[Last_Name]])</f>
        <v>JennyEstrada</v>
      </c>
      <c r="E39" s="3">
        <v>45</v>
      </c>
      <c r="F39" s="3" t="s">
        <v>29</v>
      </c>
      <c r="G39" s="3" t="s">
        <v>42</v>
      </c>
      <c r="H39" s="3" t="s">
        <v>319</v>
      </c>
      <c r="I39" s="3" t="s">
        <v>320</v>
      </c>
      <c r="J39" s="3" t="s">
        <v>321</v>
      </c>
      <c r="K39" s="4">
        <v>45193</v>
      </c>
      <c r="L39" s="3" t="s">
        <v>322</v>
      </c>
      <c r="M39" s="3" t="s">
        <v>323</v>
      </c>
      <c r="N39" s="3">
        <v>481.48</v>
      </c>
      <c r="O39" s="3">
        <v>2</v>
      </c>
      <c r="P39" s="3" t="s">
        <v>58</v>
      </c>
      <c r="Q39" s="3">
        <v>3</v>
      </c>
      <c r="R39" s="3">
        <v>50</v>
      </c>
      <c r="S39" s="4">
        <v>45196</v>
      </c>
      <c r="T39" s="3" t="s">
        <v>324</v>
      </c>
      <c r="U39" s="5">
        <f>Table1[[#This Row],[Delivery_Date]]-Table1[[#This Row],[Order_Date]]</f>
        <v>3</v>
      </c>
      <c r="V39" s="5">
        <f>Table1[[#This Row],[Price]]*Table1[[#This Row],[Quantity]]</f>
        <v>962.96</v>
      </c>
      <c r="W39" s="6" cm="1">
        <f t="array" ref="W39">_xlfn.IFS(
P39="FLAT8",8%,
P39="FLAT10",10%,
P39="FLAT15",15%,P39="FLAT20",20%,P39="DEL0",0%,
TRUE,0%
)</f>
        <v>0.15</v>
      </c>
      <c r="X39" s="5">
        <f>Table1[[#This Row],[Amount]]-(Table1[[#This Row],[Amount]]*Table1[[#This Row],[Discount_Percentage]])</f>
        <v>818.51600000000008</v>
      </c>
      <c r="Y39" s="5">
        <f>IF(P39="DEL0",Table1[[#This Row],[Discount_Amount]],Table1[[#This Row],[Discount_Amount]]+Table1[[#This Row],[Delivery_Charge]])</f>
        <v>868.51600000000008</v>
      </c>
      <c r="Z39" s="7" t="str">
        <f>_xlfn.CONCAT(Table1[[#This Row],[First_Name]],"  ",Table1[[#This Row],[Last_Name]])</f>
        <v>Jenny  Estrada</v>
      </c>
      <c r="AA39" s="5" t="str" cm="1">
        <f t="array" ref="AA39">_xlfn.IFS( (S39-K39)&gt;Q39,"Late", (S39-K39)=Q39,"InTime", (S39-K39)&lt;Q39,"BeforeTime" )</f>
        <v>InTime</v>
      </c>
      <c r="AB39" s="3">
        <f>MONTH(Table1[[#This Row],[Order_Date]])</f>
        <v>9</v>
      </c>
    </row>
    <row r="40" spans="1:28" x14ac:dyDescent="0.3">
      <c r="A40" s="3" t="s">
        <v>325</v>
      </c>
      <c r="B40" s="3" t="s">
        <v>326</v>
      </c>
      <c r="C40" s="3" t="s">
        <v>327</v>
      </c>
      <c r="D40" s="3" t="str">
        <f>_xlfn.CONCAT(Table1[[#This Row],[First_Name]],Table1[[#This Row],[Last_Name]])</f>
        <v>CourtneyParker</v>
      </c>
      <c r="E40" s="3">
        <v>29</v>
      </c>
      <c r="F40" s="3" t="s">
        <v>52</v>
      </c>
      <c r="G40" s="3" t="s">
        <v>90</v>
      </c>
      <c r="H40" s="3" t="s">
        <v>328</v>
      </c>
      <c r="I40" s="3" t="s">
        <v>329</v>
      </c>
      <c r="J40" s="3" t="s">
        <v>330</v>
      </c>
      <c r="K40" s="4">
        <v>45656</v>
      </c>
      <c r="L40" s="3" t="s">
        <v>331</v>
      </c>
      <c r="M40" s="3" t="s">
        <v>62</v>
      </c>
      <c r="N40" s="3">
        <v>405</v>
      </c>
      <c r="O40" s="3">
        <v>1</v>
      </c>
      <c r="P40" s="3" t="s">
        <v>63</v>
      </c>
      <c r="Q40" s="3">
        <v>7</v>
      </c>
      <c r="R40" s="3">
        <v>36</v>
      </c>
      <c r="S40" s="4">
        <v>45661</v>
      </c>
      <c r="T40" s="3" t="s">
        <v>332</v>
      </c>
      <c r="U40" s="5">
        <f>Table1[[#This Row],[Delivery_Date]]-Table1[[#This Row],[Order_Date]]</f>
        <v>5</v>
      </c>
      <c r="V40" s="5">
        <f>Table1[[#This Row],[Price]]*Table1[[#This Row],[Quantity]]</f>
        <v>405</v>
      </c>
      <c r="W40" s="6" cm="1">
        <f t="array" ref="W40">_xlfn.IFS(
P40="FLAT8",8%,
P40="FLAT10",10%,
P40="FLAT15",15%,P40="FLAT20",20%,P40="DEL0",0%,
TRUE,0%
)</f>
        <v>0</v>
      </c>
      <c r="X40" s="5">
        <f>Table1[[#This Row],[Amount]]-(Table1[[#This Row],[Amount]]*Table1[[#This Row],[Discount_Percentage]])</f>
        <v>405</v>
      </c>
      <c r="Y40" s="5">
        <f>IF(P40="DEL0",Table1[[#This Row],[Discount_Amount]],Table1[[#This Row],[Discount_Amount]]+Table1[[#This Row],[Delivery_Charge]])</f>
        <v>405</v>
      </c>
      <c r="Z40" s="7" t="str">
        <f>_xlfn.CONCAT(Table1[[#This Row],[First_Name]],"  ",Table1[[#This Row],[Last_Name]])</f>
        <v>Courtney  Parker</v>
      </c>
      <c r="AA40" s="5" t="str" cm="1">
        <f t="array" ref="AA40">_xlfn.IFS( (S40-K40)&gt;Q40,"Late", (S40-K40)=Q40,"InTime", (S40-K40)&lt;Q40,"BeforeTime" )</f>
        <v>BeforeTime</v>
      </c>
      <c r="AB40" s="3">
        <f>MONTH(Table1[[#This Row],[Order_Date]])</f>
        <v>12</v>
      </c>
    </row>
    <row r="41" spans="1:28" x14ac:dyDescent="0.3">
      <c r="A41" s="3" t="s">
        <v>333</v>
      </c>
      <c r="B41" s="3" t="s">
        <v>334</v>
      </c>
      <c r="C41" s="3" t="s">
        <v>335</v>
      </c>
      <c r="D41" s="3" t="str">
        <f>_xlfn.CONCAT(Table1[[#This Row],[First_Name]],Table1[[#This Row],[Last_Name]])</f>
        <v>JulieMeyer</v>
      </c>
      <c r="E41" s="3">
        <v>23</v>
      </c>
      <c r="F41" s="3" t="s">
        <v>29</v>
      </c>
      <c r="G41" s="3" t="s">
        <v>30</v>
      </c>
      <c r="H41" s="3" t="s">
        <v>336</v>
      </c>
      <c r="I41" s="3" t="s">
        <v>337</v>
      </c>
      <c r="J41" s="3" t="s">
        <v>338</v>
      </c>
      <c r="K41" s="4">
        <v>45574</v>
      </c>
      <c r="L41" s="3" t="s">
        <v>339</v>
      </c>
      <c r="M41" s="3" t="s">
        <v>340</v>
      </c>
      <c r="N41" s="3">
        <v>77.84</v>
      </c>
      <c r="O41" s="3">
        <v>5</v>
      </c>
      <c r="P41" s="3" t="s">
        <v>63</v>
      </c>
      <c r="Q41" s="3">
        <v>4</v>
      </c>
      <c r="R41" s="3">
        <v>47</v>
      </c>
      <c r="S41" s="4">
        <v>45575</v>
      </c>
      <c r="T41" s="3" t="s">
        <v>341</v>
      </c>
      <c r="U41" s="5">
        <f>Table1[[#This Row],[Delivery_Date]]-Table1[[#This Row],[Order_Date]]</f>
        <v>1</v>
      </c>
      <c r="V41" s="5">
        <f>Table1[[#This Row],[Price]]*Table1[[#This Row],[Quantity]]</f>
        <v>389.20000000000005</v>
      </c>
      <c r="W41" s="6" cm="1">
        <f t="array" ref="W41">_xlfn.IFS(
P41="FLAT8",8%,
P41="FLAT10",10%,
P41="FLAT15",15%,P41="FLAT20",20%,P41="DEL0",0%,
TRUE,0%
)</f>
        <v>0</v>
      </c>
      <c r="X41" s="5">
        <f>Table1[[#This Row],[Amount]]-(Table1[[#This Row],[Amount]]*Table1[[#This Row],[Discount_Percentage]])</f>
        <v>389.20000000000005</v>
      </c>
      <c r="Y41" s="5">
        <f>IF(P41="DEL0",Table1[[#This Row],[Discount_Amount]],Table1[[#This Row],[Discount_Amount]]+Table1[[#This Row],[Delivery_Charge]])</f>
        <v>389.20000000000005</v>
      </c>
      <c r="Z41" s="7" t="str">
        <f>_xlfn.CONCAT(Table1[[#This Row],[First_Name]],"  ",Table1[[#This Row],[Last_Name]])</f>
        <v>Julie  Meyer</v>
      </c>
      <c r="AA41" s="5" t="str" cm="1">
        <f t="array" ref="AA41">_xlfn.IFS( (S41-K41)&gt;Q41,"Late", (S41-K41)=Q41,"InTime", (S41-K41)&lt;Q41,"BeforeTime" )</f>
        <v>BeforeTime</v>
      </c>
      <c r="AB41" s="3">
        <f>MONTH(Table1[[#This Row],[Order_Date]])</f>
        <v>10</v>
      </c>
    </row>
    <row r="42" spans="1:28" x14ac:dyDescent="0.3">
      <c r="A42" s="3" t="s">
        <v>65</v>
      </c>
      <c r="B42" s="3" t="s">
        <v>66</v>
      </c>
      <c r="C42" s="3" t="s">
        <v>67</v>
      </c>
      <c r="D42" s="3" t="str">
        <f>_xlfn.CONCAT(Table1[[#This Row],[First_Name]],Table1[[#This Row],[Last_Name]])</f>
        <v>AngelaHorne</v>
      </c>
      <c r="E42" s="3">
        <v>49</v>
      </c>
      <c r="F42" s="3" t="s">
        <v>52</v>
      </c>
      <c r="G42" s="3" t="s">
        <v>30</v>
      </c>
      <c r="H42" s="3" t="s">
        <v>68</v>
      </c>
      <c r="I42" s="3" t="s">
        <v>69</v>
      </c>
      <c r="J42" s="3" t="s">
        <v>342</v>
      </c>
      <c r="K42" s="4">
        <v>45557</v>
      </c>
      <c r="L42" s="3" t="s">
        <v>343</v>
      </c>
      <c r="M42" s="3" t="s">
        <v>344</v>
      </c>
      <c r="N42" s="3">
        <v>372.62</v>
      </c>
      <c r="O42" s="3">
        <v>3</v>
      </c>
      <c r="P42" s="3" t="s">
        <v>36</v>
      </c>
      <c r="Q42" s="3">
        <v>3</v>
      </c>
      <c r="R42" s="3">
        <v>59</v>
      </c>
      <c r="S42" s="4">
        <v>45564</v>
      </c>
      <c r="T42" s="3" t="s">
        <v>345</v>
      </c>
      <c r="U42" s="5">
        <f>Table1[[#This Row],[Delivery_Date]]-Table1[[#This Row],[Order_Date]]</f>
        <v>7</v>
      </c>
      <c r="V42" s="5">
        <f>Table1[[#This Row],[Price]]*Table1[[#This Row],[Quantity]]</f>
        <v>1117.8600000000001</v>
      </c>
      <c r="W42" s="6" cm="1">
        <f t="array" ref="W42">_xlfn.IFS(
P42="FLAT8",8%,
P42="FLAT10",10%,
P42="FLAT15",15%,P42="FLAT20",20%,P42="DEL0",0%,
TRUE,0%
)</f>
        <v>0.08</v>
      </c>
      <c r="X42" s="5">
        <f>Table1[[#This Row],[Amount]]-(Table1[[#This Row],[Amount]]*Table1[[#This Row],[Discount_Percentage]])</f>
        <v>1028.4312000000002</v>
      </c>
      <c r="Y42" s="5">
        <f>IF(P42="DEL0",Table1[[#This Row],[Discount_Amount]],Table1[[#This Row],[Discount_Amount]]+Table1[[#This Row],[Delivery_Charge]])</f>
        <v>1087.4312000000002</v>
      </c>
      <c r="Z42" s="7" t="str">
        <f>_xlfn.CONCAT(Table1[[#This Row],[First_Name]],"  ",Table1[[#This Row],[Last_Name]])</f>
        <v>Angela  Horne</v>
      </c>
      <c r="AA42" s="5" t="str" cm="1">
        <f t="array" ref="AA42">_xlfn.IFS( (S42-K42)&gt;Q42,"Late", (S42-K42)=Q42,"InTime", (S42-K42)&lt;Q42,"BeforeTime" )</f>
        <v>Late</v>
      </c>
      <c r="AB42" s="3">
        <f>MONTH(Table1[[#This Row],[Order_Date]])</f>
        <v>9</v>
      </c>
    </row>
    <row r="43" spans="1:28" x14ac:dyDescent="0.3">
      <c r="A43" s="3" t="s">
        <v>147</v>
      </c>
      <c r="B43" s="3" t="s">
        <v>148</v>
      </c>
      <c r="C43" s="3" t="s">
        <v>149</v>
      </c>
      <c r="D43" s="3" t="str">
        <f>_xlfn.CONCAT(Table1[[#This Row],[First_Name]],Table1[[#This Row],[Last_Name]])</f>
        <v>AmyReid</v>
      </c>
      <c r="E43" s="3">
        <v>44</v>
      </c>
      <c r="F43" s="3" t="s">
        <v>41</v>
      </c>
      <c r="G43" s="3" t="s">
        <v>90</v>
      </c>
      <c r="H43" s="3" t="s">
        <v>150</v>
      </c>
      <c r="I43" s="3" t="s">
        <v>151</v>
      </c>
      <c r="J43" s="3" t="s">
        <v>346</v>
      </c>
      <c r="K43" s="4">
        <v>45568</v>
      </c>
      <c r="L43" s="3" t="s">
        <v>347</v>
      </c>
      <c r="M43" s="3" t="s">
        <v>344</v>
      </c>
      <c r="N43" s="3">
        <v>372.62</v>
      </c>
      <c r="O43" s="3">
        <v>3</v>
      </c>
      <c r="P43" s="3" t="s">
        <v>36</v>
      </c>
      <c r="Q43" s="3">
        <v>1</v>
      </c>
      <c r="R43" s="3">
        <v>52</v>
      </c>
      <c r="S43" s="4">
        <v>45575</v>
      </c>
      <c r="T43" s="3" t="s">
        <v>348</v>
      </c>
      <c r="U43" s="5">
        <f>Table1[[#This Row],[Delivery_Date]]-Table1[[#This Row],[Order_Date]]</f>
        <v>7</v>
      </c>
      <c r="V43" s="5">
        <f>Table1[[#This Row],[Price]]*Table1[[#This Row],[Quantity]]</f>
        <v>1117.8600000000001</v>
      </c>
      <c r="W43" s="6" cm="1">
        <f t="array" ref="W43">_xlfn.IFS(
P43="FLAT8",8%,
P43="FLAT10",10%,
P43="FLAT15",15%,P43="FLAT20",20%,P43="DEL0",0%,
TRUE,0%
)</f>
        <v>0.08</v>
      </c>
      <c r="X43" s="5">
        <f>Table1[[#This Row],[Amount]]-(Table1[[#This Row],[Amount]]*Table1[[#This Row],[Discount_Percentage]])</f>
        <v>1028.4312000000002</v>
      </c>
      <c r="Y43" s="5">
        <f>IF(P43="DEL0",Table1[[#This Row],[Discount_Amount]],Table1[[#This Row],[Discount_Amount]]+Table1[[#This Row],[Delivery_Charge]])</f>
        <v>1080.4312000000002</v>
      </c>
      <c r="Z43" s="7" t="str">
        <f>_xlfn.CONCAT(Table1[[#This Row],[First_Name]],"  ",Table1[[#This Row],[Last_Name]])</f>
        <v>Amy  Reid</v>
      </c>
      <c r="AA43" s="5" t="str" cm="1">
        <f t="array" ref="AA43">_xlfn.IFS( (S43-K43)&gt;Q43,"Late", (S43-K43)=Q43,"InTime", (S43-K43)&lt;Q43,"BeforeTime" )</f>
        <v>Late</v>
      </c>
      <c r="AB43" s="3">
        <f>MONTH(Table1[[#This Row],[Order_Date]])</f>
        <v>10</v>
      </c>
    </row>
    <row r="44" spans="1:28" x14ac:dyDescent="0.3">
      <c r="A44" s="3" t="s">
        <v>349</v>
      </c>
      <c r="B44" s="3" t="s">
        <v>350</v>
      </c>
      <c r="C44" s="3" t="s">
        <v>351</v>
      </c>
      <c r="D44" s="3" t="str">
        <f>_xlfn.CONCAT(Table1[[#This Row],[First_Name]],Table1[[#This Row],[Last_Name]])</f>
        <v>DonnaOneill</v>
      </c>
      <c r="E44" s="3">
        <v>70</v>
      </c>
      <c r="F44" s="3" t="s">
        <v>29</v>
      </c>
      <c r="G44" s="3" t="s">
        <v>168</v>
      </c>
      <c r="H44" s="3" t="s">
        <v>352</v>
      </c>
      <c r="I44" s="3" t="s">
        <v>353</v>
      </c>
      <c r="J44" s="3" t="s">
        <v>354</v>
      </c>
      <c r="K44" s="4">
        <v>45151</v>
      </c>
      <c r="L44" s="3" t="s">
        <v>355</v>
      </c>
      <c r="M44" s="3" t="s">
        <v>356</v>
      </c>
      <c r="N44" s="3">
        <v>496.59</v>
      </c>
      <c r="O44" s="3">
        <v>3</v>
      </c>
      <c r="P44" s="3" t="s">
        <v>58</v>
      </c>
      <c r="Q44" s="3">
        <v>4</v>
      </c>
      <c r="R44" s="3">
        <v>49</v>
      </c>
      <c r="S44" s="4">
        <v>45152</v>
      </c>
      <c r="T44" s="3" t="s">
        <v>357</v>
      </c>
      <c r="U44" s="5">
        <f>Table1[[#This Row],[Delivery_Date]]-Table1[[#This Row],[Order_Date]]</f>
        <v>1</v>
      </c>
      <c r="V44" s="5">
        <f>Table1[[#This Row],[Price]]*Table1[[#This Row],[Quantity]]</f>
        <v>1489.77</v>
      </c>
      <c r="W44" s="6" cm="1">
        <f t="array" ref="W44">_xlfn.IFS(
P44="FLAT8",8%,
P44="FLAT10",10%,
P44="FLAT15",15%,P44="FLAT20",20%,P44="DEL0",0%,
TRUE,0%
)</f>
        <v>0.15</v>
      </c>
      <c r="X44" s="5">
        <f>Table1[[#This Row],[Amount]]-(Table1[[#This Row],[Amount]]*Table1[[#This Row],[Discount_Percentage]])</f>
        <v>1266.3045</v>
      </c>
      <c r="Y44" s="5">
        <f>IF(P44="DEL0",Table1[[#This Row],[Discount_Amount]],Table1[[#This Row],[Discount_Amount]]+Table1[[#This Row],[Delivery_Charge]])</f>
        <v>1315.3045</v>
      </c>
      <c r="Z44" s="7" t="str">
        <f>_xlfn.CONCAT(Table1[[#This Row],[First_Name]],"  ",Table1[[#This Row],[Last_Name]])</f>
        <v>Donna  Oneill</v>
      </c>
      <c r="AA44" s="5" t="str" cm="1">
        <f t="array" ref="AA44">_xlfn.IFS( (S44-K44)&gt;Q44,"Late", (S44-K44)=Q44,"InTime", (S44-K44)&lt;Q44,"BeforeTime" )</f>
        <v>BeforeTime</v>
      </c>
      <c r="AB44" s="3">
        <f>MONTH(Table1[[#This Row],[Order_Date]])</f>
        <v>8</v>
      </c>
    </row>
    <row r="45" spans="1:28" x14ac:dyDescent="0.3">
      <c r="A45" s="3" t="s">
        <v>358</v>
      </c>
      <c r="B45" s="3" t="s">
        <v>359</v>
      </c>
      <c r="C45" s="3" t="s">
        <v>360</v>
      </c>
      <c r="D45" s="3" t="str">
        <f>_xlfn.CONCAT(Table1[[#This Row],[First_Name]],Table1[[#This Row],[Last_Name]])</f>
        <v>RobertCastillo</v>
      </c>
      <c r="E45" s="3">
        <v>32</v>
      </c>
      <c r="F45" s="3" t="s">
        <v>41</v>
      </c>
      <c r="G45" s="3" t="s">
        <v>168</v>
      </c>
      <c r="H45" s="3" t="s">
        <v>361</v>
      </c>
      <c r="I45" s="3" t="s">
        <v>362</v>
      </c>
      <c r="J45" s="3" t="s">
        <v>363</v>
      </c>
      <c r="K45" s="4">
        <v>45020</v>
      </c>
      <c r="L45" s="3" t="s">
        <v>364</v>
      </c>
      <c r="M45" s="3" t="s">
        <v>308</v>
      </c>
      <c r="N45" s="3">
        <v>129.75</v>
      </c>
      <c r="O45" s="3">
        <v>1</v>
      </c>
      <c r="P45" s="3" t="s">
        <v>96</v>
      </c>
      <c r="Q45" s="3">
        <v>6</v>
      </c>
      <c r="R45" s="3">
        <v>43</v>
      </c>
      <c r="S45" s="4">
        <v>45026</v>
      </c>
      <c r="T45" s="3" t="s">
        <v>365</v>
      </c>
      <c r="U45" s="5">
        <f>Table1[[#This Row],[Delivery_Date]]-Table1[[#This Row],[Order_Date]]</f>
        <v>6</v>
      </c>
      <c r="V45" s="5">
        <f>Table1[[#This Row],[Price]]*Table1[[#This Row],[Quantity]]</f>
        <v>129.75</v>
      </c>
      <c r="W45" s="6" cm="1">
        <f t="array" ref="W45">_xlfn.IFS(
P45="FLAT8",8%,
P45="FLAT10",10%,
P45="FLAT15",15%,P45="FLAT20",20%,P45="DEL0",0%,
TRUE,0%
)</f>
        <v>0.1</v>
      </c>
      <c r="X45" s="5">
        <f>Table1[[#This Row],[Amount]]-(Table1[[#This Row],[Amount]]*Table1[[#This Row],[Discount_Percentage]])</f>
        <v>116.77500000000001</v>
      </c>
      <c r="Y45" s="5">
        <f>IF(P45="DEL0",Table1[[#This Row],[Discount_Amount]],Table1[[#This Row],[Discount_Amount]]+Table1[[#This Row],[Delivery_Charge]])</f>
        <v>159.77500000000001</v>
      </c>
      <c r="Z45" s="7" t="str">
        <f>_xlfn.CONCAT(Table1[[#This Row],[First_Name]],"  ",Table1[[#This Row],[Last_Name]])</f>
        <v>Robert  Castillo</v>
      </c>
      <c r="AA45" s="5" t="str" cm="1">
        <f t="array" ref="AA45">_xlfn.IFS( (S45-K45)&gt;Q45,"Late", (S45-K45)=Q45,"InTime", (S45-K45)&lt;Q45,"BeforeTime" )</f>
        <v>InTime</v>
      </c>
      <c r="AB45" s="3">
        <f>MONTH(Table1[[#This Row],[Order_Date]])</f>
        <v>4</v>
      </c>
    </row>
    <row r="46" spans="1:28" x14ac:dyDescent="0.3">
      <c r="A46" s="3" t="s">
        <v>366</v>
      </c>
      <c r="B46" s="3" t="s">
        <v>367</v>
      </c>
      <c r="C46" s="3" t="s">
        <v>368</v>
      </c>
      <c r="D46" s="3" t="str">
        <f>_xlfn.CONCAT(Table1[[#This Row],[First_Name]],Table1[[#This Row],[Last_Name]])</f>
        <v>TimothyHicks</v>
      </c>
      <c r="E46" s="3">
        <v>31</v>
      </c>
      <c r="F46" s="3" t="s">
        <v>52</v>
      </c>
      <c r="G46" s="3" t="s">
        <v>140</v>
      </c>
      <c r="H46" s="3" t="s">
        <v>369</v>
      </c>
      <c r="I46" s="3" t="s">
        <v>370</v>
      </c>
      <c r="J46" s="3" t="s">
        <v>371</v>
      </c>
      <c r="K46" s="4">
        <v>45336</v>
      </c>
      <c r="L46" s="3" t="s">
        <v>372</v>
      </c>
      <c r="M46" s="3" t="s">
        <v>145</v>
      </c>
      <c r="N46" s="3">
        <v>190.1</v>
      </c>
      <c r="O46" s="3">
        <v>5</v>
      </c>
      <c r="P46" s="3" t="s">
        <v>36</v>
      </c>
      <c r="Q46" s="3">
        <v>5</v>
      </c>
      <c r="R46" s="3">
        <v>35</v>
      </c>
      <c r="S46" s="4">
        <v>45341</v>
      </c>
      <c r="T46" s="3" t="s">
        <v>373</v>
      </c>
      <c r="U46" s="5">
        <f>Table1[[#This Row],[Delivery_Date]]-Table1[[#This Row],[Order_Date]]</f>
        <v>5</v>
      </c>
      <c r="V46" s="5">
        <f>Table1[[#This Row],[Price]]*Table1[[#This Row],[Quantity]]</f>
        <v>950.5</v>
      </c>
      <c r="W46" s="6" cm="1">
        <f t="array" ref="W46">_xlfn.IFS(
P46="FLAT8",8%,
P46="FLAT10",10%,
P46="FLAT15",15%,P46="FLAT20",20%,P46="DEL0",0%,
TRUE,0%
)</f>
        <v>0.08</v>
      </c>
      <c r="X46" s="5">
        <f>Table1[[#This Row],[Amount]]-(Table1[[#This Row],[Amount]]*Table1[[#This Row],[Discount_Percentage]])</f>
        <v>874.46</v>
      </c>
      <c r="Y46" s="5">
        <f>IF(P46="DEL0",Table1[[#This Row],[Discount_Amount]],Table1[[#This Row],[Discount_Amount]]+Table1[[#This Row],[Delivery_Charge]])</f>
        <v>909.46</v>
      </c>
      <c r="Z46" s="7" t="str">
        <f>_xlfn.CONCAT(Table1[[#This Row],[First_Name]],"  ",Table1[[#This Row],[Last_Name]])</f>
        <v>Timothy  Hicks</v>
      </c>
      <c r="AA46" s="5" t="str" cm="1">
        <f t="array" ref="AA46">_xlfn.IFS( (S46-K46)&gt;Q46,"Late", (S46-K46)=Q46,"InTime", (S46-K46)&lt;Q46,"BeforeTime" )</f>
        <v>InTime</v>
      </c>
      <c r="AB46" s="3">
        <f>MONTH(Table1[[#This Row],[Order_Date]])</f>
        <v>2</v>
      </c>
    </row>
    <row r="47" spans="1:28" x14ac:dyDescent="0.3">
      <c r="A47" s="3" t="s">
        <v>374</v>
      </c>
      <c r="B47" s="3" t="s">
        <v>40</v>
      </c>
      <c r="C47" s="3" t="s">
        <v>375</v>
      </c>
      <c r="D47" s="3" t="str">
        <f>_xlfn.CONCAT(Table1[[#This Row],[First_Name]],Table1[[#This Row],[Last_Name]])</f>
        <v>ThomasAndersen</v>
      </c>
      <c r="E47" s="3">
        <v>50</v>
      </c>
      <c r="F47" s="3" t="s">
        <v>52</v>
      </c>
      <c r="G47" s="3" t="s">
        <v>140</v>
      </c>
      <c r="H47" s="3" t="s">
        <v>376</v>
      </c>
      <c r="I47" s="3" t="s">
        <v>377</v>
      </c>
      <c r="J47" s="3" t="s">
        <v>378</v>
      </c>
      <c r="K47" s="4">
        <v>44987</v>
      </c>
      <c r="L47" s="3" t="s">
        <v>379</v>
      </c>
      <c r="M47" s="3" t="s">
        <v>145</v>
      </c>
      <c r="N47" s="3">
        <v>190.1</v>
      </c>
      <c r="O47" s="3">
        <v>1</v>
      </c>
      <c r="P47" s="3" t="s">
        <v>85</v>
      </c>
      <c r="Q47" s="3">
        <v>4</v>
      </c>
      <c r="R47" s="3">
        <v>63</v>
      </c>
      <c r="S47" s="4">
        <v>44992</v>
      </c>
      <c r="T47" s="3" t="s">
        <v>380</v>
      </c>
      <c r="U47" s="5">
        <f>Table1[[#This Row],[Delivery_Date]]-Table1[[#This Row],[Order_Date]]</f>
        <v>5</v>
      </c>
      <c r="V47" s="5">
        <f>Table1[[#This Row],[Price]]*Table1[[#This Row],[Quantity]]</f>
        <v>190.1</v>
      </c>
      <c r="W47" s="6" cm="1">
        <f t="array" ref="W47">_xlfn.IFS(
P47="FLAT8",8%,
P47="FLAT10",10%,
P47="FLAT15",15%,P47="FLAT20",20%,P47="DEL0",0%,
TRUE,0%
)</f>
        <v>0.2</v>
      </c>
      <c r="X47" s="5">
        <f>Table1[[#This Row],[Amount]]-(Table1[[#This Row],[Amount]]*Table1[[#This Row],[Discount_Percentage]])</f>
        <v>152.07999999999998</v>
      </c>
      <c r="Y47" s="5">
        <f>IF(P47="DEL0",Table1[[#This Row],[Discount_Amount]],Table1[[#This Row],[Discount_Amount]]+Table1[[#This Row],[Delivery_Charge]])</f>
        <v>215.07999999999998</v>
      </c>
      <c r="Z47" s="7" t="str">
        <f>_xlfn.CONCAT(Table1[[#This Row],[First_Name]],"  ",Table1[[#This Row],[Last_Name]])</f>
        <v>Thomas  Andersen</v>
      </c>
      <c r="AA47" s="5" t="str" cm="1">
        <f t="array" ref="AA47">_xlfn.IFS( (S47-K47)&gt;Q47,"Late", (S47-K47)=Q47,"InTime", (S47-K47)&lt;Q47,"BeforeTime" )</f>
        <v>Late</v>
      </c>
      <c r="AB47" s="3">
        <f>MONTH(Table1[[#This Row],[Order_Date]])</f>
        <v>3</v>
      </c>
    </row>
    <row r="48" spans="1:28" x14ac:dyDescent="0.3">
      <c r="A48" s="3" t="s">
        <v>301</v>
      </c>
      <c r="B48" s="3" t="s">
        <v>302</v>
      </c>
      <c r="C48" s="3" t="s">
        <v>303</v>
      </c>
      <c r="D48" s="3" t="str">
        <f>_xlfn.CONCAT(Table1[[#This Row],[First_Name]],Table1[[#This Row],[Last_Name]])</f>
        <v>ValerieCarr</v>
      </c>
      <c r="E48" s="3">
        <v>26</v>
      </c>
      <c r="F48" s="3" t="s">
        <v>52</v>
      </c>
      <c r="G48" s="3" t="s">
        <v>168</v>
      </c>
      <c r="H48" s="3" t="s">
        <v>304</v>
      </c>
      <c r="I48" s="3" t="s">
        <v>305</v>
      </c>
      <c r="J48" s="3" t="s">
        <v>381</v>
      </c>
      <c r="K48" s="4">
        <v>45313</v>
      </c>
      <c r="L48" s="3" t="s">
        <v>382</v>
      </c>
      <c r="M48" s="3" t="s">
        <v>383</v>
      </c>
      <c r="N48" s="3">
        <v>431.44</v>
      </c>
      <c r="O48" s="3">
        <v>5</v>
      </c>
      <c r="P48" s="3" t="s">
        <v>36</v>
      </c>
      <c r="Q48" s="3">
        <v>2</v>
      </c>
      <c r="R48" s="3">
        <v>57</v>
      </c>
      <c r="S48" s="4">
        <v>45318</v>
      </c>
      <c r="T48" s="3" t="s">
        <v>384</v>
      </c>
      <c r="U48" s="5">
        <f>Table1[[#This Row],[Delivery_Date]]-Table1[[#This Row],[Order_Date]]</f>
        <v>5</v>
      </c>
      <c r="V48" s="5">
        <f>Table1[[#This Row],[Price]]*Table1[[#This Row],[Quantity]]</f>
        <v>2157.1999999999998</v>
      </c>
      <c r="W48" s="6" cm="1">
        <f t="array" ref="W48">_xlfn.IFS(
P48="FLAT8",8%,
P48="FLAT10",10%,
P48="FLAT15",15%,P48="FLAT20",20%,P48="DEL0",0%,
TRUE,0%
)</f>
        <v>0.08</v>
      </c>
      <c r="X48" s="5">
        <f>Table1[[#This Row],[Amount]]-(Table1[[#This Row],[Amount]]*Table1[[#This Row],[Discount_Percentage]])</f>
        <v>1984.6239999999998</v>
      </c>
      <c r="Y48" s="5">
        <f>IF(P48="DEL0",Table1[[#This Row],[Discount_Amount]],Table1[[#This Row],[Discount_Amount]]+Table1[[#This Row],[Delivery_Charge]])</f>
        <v>2041.6239999999998</v>
      </c>
      <c r="Z48" s="7" t="str">
        <f>_xlfn.CONCAT(Table1[[#This Row],[First_Name]],"  ",Table1[[#This Row],[Last_Name]])</f>
        <v>Valerie  Carr</v>
      </c>
      <c r="AA48" s="5" t="str" cm="1">
        <f t="array" ref="AA48">_xlfn.IFS( (S48-K48)&gt;Q48,"Late", (S48-K48)=Q48,"InTime", (S48-K48)&lt;Q48,"BeforeTime" )</f>
        <v>Late</v>
      </c>
      <c r="AB48" s="3">
        <f>MONTH(Table1[[#This Row],[Order_Date]])</f>
        <v>1</v>
      </c>
    </row>
    <row r="49" spans="1:28" x14ac:dyDescent="0.3">
      <c r="A49" s="3" t="s">
        <v>385</v>
      </c>
      <c r="B49" s="3" t="s">
        <v>386</v>
      </c>
      <c r="C49" s="3" t="s">
        <v>387</v>
      </c>
      <c r="D49" s="3" t="str">
        <f>_xlfn.CONCAT(Table1[[#This Row],[First_Name]],Table1[[#This Row],[Last_Name]])</f>
        <v>AaronThompson</v>
      </c>
      <c r="E49" s="3">
        <v>47</v>
      </c>
      <c r="F49" s="3" t="s">
        <v>41</v>
      </c>
      <c r="G49" s="3" t="s">
        <v>90</v>
      </c>
      <c r="H49" s="3" t="s">
        <v>388</v>
      </c>
      <c r="I49" s="3" t="s">
        <v>389</v>
      </c>
      <c r="J49" s="3" t="s">
        <v>390</v>
      </c>
      <c r="K49" s="4">
        <v>45054</v>
      </c>
      <c r="L49" s="3" t="s">
        <v>391</v>
      </c>
      <c r="M49" s="3" t="s">
        <v>287</v>
      </c>
      <c r="N49" s="3">
        <v>157.63999999999999</v>
      </c>
      <c r="O49" s="3">
        <v>4</v>
      </c>
      <c r="P49" s="3" t="s">
        <v>36</v>
      </c>
      <c r="Q49" s="3">
        <v>4</v>
      </c>
      <c r="R49" s="3">
        <v>44</v>
      </c>
      <c r="S49" s="4">
        <v>45061</v>
      </c>
      <c r="T49" s="3" t="s">
        <v>392</v>
      </c>
      <c r="U49" s="5">
        <f>Table1[[#This Row],[Delivery_Date]]-Table1[[#This Row],[Order_Date]]</f>
        <v>7</v>
      </c>
      <c r="V49" s="5">
        <f>Table1[[#This Row],[Price]]*Table1[[#This Row],[Quantity]]</f>
        <v>630.55999999999995</v>
      </c>
      <c r="W49" s="6" cm="1">
        <f t="array" ref="W49">_xlfn.IFS(
P49="FLAT8",8%,
P49="FLAT10",10%,
P49="FLAT15",15%,P49="FLAT20",20%,P49="DEL0",0%,
TRUE,0%
)</f>
        <v>0.08</v>
      </c>
      <c r="X49" s="5">
        <f>Table1[[#This Row],[Amount]]-(Table1[[#This Row],[Amount]]*Table1[[#This Row],[Discount_Percentage]])</f>
        <v>580.11519999999996</v>
      </c>
      <c r="Y49" s="5">
        <f>IF(P49="DEL0",Table1[[#This Row],[Discount_Amount]],Table1[[#This Row],[Discount_Amount]]+Table1[[#This Row],[Delivery_Charge]])</f>
        <v>624.11519999999996</v>
      </c>
      <c r="Z49" s="7" t="str">
        <f>_xlfn.CONCAT(Table1[[#This Row],[First_Name]],"  ",Table1[[#This Row],[Last_Name]])</f>
        <v>Aaron  Thompson</v>
      </c>
      <c r="AA49" s="5" t="str" cm="1">
        <f t="array" ref="AA49">_xlfn.IFS( (S49-K49)&gt;Q49,"Late", (S49-K49)=Q49,"InTime", (S49-K49)&lt;Q49,"BeforeTime" )</f>
        <v>Late</v>
      </c>
      <c r="AB49" s="3">
        <f>MONTH(Table1[[#This Row],[Order_Date]])</f>
        <v>5</v>
      </c>
    </row>
    <row r="50" spans="1:28" x14ac:dyDescent="0.3">
      <c r="A50" s="3" t="s">
        <v>393</v>
      </c>
      <c r="B50" s="3" t="s">
        <v>394</v>
      </c>
      <c r="C50" s="3" t="s">
        <v>395</v>
      </c>
      <c r="D50" s="3" t="str">
        <f>_xlfn.CONCAT(Table1[[#This Row],[First_Name]],Table1[[#This Row],[Last_Name]])</f>
        <v>JasonLopez</v>
      </c>
      <c r="E50" s="3">
        <v>40</v>
      </c>
      <c r="F50" s="3" t="s">
        <v>52</v>
      </c>
      <c r="G50" s="3" t="s">
        <v>168</v>
      </c>
      <c r="H50" s="3" t="s">
        <v>396</v>
      </c>
      <c r="I50" s="3" t="s">
        <v>397</v>
      </c>
      <c r="J50" s="3" t="s">
        <v>398</v>
      </c>
      <c r="K50" s="4">
        <v>45620</v>
      </c>
      <c r="L50" s="3" t="s">
        <v>399</v>
      </c>
      <c r="M50" s="3" t="s">
        <v>47</v>
      </c>
      <c r="N50" s="3">
        <v>166.28</v>
      </c>
      <c r="O50" s="3">
        <v>4</v>
      </c>
      <c r="P50" s="3" t="s">
        <v>63</v>
      </c>
      <c r="Q50" s="3">
        <v>3</v>
      </c>
      <c r="R50" s="3">
        <v>41</v>
      </c>
      <c r="S50" s="4">
        <v>45626</v>
      </c>
      <c r="T50" s="3" t="s">
        <v>400</v>
      </c>
      <c r="U50" s="5">
        <f>Table1[[#This Row],[Delivery_Date]]-Table1[[#This Row],[Order_Date]]</f>
        <v>6</v>
      </c>
      <c r="V50" s="5">
        <f>Table1[[#This Row],[Price]]*Table1[[#This Row],[Quantity]]</f>
        <v>665.12</v>
      </c>
      <c r="W50" s="6" cm="1">
        <f t="array" ref="W50">_xlfn.IFS(
P50="FLAT8",8%,
P50="FLAT10",10%,
P50="FLAT15",15%,P50="FLAT20",20%,P50="DEL0",0%,
TRUE,0%
)</f>
        <v>0</v>
      </c>
      <c r="X50" s="5">
        <f>Table1[[#This Row],[Amount]]-(Table1[[#This Row],[Amount]]*Table1[[#This Row],[Discount_Percentage]])</f>
        <v>665.12</v>
      </c>
      <c r="Y50" s="5">
        <f>IF(P50="DEL0",Table1[[#This Row],[Discount_Amount]],Table1[[#This Row],[Discount_Amount]]+Table1[[#This Row],[Delivery_Charge]])</f>
        <v>665.12</v>
      </c>
      <c r="Z50" s="7" t="str">
        <f>_xlfn.CONCAT(Table1[[#This Row],[First_Name]],"  ",Table1[[#This Row],[Last_Name]])</f>
        <v>Jason  Lopez</v>
      </c>
      <c r="AA50" s="5" t="str" cm="1">
        <f t="array" ref="AA50">_xlfn.IFS( (S50-K50)&gt;Q50,"Late", (S50-K50)=Q50,"InTime", (S50-K50)&lt;Q50,"BeforeTime" )</f>
        <v>Late</v>
      </c>
      <c r="AB50" s="3">
        <f>MONTH(Table1[[#This Row],[Order_Date]])</f>
        <v>11</v>
      </c>
    </row>
    <row r="51" spans="1:28" x14ac:dyDescent="0.3">
      <c r="A51" s="3" t="s">
        <v>401</v>
      </c>
      <c r="B51" s="3" t="s">
        <v>402</v>
      </c>
      <c r="C51" s="3" t="s">
        <v>403</v>
      </c>
      <c r="D51" s="3" t="str">
        <f>_xlfn.CONCAT(Table1[[#This Row],[First_Name]],Table1[[#This Row],[Last_Name]])</f>
        <v>AlexandraSmith</v>
      </c>
      <c r="E51" s="3">
        <v>70</v>
      </c>
      <c r="F51" s="3" t="s">
        <v>29</v>
      </c>
      <c r="G51" s="3" t="s">
        <v>30</v>
      </c>
      <c r="H51" s="3" t="s">
        <v>404</v>
      </c>
      <c r="I51" s="3" t="s">
        <v>405</v>
      </c>
      <c r="J51" s="3" t="s">
        <v>406</v>
      </c>
      <c r="K51" s="4">
        <v>45545</v>
      </c>
      <c r="L51" s="3" t="s">
        <v>407</v>
      </c>
      <c r="M51" s="3" t="s">
        <v>199</v>
      </c>
      <c r="N51" s="3">
        <v>20.7</v>
      </c>
      <c r="O51" s="3">
        <v>2</v>
      </c>
      <c r="P51" s="3" t="s">
        <v>96</v>
      </c>
      <c r="Q51" s="3">
        <v>2</v>
      </c>
      <c r="R51" s="3">
        <v>50</v>
      </c>
      <c r="S51" s="4">
        <v>45547</v>
      </c>
      <c r="T51" s="3" t="s">
        <v>408</v>
      </c>
      <c r="U51" s="5">
        <f>Table1[[#This Row],[Delivery_Date]]-Table1[[#This Row],[Order_Date]]</f>
        <v>2</v>
      </c>
      <c r="V51" s="5">
        <f>Table1[[#This Row],[Price]]*Table1[[#This Row],[Quantity]]</f>
        <v>41.4</v>
      </c>
      <c r="W51" s="6" cm="1">
        <f t="array" ref="W51">_xlfn.IFS(
P51="FLAT8",8%,
P51="FLAT10",10%,
P51="FLAT15",15%,P51="FLAT20",20%,P51="DEL0",0%,
TRUE,0%
)</f>
        <v>0.1</v>
      </c>
      <c r="X51" s="5">
        <f>Table1[[#This Row],[Amount]]-(Table1[[#This Row],[Amount]]*Table1[[#This Row],[Discount_Percentage]])</f>
        <v>37.26</v>
      </c>
      <c r="Y51" s="5">
        <f>IF(P51="DEL0",Table1[[#This Row],[Discount_Amount]],Table1[[#This Row],[Discount_Amount]]+Table1[[#This Row],[Delivery_Charge]])</f>
        <v>87.259999999999991</v>
      </c>
      <c r="Z51" s="7" t="str">
        <f>_xlfn.CONCAT(Table1[[#This Row],[First_Name]],"  ",Table1[[#This Row],[Last_Name]])</f>
        <v>Alexandra  Smith</v>
      </c>
      <c r="AA51" s="5" t="str" cm="1">
        <f t="array" ref="AA51">_xlfn.IFS( (S51-K51)&gt;Q51,"Late", (S51-K51)=Q51,"InTime", (S51-K51)&lt;Q51,"BeforeTime" )</f>
        <v>InTime</v>
      </c>
      <c r="AB51" s="3">
        <f>MONTH(Table1[[#This Row],[Order_Date]])</f>
        <v>9</v>
      </c>
    </row>
    <row r="52" spans="1:28" x14ac:dyDescent="0.3">
      <c r="A52" s="3" t="s">
        <v>349</v>
      </c>
      <c r="B52" s="3" t="s">
        <v>350</v>
      </c>
      <c r="C52" s="3" t="s">
        <v>351</v>
      </c>
      <c r="D52" s="3" t="str">
        <f>_xlfn.CONCAT(Table1[[#This Row],[First_Name]],Table1[[#This Row],[Last_Name]])</f>
        <v>DonnaOneill</v>
      </c>
      <c r="E52" s="3">
        <v>70</v>
      </c>
      <c r="F52" s="3" t="s">
        <v>29</v>
      </c>
      <c r="G52" s="3" t="s">
        <v>168</v>
      </c>
      <c r="H52" s="3" t="s">
        <v>352</v>
      </c>
      <c r="I52" s="3" t="s">
        <v>353</v>
      </c>
      <c r="J52" s="3" t="s">
        <v>409</v>
      </c>
      <c r="K52" s="4">
        <v>45224</v>
      </c>
      <c r="L52" s="3" t="s">
        <v>410</v>
      </c>
      <c r="M52" s="3" t="s">
        <v>308</v>
      </c>
      <c r="N52" s="3">
        <v>129.75</v>
      </c>
      <c r="O52" s="3">
        <v>2</v>
      </c>
      <c r="P52" s="3" t="s">
        <v>85</v>
      </c>
      <c r="Q52" s="3">
        <v>5</v>
      </c>
      <c r="R52" s="3">
        <v>42</v>
      </c>
      <c r="S52" s="4">
        <v>45227</v>
      </c>
      <c r="T52" s="3" t="s">
        <v>411</v>
      </c>
      <c r="U52" s="5">
        <f>Table1[[#This Row],[Delivery_Date]]-Table1[[#This Row],[Order_Date]]</f>
        <v>3</v>
      </c>
      <c r="V52" s="5">
        <f>Table1[[#This Row],[Price]]*Table1[[#This Row],[Quantity]]</f>
        <v>259.5</v>
      </c>
      <c r="W52" s="6" cm="1">
        <f t="array" ref="W52">_xlfn.IFS(
P52="FLAT8",8%,
P52="FLAT10",10%,
P52="FLAT15",15%,P52="FLAT20",20%,P52="DEL0",0%,
TRUE,0%
)</f>
        <v>0.2</v>
      </c>
      <c r="X52" s="5">
        <f>Table1[[#This Row],[Amount]]-(Table1[[#This Row],[Amount]]*Table1[[#This Row],[Discount_Percentage]])</f>
        <v>207.6</v>
      </c>
      <c r="Y52" s="5">
        <f>IF(P52="DEL0",Table1[[#This Row],[Discount_Amount]],Table1[[#This Row],[Discount_Amount]]+Table1[[#This Row],[Delivery_Charge]])</f>
        <v>249.6</v>
      </c>
      <c r="Z52" s="7" t="str">
        <f>_xlfn.CONCAT(Table1[[#This Row],[First_Name]],"  ",Table1[[#This Row],[Last_Name]])</f>
        <v>Donna  Oneill</v>
      </c>
      <c r="AA52" s="5" t="str" cm="1">
        <f t="array" ref="AA52">_xlfn.IFS( (S52-K52)&gt;Q52,"Late", (S52-K52)=Q52,"InTime", (S52-K52)&lt;Q52,"BeforeTime" )</f>
        <v>BeforeTime</v>
      </c>
      <c r="AB52" s="3">
        <f>MONTH(Table1[[#This Row],[Order_Date]])</f>
        <v>10</v>
      </c>
    </row>
    <row r="53" spans="1:28" x14ac:dyDescent="0.3">
      <c r="A53" s="3" t="s">
        <v>412</v>
      </c>
      <c r="B53" s="3" t="s">
        <v>228</v>
      </c>
      <c r="C53" s="3" t="s">
        <v>413</v>
      </c>
      <c r="D53" s="3" t="str">
        <f>_xlfn.CONCAT(Table1[[#This Row],[First_Name]],Table1[[#This Row],[Last_Name]])</f>
        <v>JohnRamirez</v>
      </c>
      <c r="E53" s="3">
        <v>28</v>
      </c>
      <c r="F53" s="3" t="s">
        <v>52</v>
      </c>
      <c r="G53" s="3" t="s">
        <v>140</v>
      </c>
      <c r="H53" s="3" t="s">
        <v>414</v>
      </c>
      <c r="I53" s="3" t="s">
        <v>415</v>
      </c>
      <c r="J53" s="3" t="s">
        <v>416</v>
      </c>
      <c r="K53" s="4">
        <v>45365</v>
      </c>
      <c r="L53" s="3" t="s">
        <v>417</v>
      </c>
      <c r="M53" s="3" t="s">
        <v>418</v>
      </c>
      <c r="N53" s="3">
        <v>44.5</v>
      </c>
      <c r="O53" s="3">
        <v>4</v>
      </c>
      <c r="P53" s="3" t="s">
        <v>36</v>
      </c>
      <c r="Q53" s="3">
        <v>2</v>
      </c>
      <c r="R53" s="3">
        <v>40</v>
      </c>
      <c r="S53" s="4">
        <v>45368</v>
      </c>
      <c r="T53" s="3" t="s">
        <v>419</v>
      </c>
      <c r="U53" s="5">
        <f>Table1[[#This Row],[Delivery_Date]]-Table1[[#This Row],[Order_Date]]</f>
        <v>3</v>
      </c>
      <c r="V53" s="5">
        <f>Table1[[#This Row],[Price]]*Table1[[#This Row],[Quantity]]</f>
        <v>178</v>
      </c>
      <c r="W53" s="6" cm="1">
        <f t="array" ref="W53">_xlfn.IFS(
P53="FLAT8",8%,
P53="FLAT10",10%,
P53="FLAT15",15%,P53="FLAT20",20%,P53="DEL0",0%,
TRUE,0%
)</f>
        <v>0.08</v>
      </c>
      <c r="X53" s="5">
        <f>Table1[[#This Row],[Amount]]-(Table1[[#This Row],[Amount]]*Table1[[#This Row],[Discount_Percentage]])</f>
        <v>163.76</v>
      </c>
      <c r="Y53" s="5">
        <f>IF(P53="DEL0",Table1[[#This Row],[Discount_Amount]],Table1[[#This Row],[Discount_Amount]]+Table1[[#This Row],[Delivery_Charge]])</f>
        <v>203.76</v>
      </c>
      <c r="Z53" s="7" t="str">
        <f>_xlfn.CONCAT(Table1[[#This Row],[First_Name]],"  ",Table1[[#This Row],[Last_Name]])</f>
        <v>John  Ramirez</v>
      </c>
      <c r="AA53" s="5" t="str" cm="1">
        <f t="array" ref="AA53">_xlfn.IFS( (S53-K53)&gt;Q53,"Late", (S53-K53)=Q53,"InTime", (S53-K53)&lt;Q53,"BeforeTime" )</f>
        <v>Late</v>
      </c>
      <c r="AB53" s="3">
        <f>MONTH(Table1[[#This Row],[Order_Date]])</f>
        <v>3</v>
      </c>
    </row>
    <row r="54" spans="1:28" x14ac:dyDescent="0.3">
      <c r="A54" s="3" t="s">
        <v>420</v>
      </c>
      <c r="B54" s="3" t="s">
        <v>421</v>
      </c>
      <c r="C54" s="3" t="s">
        <v>422</v>
      </c>
      <c r="D54" s="3" t="str">
        <f>_xlfn.CONCAT(Table1[[#This Row],[First_Name]],Table1[[#This Row],[Last_Name]])</f>
        <v>AmandaHoward</v>
      </c>
      <c r="E54" s="3">
        <v>52</v>
      </c>
      <c r="F54" s="3" t="s">
        <v>52</v>
      </c>
      <c r="G54" s="3" t="s">
        <v>220</v>
      </c>
      <c r="H54" s="3" t="s">
        <v>423</v>
      </c>
      <c r="I54" s="3" t="s">
        <v>424</v>
      </c>
      <c r="J54" s="3" t="s">
        <v>425</v>
      </c>
      <c r="K54" s="4">
        <v>45145</v>
      </c>
      <c r="L54" s="3" t="s">
        <v>426</v>
      </c>
      <c r="M54" s="3" t="s">
        <v>250</v>
      </c>
      <c r="N54" s="3">
        <v>128.13999999999999</v>
      </c>
      <c r="O54" s="3">
        <v>5</v>
      </c>
      <c r="P54" s="3" t="s">
        <v>58</v>
      </c>
      <c r="Q54" s="3">
        <v>2</v>
      </c>
      <c r="R54" s="3">
        <v>57</v>
      </c>
      <c r="S54" s="4">
        <v>45147</v>
      </c>
      <c r="T54" s="3" t="s">
        <v>427</v>
      </c>
      <c r="U54" s="5">
        <f>Table1[[#This Row],[Delivery_Date]]-Table1[[#This Row],[Order_Date]]</f>
        <v>2</v>
      </c>
      <c r="V54" s="5">
        <f>Table1[[#This Row],[Price]]*Table1[[#This Row],[Quantity]]</f>
        <v>640.69999999999993</v>
      </c>
      <c r="W54" s="6" cm="1">
        <f t="array" ref="W54">_xlfn.IFS(
P54="FLAT8",8%,
P54="FLAT10",10%,
P54="FLAT15",15%,P54="FLAT20",20%,P54="DEL0",0%,
TRUE,0%
)</f>
        <v>0.15</v>
      </c>
      <c r="X54" s="5">
        <f>Table1[[#This Row],[Amount]]-(Table1[[#This Row],[Amount]]*Table1[[#This Row],[Discount_Percentage]])</f>
        <v>544.59499999999991</v>
      </c>
      <c r="Y54" s="5">
        <f>IF(P54="DEL0",Table1[[#This Row],[Discount_Amount]],Table1[[#This Row],[Discount_Amount]]+Table1[[#This Row],[Delivery_Charge]])</f>
        <v>601.59499999999991</v>
      </c>
      <c r="Z54" s="7" t="str">
        <f>_xlfn.CONCAT(Table1[[#This Row],[First_Name]],"  ",Table1[[#This Row],[Last_Name]])</f>
        <v>Amanda  Howard</v>
      </c>
      <c r="AA54" s="5" t="str" cm="1">
        <f t="array" ref="AA54">_xlfn.IFS( (S54-K54)&gt;Q54,"Late", (S54-K54)=Q54,"InTime", (S54-K54)&lt;Q54,"BeforeTime" )</f>
        <v>InTime</v>
      </c>
      <c r="AB54" s="3">
        <f>MONTH(Table1[[#This Row],[Order_Date]])</f>
        <v>8</v>
      </c>
    </row>
    <row r="55" spans="1:28" x14ac:dyDescent="0.3">
      <c r="A55" s="3" t="s">
        <v>301</v>
      </c>
      <c r="B55" s="3" t="s">
        <v>302</v>
      </c>
      <c r="C55" s="3" t="s">
        <v>303</v>
      </c>
      <c r="D55" s="3" t="str">
        <f>_xlfn.CONCAT(Table1[[#This Row],[First_Name]],Table1[[#This Row],[Last_Name]])</f>
        <v>ValerieCarr</v>
      </c>
      <c r="E55" s="3">
        <v>26</v>
      </c>
      <c r="F55" s="3" t="s">
        <v>52</v>
      </c>
      <c r="G55" s="3" t="s">
        <v>168</v>
      </c>
      <c r="H55" s="3" t="s">
        <v>304</v>
      </c>
      <c r="I55" s="3" t="s">
        <v>305</v>
      </c>
      <c r="J55" s="3" t="s">
        <v>428</v>
      </c>
      <c r="K55" s="4">
        <v>45312</v>
      </c>
      <c r="L55" s="3" t="s">
        <v>429</v>
      </c>
      <c r="M55" s="3" t="s">
        <v>430</v>
      </c>
      <c r="N55" s="3">
        <v>369.03</v>
      </c>
      <c r="O55" s="3">
        <v>2</v>
      </c>
      <c r="P55" s="3" t="s">
        <v>96</v>
      </c>
      <c r="Q55" s="3">
        <v>4</v>
      </c>
      <c r="R55" s="3">
        <v>46</v>
      </c>
      <c r="S55" s="4">
        <v>45318</v>
      </c>
      <c r="T55" s="3" t="s">
        <v>431</v>
      </c>
      <c r="U55" s="5">
        <f>Table1[[#This Row],[Delivery_Date]]-Table1[[#This Row],[Order_Date]]</f>
        <v>6</v>
      </c>
      <c r="V55" s="5">
        <f>Table1[[#This Row],[Price]]*Table1[[#This Row],[Quantity]]</f>
        <v>738.06</v>
      </c>
      <c r="W55" s="6" cm="1">
        <f t="array" ref="W55">_xlfn.IFS(
P55="FLAT8",8%,
P55="FLAT10",10%,
P55="FLAT15",15%,P55="FLAT20",20%,P55="DEL0",0%,
TRUE,0%
)</f>
        <v>0.1</v>
      </c>
      <c r="X55" s="5">
        <f>Table1[[#This Row],[Amount]]-(Table1[[#This Row],[Amount]]*Table1[[#This Row],[Discount_Percentage]])</f>
        <v>664.25399999999991</v>
      </c>
      <c r="Y55" s="5">
        <f>IF(P55="DEL0",Table1[[#This Row],[Discount_Amount]],Table1[[#This Row],[Discount_Amount]]+Table1[[#This Row],[Delivery_Charge]])</f>
        <v>710.25399999999991</v>
      </c>
      <c r="Z55" s="7" t="str">
        <f>_xlfn.CONCAT(Table1[[#This Row],[First_Name]],"  ",Table1[[#This Row],[Last_Name]])</f>
        <v>Valerie  Carr</v>
      </c>
      <c r="AA55" s="5" t="str" cm="1">
        <f t="array" ref="AA55">_xlfn.IFS( (S55-K55)&gt;Q55,"Late", (S55-K55)=Q55,"InTime", (S55-K55)&lt;Q55,"BeforeTime" )</f>
        <v>Late</v>
      </c>
      <c r="AB55" s="3">
        <f>MONTH(Table1[[#This Row],[Order_Date]])</f>
        <v>1</v>
      </c>
    </row>
    <row r="56" spans="1:28" x14ac:dyDescent="0.3">
      <c r="A56" s="3" t="s">
        <v>412</v>
      </c>
      <c r="B56" s="3" t="s">
        <v>228</v>
      </c>
      <c r="C56" s="3" t="s">
        <v>413</v>
      </c>
      <c r="D56" s="3" t="str">
        <f>_xlfn.CONCAT(Table1[[#This Row],[First_Name]],Table1[[#This Row],[Last_Name]])</f>
        <v>JohnRamirez</v>
      </c>
      <c r="E56" s="3">
        <v>28</v>
      </c>
      <c r="F56" s="3" t="s">
        <v>52</v>
      </c>
      <c r="G56" s="3" t="s">
        <v>140</v>
      </c>
      <c r="H56" s="3" t="s">
        <v>414</v>
      </c>
      <c r="I56" s="3" t="s">
        <v>415</v>
      </c>
      <c r="J56" s="3" t="s">
        <v>432</v>
      </c>
      <c r="K56" s="4">
        <v>45599</v>
      </c>
      <c r="L56" s="3" t="s">
        <v>433</v>
      </c>
      <c r="M56" s="3" t="s">
        <v>95</v>
      </c>
      <c r="N56" s="3">
        <v>363.64</v>
      </c>
      <c r="O56" s="3">
        <v>1</v>
      </c>
      <c r="P56" s="3" t="s">
        <v>96</v>
      </c>
      <c r="Q56" s="3">
        <v>3</v>
      </c>
      <c r="R56" s="3">
        <v>70</v>
      </c>
      <c r="S56" s="4">
        <v>45606</v>
      </c>
      <c r="T56" s="3" t="s">
        <v>434</v>
      </c>
      <c r="U56" s="5">
        <f>Table1[[#This Row],[Delivery_Date]]-Table1[[#This Row],[Order_Date]]</f>
        <v>7</v>
      </c>
      <c r="V56" s="5">
        <f>Table1[[#This Row],[Price]]*Table1[[#This Row],[Quantity]]</f>
        <v>363.64</v>
      </c>
      <c r="W56" s="6" cm="1">
        <f t="array" ref="W56">_xlfn.IFS(
P56="FLAT8",8%,
P56="FLAT10",10%,
P56="FLAT15",15%,P56="FLAT20",20%,P56="DEL0",0%,
TRUE,0%
)</f>
        <v>0.1</v>
      </c>
      <c r="X56" s="5">
        <f>Table1[[#This Row],[Amount]]-(Table1[[#This Row],[Amount]]*Table1[[#This Row],[Discount_Percentage]])</f>
        <v>327.27600000000001</v>
      </c>
      <c r="Y56" s="5">
        <f>IF(P56="DEL0",Table1[[#This Row],[Discount_Amount]],Table1[[#This Row],[Discount_Amount]]+Table1[[#This Row],[Delivery_Charge]])</f>
        <v>397.27600000000001</v>
      </c>
      <c r="Z56" s="7" t="str">
        <f>_xlfn.CONCAT(Table1[[#This Row],[First_Name]],"  ",Table1[[#This Row],[Last_Name]])</f>
        <v>John  Ramirez</v>
      </c>
      <c r="AA56" s="5" t="str" cm="1">
        <f t="array" ref="AA56">_xlfn.IFS( (S56-K56)&gt;Q56,"Late", (S56-K56)=Q56,"InTime", (S56-K56)&lt;Q56,"BeforeTime" )</f>
        <v>Late</v>
      </c>
      <c r="AB56" s="3">
        <f>MONTH(Table1[[#This Row],[Order_Date]])</f>
        <v>11</v>
      </c>
    </row>
    <row r="57" spans="1:28" x14ac:dyDescent="0.3">
      <c r="A57" s="3" t="s">
        <v>435</v>
      </c>
      <c r="B57" s="3" t="s">
        <v>436</v>
      </c>
      <c r="C57" s="3" t="s">
        <v>437</v>
      </c>
      <c r="D57" s="3" t="str">
        <f>_xlfn.CONCAT(Table1[[#This Row],[First_Name]],Table1[[#This Row],[Last_Name]])</f>
        <v>MaryKnight</v>
      </c>
      <c r="E57" s="3">
        <v>28</v>
      </c>
      <c r="F57" s="3" t="s">
        <v>52</v>
      </c>
      <c r="G57" s="3" t="s">
        <v>76</v>
      </c>
      <c r="H57" s="3" t="s">
        <v>438</v>
      </c>
      <c r="I57" s="3" t="s">
        <v>439</v>
      </c>
      <c r="J57" s="3" t="s">
        <v>440</v>
      </c>
      <c r="K57" s="4">
        <v>45229</v>
      </c>
      <c r="L57" s="3" t="s">
        <v>441</v>
      </c>
      <c r="M57" s="3" t="s">
        <v>62</v>
      </c>
      <c r="N57" s="3">
        <v>405</v>
      </c>
      <c r="O57" s="3">
        <v>1</v>
      </c>
      <c r="P57" s="3" t="s">
        <v>63</v>
      </c>
      <c r="Q57" s="3">
        <v>5</v>
      </c>
      <c r="R57" s="3">
        <v>44</v>
      </c>
      <c r="S57" s="4">
        <v>45233</v>
      </c>
      <c r="T57" s="3" t="s">
        <v>442</v>
      </c>
      <c r="U57" s="5">
        <f>Table1[[#This Row],[Delivery_Date]]-Table1[[#This Row],[Order_Date]]</f>
        <v>4</v>
      </c>
      <c r="V57" s="5">
        <f>Table1[[#This Row],[Price]]*Table1[[#This Row],[Quantity]]</f>
        <v>405</v>
      </c>
      <c r="W57" s="6" cm="1">
        <f t="array" ref="W57">_xlfn.IFS(
P57="FLAT8",8%,
P57="FLAT10",10%,
P57="FLAT15",15%,P57="FLAT20",20%,P57="DEL0",0%,
TRUE,0%
)</f>
        <v>0</v>
      </c>
      <c r="X57" s="5">
        <f>Table1[[#This Row],[Amount]]-(Table1[[#This Row],[Amount]]*Table1[[#This Row],[Discount_Percentage]])</f>
        <v>405</v>
      </c>
      <c r="Y57" s="5">
        <f>IF(P57="DEL0",Table1[[#This Row],[Discount_Amount]],Table1[[#This Row],[Discount_Amount]]+Table1[[#This Row],[Delivery_Charge]])</f>
        <v>405</v>
      </c>
      <c r="Z57" s="7" t="str">
        <f>_xlfn.CONCAT(Table1[[#This Row],[First_Name]],"  ",Table1[[#This Row],[Last_Name]])</f>
        <v>Mary  Knight</v>
      </c>
      <c r="AA57" s="5" t="str" cm="1">
        <f t="array" ref="AA57">_xlfn.IFS( (S57-K57)&gt;Q57,"Late", (S57-K57)=Q57,"InTime", (S57-K57)&lt;Q57,"BeforeTime" )</f>
        <v>BeforeTime</v>
      </c>
      <c r="AB57" s="3">
        <f>MONTH(Table1[[#This Row],[Order_Date]])</f>
        <v>10</v>
      </c>
    </row>
    <row r="58" spans="1:28" x14ac:dyDescent="0.3">
      <c r="A58" s="3" t="s">
        <v>443</v>
      </c>
      <c r="B58" s="3" t="s">
        <v>99</v>
      </c>
      <c r="C58" s="3" t="s">
        <v>444</v>
      </c>
      <c r="D58" s="3" t="str">
        <f>_xlfn.CONCAT(Table1[[#This Row],[First_Name]],Table1[[#This Row],[Last_Name]])</f>
        <v>MarcusRogers</v>
      </c>
      <c r="E58" s="3">
        <v>36</v>
      </c>
      <c r="F58" s="3" t="s">
        <v>41</v>
      </c>
      <c r="G58" s="3" t="s">
        <v>30</v>
      </c>
      <c r="H58" s="3" t="s">
        <v>445</v>
      </c>
      <c r="I58" s="3" t="s">
        <v>446</v>
      </c>
      <c r="J58" s="3" t="s">
        <v>447</v>
      </c>
      <c r="K58" s="4">
        <v>45149</v>
      </c>
      <c r="L58" s="3" t="s">
        <v>448</v>
      </c>
      <c r="M58" s="3" t="s">
        <v>270</v>
      </c>
      <c r="N58" s="3">
        <v>62.42</v>
      </c>
      <c r="O58" s="3">
        <v>2</v>
      </c>
      <c r="P58" s="3" t="s">
        <v>58</v>
      </c>
      <c r="Q58" s="3">
        <v>1</v>
      </c>
      <c r="R58" s="3">
        <v>53</v>
      </c>
      <c r="S58" s="4">
        <v>45154</v>
      </c>
      <c r="T58" s="3" t="s">
        <v>449</v>
      </c>
      <c r="U58" s="5">
        <f>Table1[[#This Row],[Delivery_Date]]-Table1[[#This Row],[Order_Date]]</f>
        <v>5</v>
      </c>
      <c r="V58" s="5">
        <f>Table1[[#This Row],[Price]]*Table1[[#This Row],[Quantity]]</f>
        <v>124.84</v>
      </c>
      <c r="W58" s="6" cm="1">
        <f t="array" ref="W58">_xlfn.IFS(
P58="FLAT8",8%,
P58="FLAT10",10%,
P58="FLAT15",15%,P58="FLAT20",20%,P58="DEL0",0%,
TRUE,0%
)</f>
        <v>0.15</v>
      </c>
      <c r="X58" s="5">
        <f>Table1[[#This Row],[Amount]]-(Table1[[#This Row],[Amount]]*Table1[[#This Row],[Discount_Percentage]])</f>
        <v>106.114</v>
      </c>
      <c r="Y58" s="5">
        <f>IF(P58="DEL0",Table1[[#This Row],[Discount_Amount]],Table1[[#This Row],[Discount_Amount]]+Table1[[#This Row],[Delivery_Charge]])</f>
        <v>159.114</v>
      </c>
      <c r="Z58" s="7" t="str">
        <f>_xlfn.CONCAT(Table1[[#This Row],[First_Name]],"  ",Table1[[#This Row],[Last_Name]])</f>
        <v>Marcus  Rogers</v>
      </c>
      <c r="AA58" s="5" t="str" cm="1">
        <f t="array" ref="AA58">_xlfn.IFS( (S58-K58)&gt;Q58,"Late", (S58-K58)=Q58,"InTime", (S58-K58)&lt;Q58,"BeforeTime" )</f>
        <v>Late</v>
      </c>
      <c r="AB58" s="3">
        <f>MONTH(Table1[[#This Row],[Order_Date]])</f>
        <v>8</v>
      </c>
    </row>
    <row r="59" spans="1:28" x14ac:dyDescent="0.3">
      <c r="A59" s="3" t="s">
        <v>450</v>
      </c>
      <c r="B59" s="3" t="s">
        <v>451</v>
      </c>
      <c r="C59" s="3" t="s">
        <v>452</v>
      </c>
      <c r="D59" s="3" t="str">
        <f>_xlfn.CONCAT(Table1[[#This Row],[First_Name]],Table1[[#This Row],[Last_Name]])</f>
        <v>BrianKennedy</v>
      </c>
      <c r="E59" s="3">
        <v>69</v>
      </c>
      <c r="F59" s="3" t="s">
        <v>29</v>
      </c>
      <c r="G59" s="3" t="s">
        <v>30</v>
      </c>
      <c r="H59" s="3" t="s">
        <v>453</v>
      </c>
      <c r="I59" s="3" t="s">
        <v>454</v>
      </c>
      <c r="J59" s="3" t="s">
        <v>455</v>
      </c>
      <c r="K59" s="4">
        <v>45213</v>
      </c>
      <c r="L59" s="3" t="s">
        <v>456</v>
      </c>
      <c r="M59" s="3" t="s">
        <v>199</v>
      </c>
      <c r="N59" s="3">
        <v>20.7</v>
      </c>
      <c r="O59" s="3">
        <v>5</v>
      </c>
      <c r="P59" s="3" t="s">
        <v>58</v>
      </c>
      <c r="Q59" s="3">
        <v>7</v>
      </c>
      <c r="R59" s="3">
        <v>57</v>
      </c>
      <c r="S59" s="4">
        <v>45218</v>
      </c>
      <c r="T59" s="3" t="s">
        <v>457</v>
      </c>
      <c r="U59" s="5">
        <f>Table1[[#This Row],[Delivery_Date]]-Table1[[#This Row],[Order_Date]]</f>
        <v>5</v>
      </c>
      <c r="V59" s="5">
        <f>Table1[[#This Row],[Price]]*Table1[[#This Row],[Quantity]]</f>
        <v>103.5</v>
      </c>
      <c r="W59" s="6" cm="1">
        <f t="array" ref="W59">_xlfn.IFS(
P59="FLAT8",8%,
P59="FLAT10",10%,
P59="FLAT15",15%,P59="FLAT20",20%,P59="DEL0",0%,
TRUE,0%
)</f>
        <v>0.15</v>
      </c>
      <c r="X59" s="5">
        <f>Table1[[#This Row],[Amount]]-(Table1[[#This Row],[Amount]]*Table1[[#This Row],[Discount_Percentage]])</f>
        <v>87.974999999999994</v>
      </c>
      <c r="Y59" s="5">
        <f>IF(P59="DEL0",Table1[[#This Row],[Discount_Amount]],Table1[[#This Row],[Discount_Amount]]+Table1[[#This Row],[Delivery_Charge]])</f>
        <v>144.97499999999999</v>
      </c>
      <c r="Z59" s="7" t="str">
        <f>_xlfn.CONCAT(Table1[[#This Row],[First_Name]],"  ",Table1[[#This Row],[Last_Name]])</f>
        <v>Brian  Kennedy</v>
      </c>
      <c r="AA59" s="5" t="str" cm="1">
        <f t="array" ref="AA59">_xlfn.IFS( (S59-K59)&gt;Q59,"Late", (S59-K59)=Q59,"InTime", (S59-K59)&lt;Q59,"BeforeTime" )</f>
        <v>BeforeTime</v>
      </c>
      <c r="AB59" s="3">
        <f>MONTH(Table1[[#This Row],[Order_Date]])</f>
        <v>10</v>
      </c>
    </row>
    <row r="60" spans="1:28" x14ac:dyDescent="0.3">
      <c r="A60" s="3" t="s">
        <v>458</v>
      </c>
      <c r="B60" s="3" t="s">
        <v>459</v>
      </c>
      <c r="C60" s="3" t="s">
        <v>460</v>
      </c>
      <c r="D60" s="3" t="str">
        <f>_xlfn.CONCAT(Table1[[#This Row],[First_Name]],Table1[[#This Row],[Last_Name]])</f>
        <v>RebeccaFigueroa</v>
      </c>
      <c r="E60" s="3">
        <v>63</v>
      </c>
      <c r="F60" s="3" t="s">
        <v>29</v>
      </c>
      <c r="G60" s="3" t="s">
        <v>140</v>
      </c>
      <c r="H60" s="3" t="s">
        <v>461</v>
      </c>
      <c r="I60" s="3" t="s">
        <v>462</v>
      </c>
      <c r="J60" s="3" t="s">
        <v>463</v>
      </c>
      <c r="K60" s="4">
        <v>45655</v>
      </c>
      <c r="L60" s="3" t="s">
        <v>464</v>
      </c>
      <c r="M60" s="3" t="s">
        <v>95</v>
      </c>
      <c r="N60" s="3">
        <v>363.64</v>
      </c>
      <c r="O60" s="3">
        <v>3</v>
      </c>
      <c r="P60" s="3" t="s">
        <v>96</v>
      </c>
      <c r="Q60" s="3">
        <v>6</v>
      </c>
      <c r="R60" s="3">
        <v>69</v>
      </c>
      <c r="S60" s="4">
        <v>45662</v>
      </c>
      <c r="T60" s="3" t="s">
        <v>465</v>
      </c>
      <c r="U60" s="5">
        <f>Table1[[#This Row],[Delivery_Date]]-Table1[[#This Row],[Order_Date]]</f>
        <v>7</v>
      </c>
      <c r="V60" s="5">
        <f>Table1[[#This Row],[Price]]*Table1[[#This Row],[Quantity]]</f>
        <v>1090.92</v>
      </c>
      <c r="W60" s="6" cm="1">
        <f t="array" ref="W60">_xlfn.IFS(
P60="FLAT8",8%,
P60="FLAT10",10%,
P60="FLAT15",15%,P60="FLAT20",20%,P60="DEL0",0%,
TRUE,0%
)</f>
        <v>0.1</v>
      </c>
      <c r="X60" s="5">
        <f>Table1[[#This Row],[Amount]]-(Table1[[#This Row],[Amount]]*Table1[[#This Row],[Discount_Percentage]])</f>
        <v>981.82800000000009</v>
      </c>
      <c r="Y60" s="5">
        <f>IF(P60="DEL0",Table1[[#This Row],[Discount_Amount]],Table1[[#This Row],[Discount_Amount]]+Table1[[#This Row],[Delivery_Charge]])</f>
        <v>1050.828</v>
      </c>
      <c r="Z60" s="7" t="str">
        <f>_xlfn.CONCAT(Table1[[#This Row],[First_Name]],"  ",Table1[[#This Row],[Last_Name]])</f>
        <v>Rebecca  Figueroa</v>
      </c>
      <c r="AA60" s="5" t="str" cm="1">
        <f t="array" ref="AA60">_xlfn.IFS( (S60-K60)&gt;Q60,"Late", (S60-K60)=Q60,"InTime", (S60-K60)&lt;Q60,"BeforeTime" )</f>
        <v>Late</v>
      </c>
      <c r="AB60" s="3">
        <f>MONTH(Table1[[#This Row],[Order_Date]])</f>
        <v>12</v>
      </c>
    </row>
    <row r="61" spans="1:28" x14ac:dyDescent="0.3">
      <c r="A61" s="3" t="s">
        <v>466</v>
      </c>
      <c r="B61" s="3" t="s">
        <v>467</v>
      </c>
      <c r="C61" s="3" t="s">
        <v>468</v>
      </c>
      <c r="D61" s="3" t="str">
        <f>_xlfn.CONCAT(Table1[[#This Row],[First_Name]],Table1[[#This Row],[Last_Name]])</f>
        <v>LoriCook</v>
      </c>
      <c r="E61" s="3">
        <v>18</v>
      </c>
      <c r="F61" s="3" t="s">
        <v>41</v>
      </c>
      <c r="G61" s="3" t="s">
        <v>42</v>
      </c>
      <c r="H61" s="3" t="s">
        <v>469</v>
      </c>
      <c r="I61" s="3" t="s">
        <v>470</v>
      </c>
      <c r="J61" s="3" t="s">
        <v>471</v>
      </c>
      <c r="K61" s="4">
        <v>44972</v>
      </c>
      <c r="L61" s="3" t="s">
        <v>472</v>
      </c>
      <c r="M61" s="3" t="s">
        <v>473</v>
      </c>
      <c r="N61" s="3">
        <v>286.07</v>
      </c>
      <c r="O61" s="3">
        <v>3</v>
      </c>
      <c r="P61" s="3" t="s">
        <v>85</v>
      </c>
      <c r="Q61" s="3">
        <v>2</v>
      </c>
      <c r="R61" s="3">
        <v>54</v>
      </c>
      <c r="S61" s="4">
        <v>44977</v>
      </c>
      <c r="T61" s="3" t="s">
        <v>474</v>
      </c>
      <c r="U61" s="5">
        <f>Table1[[#This Row],[Delivery_Date]]-Table1[[#This Row],[Order_Date]]</f>
        <v>5</v>
      </c>
      <c r="V61" s="5">
        <f>Table1[[#This Row],[Price]]*Table1[[#This Row],[Quantity]]</f>
        <v>858.21</v>
      </c>
      <c r="W61" s="6" cm="1">
        <f t="array" ref="W61">_xlfn.IFS(
P61="FLAT8",8%,
P61="FLAT10",10%,
P61="FLAT15",15%,P61="FLAT20",20%,P61="DEL0",0%,
TRUE,0%
)</f>
        <v>0.2</v>
      </c>
      <c r="X61" s="5">
        <f>Table1[[#This Row],[Amount]]-(Table1[[#This Row],[Amount]]*Table1[[#This Row],[Discount_Percentage]])</f>
        <v>686.56799999999998</v>
      </c>
      <c r="Y61" s="5">
        <f>IF(P61="DEL0",Table1[[#This Row],[Discount_Amount]],Table1[[#This Row],[Discount_Amount]]+Table1[[#This Row],[Delivery_Charge]])</f>
        <v>740.56799999999998</v>
      </c>
      <c r="Z61" s="7" t="str">
        <f>_xlfn.CONCAT(Table1[[#This Row],[First_Name]],"  ",Table1[[#This Row],[Last_Name]])</f>
        <v>Lori  Cook</v>
      </c>
      <c r="AA61" s="5" t="str" cm="1">
        <f t="array" ref="AA61">_xlfn.IFS( (S61-K61)&gt;Q61,"Late", (S61-K61)=Q61,"InTime", (S61-K61)&lt;Q61,"BeforeTime" )</f>
        <v>Late</v>
      </c>
      <c r="AB61" s="3">
        <f>MONTH(Table1[[#This Row],[Order_Date]])</f>
        <v>2</v>
      </c>
    </row>
    <row r="62" spans="1:28" x14ac:dyDescent="0.3">
      <c r="A62" s="3" t="s">
        <v>475</v>
      </c>
      <c r="B62" s="3" t="s">
        <v>108</v>
      </c>
      <c r="C62" s="3" t="s">
        <v>476</v>
      </c>
      <c r="D62" s="3" t="str">
        <f>_xlfn.CONCAT(Table1[[#This Row],[First_Name]],Table1[[#This Row],[Last_Name]])</f>
        <v>DebraHayes</v>
      </c>
      <c r="E62" s="3">
        <v>33</v>
      </c>
      <c r="F62" s="3" t="s">
        <v>29</v>
      </c>
      <c r="G62" s="3" t="s">
        <v>168</v>
      </c>
      <c r="H62" s="3" t="s">
        <v>477</v>
      </c>
      <c r="I62" s="3" t="s">
        <v>478</v>
      </c>
      <c r="J62" s="3" t="s">
        <v>479</v>
      </c>
      <c r="K62" s="4">
        <v>45435</v>
      </c>
      <c r="L62" s="3" t="s">
        <v>480</v>
      </c>
      <c r="M62" s="3" t="s">
        <v>481</v>
      </c>
      <c r="N62" s="3">
        <v>87.09</v>
      </c>
      <c r="O62" s="3">
        <v>4</v>
      </c>
      <c r="P62" s="3" t="s">
        <v>63</v>
      </c>
      <c r="Q62" s="3">
        <v>6</v>
      </c>
      <c r="R62" s="3">
        <v>63</v>
      </c>
      <c r="S62" s="4">
        <v>45439</v>
      </c>
      <c r="T62" s="3" t="s">
        <v>482</v>
      </c>
      <c r="U62" s="5">
        <f>Table1[[#This Row],[Delivery_Date]]-Table1[[#This Row],[Order_Date]]</f>
        <v>4</v>
      </c>
      <c r="V62" s="5">
        <f>Table1[[#This Row],[Price]]*Table1[[#This Row],[Quantity]]</f>
        <v>348.36</v>
      </c>
      <c r="W62" s="6" cm="1">
        <f t="array" ref="W62">_xlfn.IFS(
P62="FLAT8",8%,
P62="FLAT10",10%,
P62="FLAT15",15%,P62="FLAT20",20%,P62="DEL0",0%,
TRUE,0%
)</f>
        <v>0</v>
      </c>
      <c r="X62" s="5">
        <f>Table1[[#This Row],[Amount]]-(Table1[[#This Row],[Amount]]*Table1[[#This Row],[Discount_Percentage]])</f>
        <v>348.36</v>
      </c>
      <c r="Y62" s="5">
        <f>IF(P62="DEL0",Table1[[#This Row],[Discount_Amount]],Table1[[#This Row],[Discount_Amount]]+Table1[[#This Row],[Delivery_Charge]])</f>
        <v>348.36</v>
      </c>
      <c r="Z62" s="7" t="str">
        <f>_xlfn.CONCAT(Table1[[#This Row],[First_Name]],"  ",Table1[[#This Row],[Last_Name]])</f>
        <v>Debra  Hayes</v>
      </c>
      <c r="AA62" s="5" t="str" cm="1">
        <f t="array" ref="AA62">_xlfn.IFS( (S62-K62)&gt;Q62,"Late", (S62-K62)=Q62,"InTime", (S62-K62)&lt;Q62,"BeforeTime" )</f>
        <v>BeforeTime</v>
      </c>
      <c r="AB62" s="3">
        <f>MONTH(Table1[[#This Row],[Order_Date]])</f>
        <v>5</v>
      </c>
    </row>
    <row r="63" spans="1:28" x14ac:dyDescent="0.3">
      <c r="A63" s="3" t="s">
        <v>483</v>
      </c>
      <c r="B63" s="3" t="s">
        <v>484</v>
      </c>
      <c r="C63" s="3" t="s">
        <v>130</v>
      </c>
      <c r="D63" s="3" t="str">
        <f>_xlfn.CONCAT(Table1[[#This Row],[First_Name]],Table1[[#This Row],[Last_Name]])</f>
        <v>BrittanyStewart</v>
      </c>
      <c r="E63" s="3">
        <v>68</v>
      </c>
      <c r="F63" s="3" t="s">
        <v>52</v>
      </c>
      <c r="G63" s="3" t="s">
        <v>220</v>
      </c>
      <c r="H63" s="3" t="s">
        <v>485</v>
      </c>
      <c r="I63" s="3" t="s">
        <v>486</v>
      </c>
      <c r="J63" s="3" t="s">
        <v>487</v>
      </c>
      <c r="K63" s="4">
        <v>45002</v>
      </c>
      <c r="L63" s="3" t="s">
        <v>488</v>
      </c>
      <c r="M63" s="3" t="s">
        <v>105</v>
      </c>
      <c r="N63" s="3">
        <v>275.44</v>
      </c>
      <c r="O63" s="3">
        <v>4</v>
      </c>
      <c r="P63" s="3" t="s">
        <v>36</v>
      </c>
      <c r="Q63" s="3">
        <v>4</v>
      </c>
      <c r="R63" s="3">
        <v>40</v>
      </c>
      <c r="S63" s="4">
        <v>45007</v>
      </c>
      <c r="T63" s="3" t="s">
        <v>489</v>
      </c>
      <c r="U63" s="5">
        <f>Table1[[#This Row],[Delivery_Date]]-Table1[[#This Row],[Order_Date]]</f>
        <v>5</v>
      </c>
      <c r="V63" s="5">
        <f>Table1[[#This Row],[Price]]*Table1[[#This Row],[Quantity]]</f>
        <v>1101.76</v>
      </c>
      <c r="W63" s="6" cm="1">
        <f t="array" ref="W63">_xlfn.IFS(
P63="FLAT8",8%,
P63="FLAT10",10%,
P63="FLAT15",15%,P63="FLAT20",20%,P63="DEL0",0%,
TRUE,0%
)</f>
        <v>0.08</v>
      </c>
      <c r="X63" s="5">
        <f>Table1[[#This Row],[Amount]]-(Table1[[#This Row],[Amount]]*Table1[[#This Row],[Discount_Percentage]])</f>
        <v>1013.6192</v>
      </c>
      <c r="Y63" s="5">
        <f>IF(P63="DEL0",Table1[[#This Row],[Discount_Amount]],Table1[[#This Row],[Discount_Amount]]+Table1[[#This Row],[Delivery_Charge]])</f>
        <v>1053.6192000000001</v>
      </c>
      <c r="Z63" s="7" t="str">
        <f>_xlfn.CONCAT(Table1[[#This Row],[First_Name]],"  ",Table1[[#This Row],[Last_Name]])</f>
        <v>Brittany  Stewart</v>
      </c>
      <c r="AA63" s="5" t="str" cm="1">
        <f t="array" ref="AA63">_xlfn.IFS( (S63-K63)&gt;Q63,"Late", (S63-K63)=Q63,"InTime", (S63-K63)&lt;Q63,"BeforeTime" )</f>
        <v>Late</v>
      </c>
      <c r="AB63" s="3">
        <f>MONTH(Table1[[#This Row],[Order_Date]])</f>
        <v>3</v>
      </c>
    </row>
    <row r="64" spans="1:28" x14ac:dyDescent="0.3">
      <c r="A64" s="3" t="s">
        <v>490</v>
      </c>
      <c r="B64" s="3" t="s">
        <v>186</v>
      </c>
      <c r="C64" s="3" t="s">
        <v>327</v>
      </c>
      <c r="D64" s="3" t="str">
        <f>_xlfn.CONCAT(Table1[[#This Row],[First_Name]],Table1[[#This Row],[Last_Name]])</f>
        <v>MitchellParker</v>
      </c>
      <c r="E64" s="3">
        <v>39</v>
      </c>
      <c r="F64" s="3" t="s">
        <v>52</v>
      </c>
      <c r="G64" s="3" t="s">
        <v>42</v>
      </c>
      <c r="H64" s="3" t="s">
        <v>491</v>
      </c>
      <c r="I64" s="3" t="s">
        <v>492</v>
      </c>
      <c r="J64" s="3" t="s">
        <v>493</v>
      </c>
      <c r="K64" s="4">
        <v>45680</v>
      </c>
      <c r="L64" s="3" t="s">
        <v>494</v>
      </c>
      <c r="M64" s="3" t="s">
        <v>495</v>
      </c>
      <c r="N64" s="3">
        <v>421.7</v>
      </c>
      <c r="O64" s="3">
        <v>1</v>
      </c>
      <c r="P64" s="3" t="s">
        <v>96</v>
      </c>
      <c r="Q64" s="3">
        <v>3</v>
      </c>
      <c r="R64" s="3">
        <v>59</v>
      </c>
      <c r="S64" s="4">
        <v>45684</v>
      </c>
      <c r="T64" s="3" t="s">
        <v>496</v>
      </c>
      <c r="U64" s="5">
        <f>Table1[[#This Row],[Delivery_Date]]-Table1[[#This Row],[Order_Date]]</f>
        <v>4</v>
      </c>
      <c r="V64" s="5">
        <f>Table1[[#This Row],[Price]]*Table1[[#This Row],[Quantity]]</f>
        <v>421.7</v>
      </c>
      <c r="W64" s="6" cm="1">
        <f t="array" ref="W64">_xlfn.IFS(
P64="FLAT8",8%,
P64="FLAT10",10%,
P64="FLAT15",15%,P64="FLAT20",20%,P64="DEL0",0%,
TRUE,0%
)</f>
        <v>0.1</v>
      </c>
      <c r="X64" s="5">
        <f>Table1[[#This Row],[Amount]]-(Table1[[#This Row],[Amount]]*Table1[[#This Row],[Discount_Percentage]])</f>
        <v>379.53</v>
      </c>
      <c r="Y64" s="5">
        <f>IF(P64="DEL0",Table1[[#This Row],[Discount_Amount]],Table1[[#This Row],[Discount_Amount]]+Table1[[#This Row],[Delivery_Charge]])</f>
        <v>438.53</v>
      </c>
      <c r="Z64" s="7" t="str">
        <f>_xlfn.CONCAT(Table1[[#This Row],[First_Name]],"  ",Table1[[#This Row],[Last_Name]])</f>
        <v>Mitchell  Parker</v>
      </c>
      <c r="AA64" s="5" t="str" cm="1">
        <f t="array" ref="AA64">_xlfn.IFS( (S64-K64)&gt;Q64,"Late", (S64-K64)=Q64,"InTime", (S64-K64)&lt;Q64,"BeforeTime" )</f>
        <v>Late</v>
      </c>
      <c r="AB64" s="3">
        <f>MONTH(Table1[[#This Row],[Order_Date]])</f>
        <v>1</v>
      </c>
    </row>
    <row r="65" spans="1:28" x14ac:dyDescent="0.3">
      <c r="A65" s="3" t="s">
        <v>227</v>
      </c>
      <c r="B65" s="3" t="s">
        <v>228</v>
      </c>
      <c r="C65" s="3" t="s">
        <v>229</v>
      </c>
      <c r="D65" s="3" t="str">
        <f>_xlfn.CONCAT(Table1[[#This Row],[First_Name]],Table1[[#This Row],[Last_Name]])</f>
        <v>JohnHerrera</v>
      </c>
      <c r="E65" s="3">
        <v>64</v>
      </c>
      <c r="F65" s="3" t="s">
        <v>41</v>
      </c>
      <c r="G65" s="3" t="s">
        <v>42</v>
      </c>
      <c r="H65" s="3" t="s">
        <v>230</v>
      </c>
      <c r="I65" s="3" t="s">
        <v>231</v>
      </c>
      <c r="J65" s="3" t="s">
        <v>497</v>
      </c>
      <c r="K65" s="4">
        <v>45629</v>
      </c>
      <c r="L65" s="3" t="s">
        <v>498</v>
      </c>
      <c r="M65" s="3" t="s">
        <v>173</v>
      </c>
      <c r="N65" s="3">
        <v>272.51</v>
      </c>
      <c r="O65" s="3">
        <v>1</v>
      </c>
      <c r="P65" s="3" t="s">
        <v>85</v>
      </c>
      <c r="Q65" s="3">
        <v>4</v>
      </c>
      <c r="R65" s="3">
        <v>43</v>
      </c>
      <c r="S65" s="4">
        <v>45630</v>
      </c>
      <c r="T65" s="3" t="s">
        <v>499</v>
      </c>
      <c r="U65" s="5">
        <f>Table1[[#This Row],[Delivery_Date]]-Table1[[#This Row],[Order_Date]]</f>
        <v>1</v>
      </c>
      <c r="V65" s="5">
        <f>Table1[[#This Row],[Price]]*Table1[[#This Row],[Quantity]]</f>
        <v>272.51</v>
      </c>
      <c r="W65" s="6" cm="1">
        <f t="array" ref="W65">_xlfn.IFS(
P65="FLAT8",8%,
P65="FLAT10",10%,
P65="FLAT15",15%,P65="FLAT20",20%,P65="DEL0",0%,
TRUE,0%
)</f>
        <v>0.2</v>
      </c>
      <c r="X65" s="5">
        <f>Table1[[#This Row],[Amount]]-(Table1[[#This Row],[Amount]]*Table1[[#This Row],[Discount_Percentage]])</f>
        <v>218.00799999999998</v>
      </c>
      <c r="Y65" s="5">
        <f>IF(P65="DEL0",Table1[[#This Row],[Discount_Amount]],Table1[[#This Row],[Discount_Amount]]+Table1[[#This Row],[Delivery_Charge]])</f>
        <v>261.00799999999998</v>
      </c>
      <c r="Z65" s="7" t="str">
        <f>_xlfn.CONCAT(Table1[[#This Row],[First_Name]],"  ",Table1[[#This Row],[Last_Name]])</f>
        <v>John  Herrera</v>
      </c>
      <c r="AA65" s="5" t="str" cm="1">
        <f t="array" ref="AA65">_xlfn.IFS( (S65-K65)&gt;Q65,"Late", (S65-K65)=Q65,"InTime", (S65-K65)&lt;Q65,"BeforeTime" )</f>
        <v>BeforeTime</v>
      </c>
      <c r="AB65" s="3">
        <f>MONTH(Table1[[#This Row],[Order_Date]])</f>
        <v>12</v>
      </c>
    </row>
    <row r="66" spans="1:28" x14ac:dyDescent="0.3">
      <c r="A66" s="3" t="s">
        <v>500</v>
      </c>
      <c r="B66" s="3" t="s">
        <v>501</v>
      </c>
      <c r="C66" s="3" t="s">
        <v>387</v>
      </c>
      <c r="D66" s="3" t="str">
        <f>_xlfn.CONCAT(Table1[[#This Row],[First_Name]],Table1[[#This Row],[Last_Name]])</f>
        <v>SharonThompson</v>
      </c>
      <c r="E66" s="3">
        <v>57</v>
      </c>
      <c r="F66" s="3" t="s">
        <v>41</v>
      </c>
      <c r="G66" s="3" t="s">
        <v>220</v>
      </c>
      <c r="H66" s="3" t="s">
        <v>502</v>
      </c>
      <c r="I66" s="3" t="s">
        <v>503</v>
      </c>
      <c r="J66" s="3" t="s">
        <v>504</v>
      </c>
      <c r="K66" s="4">
        <v>45346</v>
      </c>
      <c r="L66" s="3" t="s">
        <v>505</v>
      </c>
      <c r="M66" s="3" t="s">
        <v>135</v>
      </c>
      <c r="N66" s="3">
        <v>175.93</v>
      </c>
      <c r="O66" s="3">
        <v>3</v>
      </c>
      <c r="P66" s="3" t="s">
        <v>36</v>
      </c>
      <c r="Q66" s="3">
        <v>4</v>
      </c>
      <c r="R66" s="3">
        <v>46</v>
      </c>
      <c r="S66" s="4">
        <v>45351</v>
      </c>
      <c r="T66" s="3" t="s">
        <v>506</v>
      </c>
      <c r="U66" s="5">
        <f>Table1[[#This Row],[Delivery_Date]]-Table1[[#This Row],[Order_Date]]</f>
        <v>5</v>
      </c>
      <c r="V66" s="5">
        <f>Table1[[#This Row],[Price]]*Table1[[#This Row],[Quantity]]</f>
        <v>527.79</v>
      </c>
      <c r="W66" s="6" cm="1">
        <f t="array" ref="W66">_xlfn.IFS(
P66="FLAT8",8%,
P66="FLAT10",10%,
P66="FLAT15",15%,P66="FLAT20",20%,P66="DEL0",0%,
TRUE,0%
)</f>
        <v>0.08</v>
      </c>
      <c r="X66" s="5">
        <f>Table1[[#This Row],[Amount]]-(Table1[[#This Row],[Amount]]*Table1[[#This Row],[Discount_Percentage]])</f>
        <v>485.56679999999994</v>
      </c>
      <c r="Y66" s="5">
        <f>IF(P66="DEL0",Table1[[#This Row],[Discount_Amount]],Table1[[#This Row],[Discount_Amount]]+Table1[[#This Row],[Delivery_Charge]])</f>
        <v>531.56679999999994</v>
      </c>
      <c r="Z66" s="7" t="str">
        <f>_xlfn.CONCAT(Table1[[#This Row],[First_Name]],"  ",Table1[[#This Row],[Last_Name]])</f>
        <v>Sharon  Thompson</v>
      </c>
      <c r="AA66" s="5" t="str" cm="1">
        <f t="array" ref="AA66">_xlfn.IFS( (S66-K66)&gt;Q66,"Late", (S66-K66)=Q66,"InTime", (S66-K66)&lt;Q66,"BeforeTime" )</f>
        <v>Late</v>
      </c>
      <c r="AB66" s="3">
        <f>MONTH(Table1[[#This Row],[Order_Date]])</f>
        <v>2</v>
      </c>
    </row>
    <row r="67" spans="1:28" x14ac:dyDescent="0.3">
      <c r="A67" s="3" t="s">
        <v>507</v>
      </c>
      <c r="B67" s="3" t="s">
        <v>508</v>
      </c>
      <c r="C67" s="3" t="s">
        <v>509</v>
      </c>
      <c r="D67" s="3" t="str">
        <f>_xlfn.CONCAT(Table1[[#This Row],[First_Name]],Table1[[#This Row],[Last_Name]])</f>
        <v>SarahButler</v>
      </c>
      <c r="E67" s="3">
        <v>64</v>
      </c>
      <c r="F67" s="3" t="s">
        <v>29</v>
      </c>
      <c r="G67" s="3" t="s">
        <v>30</v>
      </c>
      <c r="H67" s="3" t="s">
        <v>510</v>
      </c>
      <c r="I67" s="3" t="s">
        <v>511</v>
      </c>
      <c r="J67" s="3" t="s">
        <v>512</v>
      </c>
      <c r="K67" s="4">
        <v>45503</v>
      </c>
      <c r="L67" s="3" t="s">
        <v>513</v>
      </c>
      <c r="M67" s="3" t="s">
        <v>514</v>
      </c>
      <c r="N67" s="3">
        <v>136.30000000000001</v>
      </c>
      <c r="O67" s="3">
        <v>5</v>
      </c>
      <c r="P67" s="3" t="s">
        <v>58</v>
      </c>
      <c r="Q67" s="3">
        <v>6</v>
      </c>
      <c r="R67" s="3">
        <v>39</v>
      </c>
      <c r="S67" s="4">
        <v>45510</v>
      </c>
      <c r="T67" s="3" t="s">
        <v>515</v>
      </c>
      <c r="U67" s="5">
        <f>Table1[[#This Row],[Delivery_Date]]-Table1[[#This Row],[Order_Date]]</f>
        <v>7</v>
      </c>
      <c r="V67" s="5">
        <f>Table1[[#This Row],[Price]]*Table1[[#This Row],[Quantity]]</f>
        <v>681.5</v>
      </c>
      <c r="W67" s="6" cm="1">
        <f t="array" ref="W67">_xlfn.IFS(
P67="FLAT8",8%,
P67="FLAT10",10%,
P67="FLAT15",15%,P67="FLAT20",20%,P67="DEL0",0%,
TRUE,0%
)</f>
        <v>0.15</v>
      </c>
      <c r="X67" s="5">
        <f>Table1[[#This Row],[Amount]]-(Table1[[#This Row],[Amount]]*Table1[[#This Row],[Discount_Percentage]])</f>
        <v>579.27499999999998</v>
      </c>
      <c r="Y67" s="5">
        <f>IF(P67="DEL0",Table1[[#This Row],[Discount_Amount]],Table1[[#This Row],[Discount_Amount]]+Table1[[#This Row],[Delivery_Charge]])</f>
        <v>618.27499999999998</v>
      </c>
      <c r="Z67" s="7" t="str">
        <f>_xlfn.CONCAT(Table1[[#This Row],[First_Name]],"  ",Table1[[#This Row],[Last_Name]])</f>
        <v>Sarah  Butler</v>
      </c>
      <c r="AA67" s="5" t="str" cm="1">
        <f t="array" ref="AA67">_xlfn.IFS( (S67-K67)&gt;Q67,"Late", (S67-K67)=Q67,"InTime", (S67-K67)&lt;Q67,"BeforeTime" )</f>
        <v>Late</v>
      </c>
      <c r="AB67" s="3">
        <f>MONTH(Table1[[#This Row],[Order_Date]])</f>
        <v>7</v>
      </c>
    </row>
    <row r="68" spans="1:28" x14ac:dyDescent="0.3">
      <c r="A68" s="3" t="s">
        <v>255</v>
      </c>
      <c r="B68" s="3" t="s">
        <v>256</v>
      </c>
      <c r="C68" s="3" t="s">
        <v>257</v>
      </c>
      <c r="D68" s="3" t="str">
        <f>_xlfn.CONCAT(Table1[[#This Row],[First_Name]],Table1[[#This Row],[Last_Name]])</f>
        <v>AshleyRose</v>
      </c>
      <c r="E68" s="3">
        <v>60</v>
      </c>
      <c r="F68" s="3" t="s">
        <v>52</v>
      </c>
      <c r="G68" s="3" t="s">
        <v>30</v>
      </c>
      <c r="H68" s="3" t="s">
        <v>258</v>
      </c>
      <c r="I68" s="3" t="s">
        <v>259</v>
      </c>
      <c r="J68" s="3" t="s">
        <v>516</v>
      </c>
      <c r="K68" s="4">
        <v>45451</v>
      </c>
      <c r="L68" s="3" t="s">
        <v>517</v>
      </c>
      <c r="M68" s="3" t="s">
        <v>518</v>
      </c>
      <c r="N68" s="3">
        <v>441.03</v>
      </c>
      <c r="O68" s="3">
        <v>2</v>
      </c>
      <c r="P68" s="3" t="s">
        <v>96</v>
      </c>
      <c r="Q68" s="3">
        <v>3</v>
      </c>
      <c r="R68" s="3">
        <v>49</v>
      </c>
      <c r="S68" s="4">
        <v>45458</v>
      </c>
      <c r="T68" s="3" t="s">
        <v>519</v>
      </c>
      <c r="U68" s="5">
        <f>Table1[[#This Row],[Delivery_Date]]-Table1[[#This Row],[Order_Date]]</f>
        <v>7</v>
      </c>
      <c r="V68" s="5">
        <f>Table1[[#This Row],[Price]]*Table1[[#This Row],[Quantity]]</f>
        <v>882.06</v>
      </c>
      <c r="W68" s="6" cm="1">
        <f t="array" ref="W68">_xlfn.IFS(
P68="FLAT8",8%,
P68="FLAT10",10%,
P68="FLAT15",15%,P68="FLAT20",20%,P68="DEL0",0%,
TRUE,0%
)</f>
        <v>0.1</v>
      </c>
      <c r="X68" s="5">
        <f>Table1[[#This Row],[Amount]]-(Table1[[#This Row],[Amount]]*Table1[[#This Row],[Discount_Percentage]])</f>
        <v>793.85399999999993</v>
      </c>
      <c r="Y68" s="5">
        <f>IF(P68="DEL0",Table1[[#This Row],[Discount_Amount]],Table1[[#This Row],[Discount_Amount]]+Table1[[#This Row],[Delivery_Charge]])</f>
        <v>842.85399999999993</v>
      </c>
      <c r="Z68" s="7" t="str">
        <f>_xlfn.CONCAT(Table1[[#This Row],[First_Name]],"  ",Table1[[#This Row],[Last_Name]])</f>
        <v>Ashley  Rose</v>
      </c>
      <c r="AA68" s="5" t="str" cm="1">
        <f t="array" ref="AA68">_xlfn.IFS( (S68-K68)&gt;Q68,"Late", (S68-K68)=Q68,"InTime", (S68-K68)&lt;Q68,"BeforeTime" )</f>
        <v>Late</v>
      </c>
      <c r="AB68" s="3">
        <f>MONTH(Table1[[#This Row],[Order_Date]])</f>
        <v>6</v>
      </c>
    </row>
    <row r="69" spans="1:28" x14ac:dyDescent="0.3">
      <c r="A69" s="3" t="s">
        <v>520</v>
      </c>
      <c r="B69" s="3" t="s">
        <v>521</v>
      </c>
      <c r="C69" s="3" t="s">
        <v>522</v>
      </c>
      <c r="D69" s="3" t="str">
        <f>_xlfn.CONCAT(Table1[[#This Row],[First_Name]],Table1[[#This Row],[Last_Name]])</f>
        <v>KatherineWeber</v>
      </c>
      <c r="E69" s="3">
        <v>42</v>
      </c>
      <c r="F69" s="3" t="s">
        <v>52</v>
      </c>
      <c r="G69" s="3" t="s">
        <v>76</v>
      </c>
      <c r="H69" s="3" t="s">
        <v>523</v>
      </c>
      <c r="I69" s="3" t="s">
        <v>524</v>
      </c>
      <c r="J69" s="3" t="s">
        <v>525</v>
      </c>
      <c r="K69" s="4">
        <v>45322</v>
      </c>
      <c r="L69" s="3" t="s">
        <v>526</v>
      </c>
      <c r="M69" s="3" t="s">
        <v>430</v>
      </c>
      <c r="N69" s="3">
        <v>369.03</v>
      </c>
      <c r="O69" s="3">
        <v>4</v>
      </c>
      <c r="P69" s="3" t="s">
        <v>85</v>
      </c>
      <c r="Q69" s="3">
        <v>7</v>
      </c>
      <c r="R69" s="3">
        <v>52</v>
      </c>
      <c r="S69" s="4">
        <v>45327</v>
      </c>
      <c r="T69" s="3" t="s">
        <v>527</v>
      </c>
      <c r="U69" s="5">
        <f>Table1[[#This Row],[Delivery_Date]]-Table1[[#This Row],[Order_Date]]</f>
        <v>5</v>
      </c>
      <c r="V69" s="5">
        <f>Table1[[#This Row],[Price]]*Table1[[#This Row],[Quantity]]</f>
        <v>1476.12</v>
      </c>
      <c r="W69" s="6" cm="1">
        <f t="array" ref="W69">_xlfn.IFS(
P69="FLAT8",8%,
P69="FLAT10",10%,
P69="FLAT15",15%,P69="FLAT20",20%,P69="DEL0",0%,
TRUE,0%
)</f>
        <v>0.2</v>
      </c>
      <c r="X69" s="5">
        <f>Table1[[#This Row],[Amount]]-(Table1[[#This Row],[Amount]]*Table1[[#This Row],[Discount_Percentage]])</f>
        <v>1180.896</v>
      </c>
      <c r="Y69" s="5">
        <f>IF(P69="DEL0",Table1[[#This Row],[Discount_Amount]],Table1[[#This Row],[Discount_Amount]]+Table1[[#This Row],[Delivery_Charge]])</f>
        <v>1232.896</v>
      </c>
      <c r="Z69" s="7" t="str">
        <f>_xlfn.CONCAT(Table1[[#This Row],[First_Name]],"  ",Table1[[#This Row],[Last_Name]])</f>
        <v>Katherine  Weber</v>
      </c>
      <c r="AA69" s="5" t="str" cm="1">
        <f t="array" ref="AA69">_xlfn.IFS( (S69-K69)&gt;Q69,"Late", (S69-K69)=Q69,"InTime", (S69-K69)&lt;Q69,"BeforeTime" )</f>
        <v>BeforeTime</v>
      </c>
      <c r="AB69" s="3">
        <f>MONTH(Table1[[#This Row],[Order_Date]])</f>
        <v>1</v>
      </c>
    </row>
    <row r="70" spans="1:28" x14ac:dyDescent="0.3">
      <c r="A70" s="3" t="s">
        <v>528</v>
      </c>
      <c r="B70" s="3" t="s">
        <v>394</v>
      </c>
      <c r="C70" s="3" t="s">
        <v>529</v>
      </c>
      <c r="D70" s="3" t="str">
        <f>_xlfn.CONCAT(Table1[[#This Row],[First_Name]],Table1[[#This Row],[Last_Name]])</f>
        <v>JasonNguyen</v>
      </c>
      <c r="E70" s="3">
        <v>51</v>
      </c>
      <c r="F70" s="3" t="s">
        <v>52</v>
      </c>
      <c r="G70" s="3" t="s">
        <v>140</v>
      </c>
      <c r="H70" s="3" t="s">
        <v>530</v>
      </c>
      <c r="I70" s="3" t="s">
        <v>531</v>
      </c>
      <c r="J70" s="3" t="s">
        <v>532</v>
      </c>
      <c r="K70" s="4">
        <v>45277</v>
      </c>
      <c r="L70" s="3" t="s">
        <v>533</v>
      </c>
      <c r="M70" s="3" t="s">
        <v>356</v>
      </c>
      <c r="N70" s="3">
        <v>496.59</v>
      </c>
      <c r="O70" s="3">
        <v>4</v>
      </c>
      <c r="P70" s="3" t="s">
        <v>58</v>
      </c>
      <c r="Q70" s="3">
        <v>7</v>
      </c>
      <c r="R70" s="3">
        <v>36</v>
      </c>
      <c r="S70" s="4">
        <v>45280</v>
      </c>
      <c r="T70" s="3" t="s">
        <v>534</v>
      </c>
      <c r="U70" s="5">
        <f>Table1[[#This Row],[Delivery_Date]]-Table1[[#This Row],[Order_Date]]</f>
        <v>3</v>
      </c>
      <c r="V70" s="5">
        <f>Table1[[#This Row],[Price]]*Table1[[#This Row],[Quantity]]</f>
        <v>1986.36</v>
      </c>
      <c r="W70" s="6" cm="1">
        <f t="array" ref="W70">_xlfn.IFS(
P70="FLAT8",8%,
P70="FLAT10",10%,
P70="FLAT15",15%,P70="FLAT20",20%,P70="DEL0",0%,
TRUE,0%
)</f>
        <v>0.15</v>
      </c>
      <c r="X70" s="5">
        <f>Table1[[#This Row],[Amount]]-(Table1[[#This Row],[Amount]]*Table1[[#This Row],[Discount_Percentage]])</f>
        <v>1688.4059999999999</v>
      </c>
      <c r="Y70" s="5">
        <f>IF(P70="DEL0",Table1[[#This Row],[Discount_Amount]],Table1[[#This Row],[Discount_Amount]]+Table1[[#This Row],[Delivery_Charge]])</f>
        <v>1724.4059999999999</v>
      </c>
      <c r="Z70" s="7" t="str">
        <f>_xlfn.CONCAT(Table1[[#This Row],[First_Name]],"  ",Table1[[#This Row],[Last_Name]])</f>
        <v>Jason  Nguyen</v>
      </c>
      <c r="AA70" s="5" t="str" cm="1">
        <f t="array" ref="AA70">_xlfn.IFS( (S70-K70)&gt;Q70,"Late", (S70-K70)=Q70,"InTime", (S70-K70)&lt;Q70,"BeforeTime" )</f>
        <v>BeforeTime</v>
      </c>
      <c r="AB70" s="3">
        <f>MONTH(Table1[[#This Row],[Order_Date]])</f>
        <v>12</v>
      </c>
    </row>
    <row r="71" spans="1:28" x14ac:dyDescent="0.3">
      <c r="A71" s="3" t="s">
        <v>535</v>
      </c>
      <c r="B71" s="3" t="s">
        <v>536</v>
      </c>
      <c r="C71" s="3" t="s">
        <v>537</v>
      </c>
      <c r="D71" s="3" t="str">
        <f>_xlfn.CONCAT(Table1[[#This Row],[First_Name]],Table1[[#This Row],[Last_Name]])</f>
        <v>BrandonCruz</v>
      </c>
      <c r="E71" s="3">
        <v>32</v>
      </c>
      <c r="F71" s="3" t="s">
        <v>52</v>
      </c>
      <c r="G71" s="3" t="s">
        <v>90</v>
      </c>
      <c r="H71" s="3" t="s">
        <v>538</v>
      </c>
      <c r="I71" s="3" t="s">
        <v>539</v>
      </c>
      <c r="J71" s="3" t="s">
        <v>540</v>
      </c>
      <c r="K71" s="4">
        <v>45586</v>
      </c>
      <c r="L71" s="3" t="s">
        <v>541</v>
      </c>
      <c r="M71" s="3" t="s">
        <v>356</v>
      </c>
      <c r="N71" s="3">
        <v>496.59</v>
      </c>
      <c r="O71" s="3">
        <v>2</v>
      </c>
      <c r="P71" s="3" t="s">
        <v>36</v>
      </c>
      <c r="Q71" s="3">
        <v>5</v>
      </c>
      <c r="R71" s="3">
        <v>41</v>
      </c>
      <c r="S71" s="4">
        <v>45588</v>
      </c>
      <c r="T71" s="3" t="s">
        <v>542</v>
      </c>
      <c r="U71" s="5">
        <f>Table1[[#This Row],[Delivery_Date]]-Table1[[#This Row],[Order_Date]]</f>
        <v>2</v>
      </c>
      <c r="V71" s="5">
        <f>Table1[[#This Row],[Price]]*Table1[[#This Row],[Quantity]]</f>
        <v>993.18</v>
      </c>
      <c r="W71" s="6" cm="1">
        <f t="array" ref="W71">_xlfn.IFS(
P71="FLAT8",8%,
P71="FLAT10",10%,
P71="FLAT15",15%,P71="FLAT20",20%,P71="DEL0",0%,
TRUE,0%
)</f>
        <v>0.08</v>
      </c>
      <c r="X71" s="5">
        <f>Table1[[#This Row],[Amount]]-(Table1[[#This Row],[Amount]]*Table1[[#This Row],[Discount_Percentage]])</f>
        <v>913.72559999999999</v>
      </c>
      <c r="Y71" s="5">
        <f>IF(P71="DEL0",Table1[[#This Row],[Discount_Amount]],Table1[[#This Row],[Discount_Amount]]+Table1[[#This Row],[Delivery_Charge]])</f>
        <v>954.72559999999999</v>
      </c>
      <c r="Z71" s="7" t="str">
        <f>_xlfn.CONCAT(Table1[[#This Row],[First_Name]],"  ",Table1[[#This Row],[Last_Name]])</f>
        <v>Brandon  Cruz</v>
      </c>
      <c r="AA71" s="5" t="str" cm="1">
        <f t="array" ref="AA71">_xlfn.IFS( (S71-K71)&gt;Q71,"Late", (S71-K71)=Q71,"InTime", (S71-K71)&lt;Q71,"BeforeTime" )</f>
        <v>BeforeTime</v>
      </c>
      <c r="AB71" s="3">
        <f>MONTH(Table1[[#This Row],[Order_Date]])</f>
        <v>10</v>
      </c>
    </row>
    <row r="72" spans="1:28" x14ac:dyDescent="0.3">
      <c r="A72" s="3" t="s">
        <v>26</v>
      </c>
      <c r="B72" s="3" t="s">
        <v>27</v>
      </c>
      <c r="C72" s="3" t="s">
        <v>28</v>
      </c>
      <c r="D72" s="3" t="str">
        <f>_xlfn.CONCAT(Table1[[#This Row],[First_Name]],Table1[[#This Row],[Last_Name]])</f>
        <v>AnneOconnell</v>
      </c>
      <c r="E72" s="3">
        <v>37</v>
      </c>
      <c r="F72" s="3" t="s">
        <v>29</v>
      </c>
      <c r="G72" s="3" t="s">
        <v>30</v>
      </c>
      <c r="H72" s="3" t="s">
        <v>31</v>
      </c>
      <c r="I72" s="3" t="s">
        <v>32</v>
      </c>
      <c r="J72" s="3" t="s">
        <v>543</v>
      </c>
      <c r="K72" s="4">
        <v>45567</v>
      </c>
      <c r="L72" s="3" t="s">
        <v>544</v>
      </c>
      <c r="M72" s="3" t="s">
        <v>35</v>
      </c>
      <c r="N72" s="3">
        <v>308.88</v>
      </c>
      <c r="O72" s="3">
        <v>1</v>
      </c>
      <c r="P72" s="3" t="s">
        <v>63</v>
      </c>
      <c r="Q72" s="3">
        <v>6</v>
      </c>
      <c r="R72" s="3">
        <v>62</v>
      </c>
      <c r="S72" s="4">
        <v>45569</v>
      </c>
      <c r="T72" s="3" t="s">
        <v>545</v>
      </c>
      <c r="U72" s="5">
        <f>Table1[[#This Row],[Delivery_Date]]-Table1[[#This Row],[Order_Date]]</f>
        <v>2</v>
      </c>
      <c r="V72" s="5">
        <f>Table1[[#This Row],[Price]]*Table1[[#This Row],[Quantity]]</f>
        <v>308.88</v>
      </c>
      <c r="W72" s="6" cm="1">
        <f t="array" ref="W72">_xlfn.IFS(
P72="FLAT8",8%,
P72="FLAT10",10%,
P72="FLAT15",15%,P72="FLAT20",20%,P72="DEL0",0%,
TRUE,0%
)</f>
        <v>0</v>
      </c>
      <c r="X72" s="5">
        <f>Table1[[#This Row],[Amount]]-(Table1[[#This Row],[Amount]]*Table1[[#This Row],[Discount_Percentage]])</f>
        <v>308.88</v>
      </c>
      <c r="Y72" s="5">
        <f>IF(P72="DEL0",Table1[[#This Row],[Discount_Amount]],Table1[[#This Row],[Discount_Amount]]+Table1[[#This Row],[Delivery_Charge]])</f>
        <v>308.88</v>
      </c>
      <c r="Z72" s="7" t="str">
        <f>_xlfn.CONCAT(Table1[[#This Row],[First_Name]],"  ",Table1[[#This Row],[Last_Name]])</f>
        <v>Anne  Oconnell</v>
      </c>
      <c r="AA72" s="5" t="str" cm="1">
        <f t="array" ref="AA72">_xlfn.IFS( (S72-K72)&gt;Q72,"Late", (S72-K72)=Q72,"InTime", (S72-K72)&lt;Q72,"BeforeTime" )</f>
        <v>BeforeTime</v>
      </c>
      <c r="AB72" s="3">
        <f>MONTH(Table1[[#This Row],[Order_Date]])</f>
        <v>10</v>
      </c>
    </row>
    <row r="73" spans="1:28" x14ac:dyDescent="0.3">
      <c r="A73" s="3" t="s">
        <v>546</v>
      </c>
      <c r="B73" s="3" t="s">
        <v>547</v>
      </c>
      <c r="C73" s="3" t="s">
        <v>548</v>
      </c>
      <c r="D73" s="3" t="str">
        <f>_xlfn.CONCAT(Table1[[#This Row],[First_Name]],Table1[[#This Row],[Last_Name]])</f>
        <v>JodiWhitney</v>
      </c>
      <c r="E73" s="3">
        <v>33</v>
      </c>
      <c r="F73" s="3" t="s">
        <v>52</v>
      </c>
      <c r="G73" s="3" t="s">
        <v>168</v>
      </c>
      <c r="H73" s="3" t="s">
        <v>549</v>
      </c>
      <c r="I73" s="3" t="s">
        <v>550</v>
      </c>
      <c r="J73" s="3" t="s">
        <v>551</v>
      </c>
      <c r="K73" s="4">
        <v>45495</v>
      </c>
      <c r="L73" s="3" t="s">
        <v>552</v>
      </c>
      <c r="M73" s="3" t="s">
        <v>553</v>
      </c>
      <c r="N73" s="3">
        <v>425.59</v>
      </c>
      <c r="O73" s="3">
        <v>4</v>
      </c>
      <c r="P73" s="3" t="s">
        <v>63</v>
      </c>
      <c r="Q73" s="3">
        <v>6</v>
      </c>
      <c r="R73" s="3">
        <v>53</v>
      </c>
      <c r="S73" s="4">
        <v>45496</v>
      </c>
      <c r="T73" s="3" t="s">
        <v>554</v>
      </c>
      <c r="U73" s="5">
        <f>Table1[[#This Row],[Delivery_Date]]-Table1[[#This Row],[Order_Date]]</f>
        <v>1</v>
      </c>
      <c r="V73" s="5">
        <f>Table1[[#This Row],[Price]]*Table1[[#This Row],[Quantity]]</f>
        <v>1702.36</v>
      </c>
      <c r="W73" s="6" cm="1">
        <f t="array" ref="W73">_xlfn.IFS(
P73="FLAT8",8%,
P73="FLAT10",10%,
P73="FLAT15",15%,P73="FLAT20",20%,P73="DEL0",0%,
TRUE,0%
)</f>
        <v>0</v>
      </c>
      <c r="X73" s="5">
        <f>Table1[[#This Row],[Amount]]-(Table1[[#This Row],[Amount]]*Table1[[#This Row],[Discount_Percentage]])</f>
        <v>1702.36</v>
      </c>
      <c r="Y73" s="5">
        <f>IF(P73="DEL0",Table1[[#This Row],[Discount_Amount]],Table1[[#This Row],[Discount_Amount]]+Table1[[#This Row],[Delivery_Charge]])</f>
        <v>1702.36</v>
      </c>
      <c r="Z73" s="7" t="str">
        <f>_xlfn.CONCAT(Table1[[#This Row],[First_Name]],"  ",Table1[[#This Row],[Last_Name]])</f>
        <v>Jodi  Whitney</v>
      </c>
      <c r="AA73" s="5" t="str" cm="1">
        <f t="array" ref="AA73">_xlfn.IFS( (S73-K73)&gt;Q73,"Late", (S73-K73)=Q73,"InTime", (S73-K73)&lt;Q73,"BeforeTime" )</f>
        <v>BeforeTime</v>
      </c>
      <c r="AB73" s="3">
        <f>MONTH(Table1[[#This Row],[Order_Date]])</f>
        <v>7</v>
      </c>
    </row>
    <row r="74" spans="1:28" x14ac:dyDescent="0.3">
      <c r="A74" s="3" t="s">
        <v>217</v>
      </c>
      <c r="B74" s="3" t="s">
        <v>218</v>
      </c>
      <c r="C74" s="3" t="s">
        <v>219</v>
      </c>
      <c r="D74" s="3" t="str">
        <f>_xlfn.CONCAT(Table1[[#This Row],[First_Name]],Table1[[#This Row],[Last_Name]])</f>
        <v>MarkHenderson</v>
      </c>
      <c r="E74" s="3">
        <v>33</v>
      </c>
      <c r="F74" s="3" t="s">
        <v>52</v>
      </c>
      <c r="G74" s="3" t="s">
        <v>220</v>
      </c>
      <c r="H74" s="3" t="s">
        <v>221</v>
      </c>
      <c r="I74" s="3" t="s">
        <v>222</v>
      </c>
      <c r="J74" s="3" t="s">
        <v>555</v>
      </c>
      <c r="K74" s="4">
        <v>45355</v>
      </c>
      <c r="L74" s="3" t="s">
        <v>556</v>
      </c>
      <c r="M74" s="3" t="s">
        <v>35</v>
      </c>
      <c r="N74" s="3">
        <v>308.88</v>
      </c>
      <c r="O74" s="3">
        <v>1</v>
      </c>
      <c r="P74" s="3" t="s">
        <v>96</v>
      </c>
      <c r="Q74" s="3">
        <v>1</v>
      </c>
      <c r="R74" s="3">
        <v>56</v>
      </c>
      <c r="S74" s="4">
        <v>45360</v>
      </c>
      <c r="T74" s="3" t="s">
        <v>557</v>
      </c>
      <c r="U74" s="5">
        <f>Table1[[#This Row],[Delivery_Date]]-Table1[[#This Row],[Order_Date]]</f>
        <v>5</v>
      </c>
      <c r="V74" s="5">
        <f>Table1[[#This Row],[Price]]*Table1[[#This Row],[Quantity]]</f>
        <v>308.88</v>
      </c>
      <c r="W74" s="6" cm="1">
        <f t="array" ref="W74">_xlfn.IFS(
P74="FLAT8",8%,
P74="FLAT10",10%,
P74="FLAT15",15%,P74="FLAT20",20%,P74="DEL0",0%,
TRUE,0%
)</f>
        <v>0.1</v>
      </c>
      <c r="X74" s="5">
        <f>Table1[[#This Row],[Amount]]-(Table1[[#This Row],[Amount]]*Table1[[#This Row],[Discount_Percentage]])</f>
        <v>277.99200000000002</v>
      </c>
      <c r="Y74" s="5">
        <f>IF(P74="DEL0",Table1[[#This Row],[Discount_Amount]],Table1[[#This Row],[Discount_Amount]]+Table1[[#This Row],[Delivery_Charge]])</f>
        <v>333.99200000000002</v>
      </c>
      <c r="Z74" s="7" t="str">
        <f>_xlfn.CONCAT(Table1[[#This Row],[First_Name]],"  ",Table1[[#This Row],[Last_Name]])</f>
        <v>Mark  Henderson</v>
      </c>
      <c r="AA74" s="5" t="str" cm="1">
        <f t="array" ref="AA74">_xlfn.IFS( (S74-K74)&gt;Q74,"Late", (S74-K74)=Q74,"InTime", (S74-K74)&lt;Q74,"BeforeTime" )</f>
        <v>Late</v>
      </c>
      <c r="AB74" s="3">
        <f>MONTH(Table1[[#This Row],[Order_Date]])</f>
        <v>3</v>
      </c>
    </row>
    <row r="75" spans="1:28" x14ac:dyDescent="0.3">
      <c r="A75" s="3" t="s">
        <v>450</v>
      </c>
      <c r="B75" s="3" t="s">
        <v>451</v>
      </c>
      <c r="C75" s="3" t="s">
        <v>452</v>
      </c>
      <c r="D75" s="3" t="str">
        <f>_xlfn.CONCAT(Table1[[#This Row],[First_Name]],Table1[[#This Row],[Last_Name]])</f>
        <v>BrianKennedy</v>
      </c>
      <c r="E75" s="3">
        <v>69</v>
      </c>
      <c r="F75" s="3" t="s">
        <v>29</v>
      </c>
      <c r="G75" s="3" t="s">
        <v>30</v>
      </c>
      <c r="H75" s="3" t="s">
        <v>453</v>
      </c>
      <c r="I75" s="3" t="s">
        <v>454</v>
      </c>
      <c r="J75" s="3" t="s">
        <v>558</v>
      </c>
      <c r="K75" s="4">
        <v>45132</v>
      </c>
      <c r="L75" s="3" t="s">
        <v>559</v>
      </c>
      <c r="M75" s="3" t="s">
        <v>383</v>
      </c>
      <c r="N75" s="3">
        <v>431.44</v>
      </c>
      <c r="O75" s="3">
        <v>5</v>
      </c>
      <c r="P75" s="3" t="s">
        <v>58</v>
      </c>
      <c r="Q75" s="3">
        <v>6</v>
      </c>
      <c r="R75" s="3">
        <v>59</v>
      </c>
      <c r="S75" s="4">
        <v>45139</v>
      </c>
      <c r="T75" s="3" t="s">
        <v>560</v>
      </c>
      <c r="U75" s="5">
        <f>Table1[[#This Row],[Delivery_Date]]-Table1[[#This Row],[Order_Date]]</f>
        <v>7</v>
      </c>
      <c r="V75" s="5">
        <f>Table1[[#This Row],[Price]]*Table1[[#This Row],[Quantity]]</f>
        <v>2157.1999999999998</v>
      </c>
      <c r="W75" s="6" cm="1">
        <f t="array" ref="W75">_xlfn.IFS(
P75="FLAT8",8%,
P75="FLAT10",10%,
P75="FLAT15",15%,P75="FLAT20",20%,P75="DEL0",0%,
TRUE,0%
)</f>
        <v>0.15</v>
      </c>
      <c r="X75" s="5">
        <f>Table1[[#This Row],[Amount]]-(Table1[[#This Row],[Amount]]*Table1[[#This Row],[Discount_Percentage]])</f>
        <v>1833.62</v>
      </c>
      <c r="Y75" s="5">
        <f>IF(P75="DEL0",Table1[[#This Row],[Discount_Amount]],Table1[[#This Row],[Discount_Amount]]+Table1[[#This Row],[Delivery_Charge]])</f>
        <v>1892.62</v>
      </c>
      <c r="Z75" s="7" t="str">
        <f>_xlfn.CONCAT(Table1[[#This Row],[First_Name]],"  ",Table1[[#This Row],[Last_Name]])</f>
        <v>Brian  Kennedy</v>
      </c>
      <c r="AA75" s="5" t="str" cm="1">
        <f t="array" ref="AA75">_xlfn.IFS( (S75-K75)&gt;Q75,"Late", (S75-K75)=Q75,"InTime", (S75-K75)&lt;Q75,"BeforeTime" )</f>
        <v>Late</v>
      </c>
      <c r="AB75" s="3">
        <f>MONTH(Table1[[#This Row],[Order_Date]])</f>
        <v>7</v>
      </c>
    </row>
    <row r="76" spans="1:28" x14ac:dyDescent="0.3">
      <c r="A76" s="3" t="s">
        <v>450</v>
      </c>
      <c r="B76" s="3" t="s">
        <v>451</v>
      </c>
      <c r="C76" s="3" t="s">
        <v>452</v>
      </c>
      <c r="D76" s="3" t="str">
        <f>_xlfn.CONCAT(Table1[[#This Row],[First_Name]],Table1[[#This Row],[Last_Name]])</f>
        <v>BrianKennedy</v>
      </c>
      <c r="E76" s="3">
        <v>69</v>
      </c>
      <c r="F76" s="3" t="s">
        <v>29</v>
      </c>
      <c r="G76" s="3" t="s">
        <v>30</v>
      </c>
      <c r="H76" s="3" t="s">
        <v>453</v>
      </c>
      <c r="I76" s="3" t="s">
        <v>454</v>
      </c>
      <c r="J76" s="3" t="s">
        <v>561</v>
      </c>
      <c r="K76" s="4">
        <v>45650</v>
      </c>
      <c r="L76" s="3" t="s">
        <v>562</v>
      </c>
      <c r="M76" s="3" t="s">
        <v>563</v>
      </c>
      <c r="N76" s="3">
        <v>133.62</v>
      </c>
      <c r="O76" s="3">
        <v>2</v>
      </c>
      <c r="P76" s="3" t="s">
        <v>96</v>
      </c>
      <c r="Q76" s="3">
        <v>4</v>
      </c>
      <c r="R76" s="3">
        <v>50</v>
      </c>
      <c r="S76" s="4">
        <v>45651</v>
      </c>
      <c r="T76" s="3" t="s">
        <v>564</v>
      </c>
      <c r="U76" s="5">
        <f>Table1[[#This Row],[Delivery_Date]]-Table1[[#This Row],[Order_Date]]</f>
        <v>1</v>
      </c>
      <c r="V76" s="5">
        <f>Table1[[#This Row],[Price]]*Table1[[#This Row],[Quantity]]</f>
        <v>267.24</v>
      </c>
      <c r="W76" s="6" cm="1">
        <f t="array" ref="W76">_xlfn.IFS(
P76="FLAT8",8%,
P76="FLAT10",10%,
P76="FLAT15",15%,P76="FLAT20",20%,P76="DEL0",0%,
TRUE,0%
)</f>
        <v>0.1</v>
      </c>
      <c r="X76" s="5">
        <f>Table1[[#This Row],[Amount]]-(Table1[[#This Row],[Amount]]*Table1[[#This Row],[Discount_Percentage]])</f>
        <v>240.51600000000002</v>
      </c>
      <c r="Y76" s="5">
        <f>IF(P76="DEL0",Table1[[#This Row],[Discount_Amount]],Table1[[#This Row],[Discount_Amount]]+Table1[[#This Row],[Delivery_Charge]])</f>
        <v>290.51600000000002</v>
      </c>
      <c r="Z76" s="7" t="str">
        <f>_xlfn.CONCAT(Table1[[#This Row],[First_Name]],"  ",Table1[[#This Row],[Last_Name]])</f>
        <v>Brian  Kennedy</v>
      </c>
      <c r="AA76" s="5" t="str" cm="1">
        <f t="array" ref="AA76">_xlfn.IFS( (S76-K76)&gt;Q76,"Late", (S76-K76)=Q76,"InTime", (S76-K76)&lt;Q76,"BeforeTime" )</f>
        <v>BeforeTime</v>
      </c>
      <c r="AB76" s="3">
        <f>MONTH(Table1[[#This Row],[Order_Date]])</f>
        <v>12</v>
      </c>
    </row>
    <row r="77" spans="1:28" x14ac:dyDescent="0.3">
      <c r="A77" s="3" t="s">
        <v>280</v>
      </c>
      <c r="B77" s="3" t="s">
        <v>281</v>
      </c>
      <c r="C77" s="3" t="s">
        <v>282</v>
      </c>
      <c r="D77" s="3" t="str">
        <f>_xlfn.CONCAT(Table1[[#This Row],[First_Name]],Table1[[#This Row],[Last_Name]])</f>
        <v>TeresaHarvey</v>
      </c>
      <c r="E77" s="3">
        <v>64</v>
      </c>
      <c r="F77" s="3" t="s">
        <v>52</v>
      </c>
      <c r="G77" s="3" t="s">
        <v>30</v>
      </c>
      <c r="H77" s="3" t="s">
        <v>283</v>
      </c>
      <c r="I77" s="3" t="s">
        <v>284</v>
      </c>
      <c r="J77" s="3" t="s">
        <v>565</v>
      </c>
      <c r="K77" s="4">
        <v>45459</v>
      </c>
      <c r="L77" s="3" t="s">
        <v>566</v>
      </c>
      <c r="M77" s="3" t="s">
        <v>95</v>
      </c>
      <c r="N77" s="3">
        <v>363.64</v>
      </c>
      <c r="O77" s="3">
        <v>3</v>
      </c>
      <c r="P77" s="3" t="s">
        <v>63</v>
      </c>
      <c r="Q77" s="3">
        <v>7</v>
      </c>
      <c r="R77" s="3">
        <v>41</v>
      </c>
      <c r="S77" s="4">
        <v>45461</v>
      </c>
      <c r="T77" s="3" t="s">
        <v>567</v>
      </c>
      <c r="U77" s="5">
        <f>Table1[[#This Row],[Delivery_Date]]-Table1[[#This Row],[Order_Date]]</f>
        <v>2</v>
      </c>
      <c r="V77" s="5">
        <f>Table1[[#This Row],[Price]]*Table1[[#This Row],[Quantity]]</f>
        <v>1090.92</v>
      </c>
      <c r="W77" s="6" cm="1">
        <f t="array" ref="W77">_xlfn.IFS(
P77="FLAT8",8%,
P77="FLAT10",10%,
P77="FLAT15",15%,P77="FLAT20",20%,P77="DEL0",0%,
TRUE,0%
)</f>
        <v>0</v>
      </c>
      <c r="X77" s="5">
        <f>Table1[[#This Row],[Amount]]-(Table1[[#This Row],[Amount]]*Table1[[#This Row],[Discount_Percentage]])</f>
        <v>1090.92</v>
      </c>
      <c r="Y77" s="5">
        <f>IF(P77="DEL0",Table1[[#This Row],[Discount_Amount]],Table1[[#This Row],[Discount_Amount]]+Table1[[#This Row],[Delivery_Charge]])</f>
        <v>1090.92</v>
      </c>
      <c r="Z77" s="7" t="str">
        <f>_xlfn.CONCAT(Table1[[#This Row],[First_Name]],"  ",Table1[[#This Row],[Last_Name]])</f>
        <v>Teresa  Harvey</v>
      </c>
      <c r="AA77" s="5" t="str" cm="1">
        <f t="array" ref="AA77">_xlfn.IFS( (S77-K77)&gt;Q77,"Late", (S77-K77)=Q77,"InTime", (S77-K77)&lt;Q77,"BeforeTime" )</f>
        <v>BeforeTime</v>
      </c>
      <c r="AB77" s="3">
        <f>MONTH(Table1[[#This Row],[Order_Date]])</f>
        <v>6</v>
      </c>
    </row>
    <row r="78" spans="1:28" x14ac:dyDescent="0.3">
      <c r="A78" s="3" t="s">
        <v>38</v>
      </c>
      <c r="B78" s="3" t="s">
        <v>39</v>
      </c>
      <c r="C78" s="3" t="s">
        <v>40</v>
      </c>
      <c r="D78" s="3" t="str">
        <f>_xlfn.CONCAT(Table1[[#This Row],[First_Name]],Table1[[#This Row],[Last_Name]])</f>
        <v>AnthonyThomas</v>
      </c>
      <c r="E78" s="3">
        <v>53</v>
      </c>
      <c r="F78" s="3" t="s">
        <v>41</v>
      </c>
      <c r="G78" s="3" t="s">
        <v>42</v>
      </c>
      <c r="H78" s="3" t="s">
        <v>43</v>
      </c>
      <c r="I78" s="3" t="s">
        <v>44</v>
      </c>
      <c r="J78" s="3" t="s">
        <v>568</v>
      </c>
      <c r="K78" s="4">
        <v>45041</v>
      </c>
      <c r="L78" s="3" t="s">
        <v>569</v>
      </c>
      <c r="M78" s="3" t="s">
        <v>250</v>
      </c>
      <c r="N78" s="3">
        <v>128.13999999999999</v>
      </c>
      <c r="O78" s="3">
        <v>1</v>
      </c>
      <c r="P78" s="3" t="s">
        <v>36</v>
      </c>
      <c r="Q78" s="3">
        <v>7</v>
      </c>
      <c r="R78" s="3">
        <v>70</v>
      </c>
      <c r="S78" s="4">
        <v>45045</v>
      </c>
      <c r="T78" s="3" t="s">
        <v>570</v>
      </c>
      <c r="U78" s="5">
        <f>Table1[[#This Row],[Delivery_Date]]-Table1[[#This Row],[Order_Date]]</f>
        <v>4</v>
      </c>
      <c r="V78" s="5">
        <f>Table1[[#This Row],[Price]]*Table1[[#This Row],[Quantity]]</f>
        <v>128.13999999999999</v>
      </c>
      <c r="W78" s="6" cm="1">
        <f t="array" ref="W78">_xlfn.IFS(
P78="FLAT8",8%,
P78="FLAT10",10%,
P78="FLAT15",15%,P78="FLAT20",20%,P78="DEL0",0%,
TRUE,0%
)</f>
        <v>0.08</v>
      </c>
      <c r="X78" s="5">
        <f>Table1[[#This Row],[Amount]]-(Table1[[#This Row],[Amount]]*Table1[[#This Row],[Discount_Percentage]])</f>
        <v>117.88879999999999</v>
      </c>
      <c r="Y78" s="5">
        <f>IF(P78="DEL0",Table1[[#This Row],[Discount_Amount]],Table1[[#This Row],[Discount_Amount]]+Table1[[#This Row],[Delivery_Charge]])</f>
        <v>187.8888</v>
      </c>
      <c r="Z78" s="7" t="str">
        <f>_xlfn.CONCAT(Table1[[#This Row],[First_Name]],"  ",Table1[[#This Row],[Last_Name]])</f>
        <v>Anthony  Thomas</v>
      </c>
      <c r="AA78" s="5" t="str" cm="1">
        <f t="array" ref="AA78">_xlfn.IFS( (S78-K78)&gt;Q78,"Late", (S78-K78)=Q78,"InTime", (S78-K78)&lt;Q78,"BeforeTime" )</f>
        <v>BeforeTime</v>
      </c>
      <c r="AB78" s="3">
        <f>MONTH(Table1[[#This Row],[Order_Date]])</f>
        <v>4</v>
      </c>
    </row>
    <row r="79" spans="1:28" x14ac:dyDescent="0.3">
      <c r="A79" s="3" t="s">
        <v>385</v>
      </c>
      <c r="B79" s="3" t="s">
        <v>386</v>
      </c>
      <c r="C79" s="3" t="s">
        <v>387</v>
      </c>
      <c r="D79" s="3" t="str">
        <f>_xlfn.CONCAT(Table1[[#This Row],[First_Name]],Table1[[#This Row],[Last_Name]])</f>
        <v>AaronThompson</v>
      </c>
      <c r="E79" s="3">
        <v>47</v>
      </c>
      <c r="F79" s="3" t="s">
        <v>41</v>
      </c>
      <c r="G79" s="3" t="s">
        <v>90</v>
      </c>
      <c r="H79" s="3" t="s">
        <v>388</v>
      </c>
      <c r="I79" s="3" t="s">
        <v>389</v>
      </c>
      <c r="J79" s="3" t="s">
        <v>571</v>
      </c>
      <c r="K79" s="4">
        <v>45683</v>
      </c>
      <c r="L79" s="3" t="s">
        <v>572</v>
      </c>
      <c r="M79" s="3" t="s">
        <v>573</v>
      </c>
      <c r="N79" s="3">
        <v>477.52</v>
      </c>
      <c r="O79" s="3">
        <v>2</v>
      </c>
      <c r="P79" s="3" t="s">
        <v>36</v>
      </c>
      <c r="Q79" s="3">
        <v>6</v>
      </c>
      <c r="R79" s="3">
        <v>55</v>
      </c>
      <c r="S79" s="4">
        <v>45685</v>
      </c>
      <c r="T79" s="3" t="s">
        <v>574</v>
      </c>
      <c r="U79" s="5">
        <f>Table1[[#This Row],[Delivery_Date]]-Table1[[#This Row],[Order_Date]]</f>
        <v>2</v>
      </c>
      <c r="V79" s="5">
        <f>Table1[[#This Row],[Price]]*Table1[[#This Row],[Quantity]]</f>
        <v>955.04</v>
      </c>
      <c r="W79" s="6" cm="1">
        <f t="array" ref="W79">_xlfn.IFS(
P79="FLAT8",8%,
P79="FLAT10",10%,
P79="FLAT15",15%,P79="FLAT20",20%,P79="DEL0",0%,
TRUE,0%
)</f>
        <v>0.08</v>
      </c>
      <c r="X79" s="5">
        <f>Table1[[#This Row],[Amount]]-(Table1[[#This Row],[Amount]]*Table1[[#This Row],[Discount_Percentage]])</f>
        <v>878.63679999999999</v>
      </c>
      <c r="Y79" s="5">
        <f>IF(P79="DEL0",Table1[[#This Row],[Discount_Amount]],Table1[[#This Row],[Discount_Amount]]+Table1[[#This Row],[Delivery_Charge]])</f>
        <v>933.63679999999999</v>
      </c>
      <c r="Z79" s="7" t="str">
        <f>_xlfn.CONCAT(Table1[[#This Row],[First_Name]],"  ",Table1[[#This Row],[Last_Name]])</f>
        <v>Aaron  Thompson</v>
      </c>
      <c r="AA79" s="5" t="str" cm="1">
        <f t="array" ref="AA79">_xlfn.IFS( (S79-K79)&gt;Q79,"Late", (S79-K79)=Q79,"InTime", (S79-K79)&lt;Q79,"BeforeTime" )</f>
        <v>BeforeTime</v>
      </c>
      <c r="AB79" s="3">
        <f>MONTH(Table1[[#This Row],[Order_Date]])</f>
        <v>1</v>
      </c>
    </row>
    <row r="80" spans="1:28" x14ac:dyDescent="0.3">
      <c r="A80" s="3" t="s">
        <v>575</v>
      </c>
      <c r="B80" s="3" t="s">
        <v>256</v>
      </c>
      <c r="C80" s="3" t="s">
        <v>576</v>
      </c>
      <c r="D80" s="3" t="str">
        <f>_xlfn.CONCAT(Table1[[#This Row],[First_Name]],Table1[[#This Row],[Last_Name]])</f>
        <v>AshleyRomero</v>
      </c>
      <c r="E80" s="3">
        <v>35</v>
      </c>
      <c r="F80" s="3" t="s">
        <v>29</v>
      </c>
      <c r="G80" s="3" t="s">
        <v>30</v>
      </c>
      <c r="H80" s="3" t="s">
        <v>577</v>
      </c>
      <c r="I80" s="3" t="s">
        <v>578</v>
      </c>
      <c r="J80" s="3" t="s">
        <v>579</v>
      </c>
      <c r="K80" s="4">
        <v>45054</v>
      </c>
      <c r="L80" s="3" t="s">
        <v>580</v>
      </c>
      <c r="M80" s="3" t="s">
        <v>242</v>
      </c>
      <c r="N80" s="3">
        <v>126.19</v>
      </c>
      <c r="O80" s="3">
        <v>3</v>
      </c>
      <c r="P80" s="3" t="s">
        <v>63</v>
      </c>
      <c r="Q80" s="3">
        <v>5</v>
      </c>
      <c r="R80" s="3">
        <v>40</v>
      </c>
      <c r="S80" s="4">
        <v>45058</v>
      </c>
      <c r="T80" s="3" t="s">
        <v>581</v>
      </c>
      <c r="U80" s="5">
        <f>Table1[[#This Row],[Delivery_Date]]-Table1[[#This Row],[Order_Date]]</f>
        <v>4</v>
      </c>
      <c r="V80" s="5">
        <f>Table1[[#This Row],[Price]]*Table1[[#This Row],[Quantity]]</f>
        <v>378.57</v>
      </c>
      <c r="W80" s="6" cm="1">
        <f t="array" ref="W80">_xlfn.IFS(
P80="FLAT8",8%,
P80="FLAT10",10%,
P80="FLAT15",15%,P80="FLAT20",20%,P80="DEL0",0%,
TRUE,0%
)</f>
        <v>0</v>
      </c>
      <c r="X80" s="5">
        <f>Table1[[#This Row],[Amount]]-(Table1[[#This Row],[Amount]]*Table1[[#This Row],[Discount_Percentage]])</f>
        <v>378.57</v>
      </c>
      <c r="Y80" s="5">
        <f>IF(P80="DEL0",Table1[[#This Row],[Discount_Amount]],Table1[[#This Row],[Discount_Amount]]+Table1[[#This Row],[Delivery_Charge]])</f>
        <v>378.57</v>
      </c>
      <c r="Z80" s="7" t="str">
        <f>_xlfn.CONCAT(Table1[[#This Row],[First_Name]],"  ",Table1[[#This Row],[Last_Name]])</f>
        <v>Ashley  Romero</v>
      </c>
      <c r="AA80" s="5" t="str" cm="1">
        <f t="array" ref="AA80">_xlfn.IFS( (S80-K80)&gt;Q80,"Late", (S80-K80)=Q80,"InTime", (S80-K80)&lt;Q80,"BeforeTime" )</f>
        <v>BeforeTime</v>
      </c>
      <c r="AB80" s="3">
        <f>MONTH(Table1[[#This Row],[Order_Date]])</f>
        <v>5</v>
      </c>
    </row>
    <row r="81" spans="1:28" x14ac:dyDescent="0.3">
      <c r="A81" s="3" t="s">
        <v>412</v>
      </c>
      <c r="B81" s="3" t="s">
        <v>228</v>
      </c>
      <c r="C81" s="3" t="s">
        <v>413</v>
      </c>
      <c r="D81" s="3" t="str">
        <f>_xlfn.CONCAT(Table1[[#This Row],[First_Name]],Table1[[#This Row],[Last_Name]])</f>
        <v>JohnRamirez</v>
      </c>
      <c r="E81" s="3">
        <v>28</v>
      </c>
      <c r="F81" s="3" t="s">
        <v>52</v>
      </c>
      <c r="G81" s="3" t="s">
        <v>140</v>
      </c>
      <c r="H81" s="3" t="s">
        <v>414</v>
      </c>
      <c r="I81" s="3" t="s">
        <v>415</v>
      </c>
      <c r="J81" s="3" t="s">
        <v>582</v>
      </c>
      <c r="K81" s="4">
        <v>45443</v>
      </c>
      <c r="L81" s="3" t="s">
        <v>583</v>
      </c>
      <c r="M81" s="3" t="s">
        <v>323</v>
      </c>
      <c r="N81" s="3">
        <v>481.48</v>
      </c>
      <c r="O81" s="3">
        <v>4</v>
      </c>
      <c r="P81" s="3" t="s">
        <v>96</v>
      </c>
      <c r="Q81" s="3">
        <v>1</v>
      </c>
      <c r="R81" s="3">
        <v>36</v>
      </c>
      <c r="S81" s="4">
        <v>45447</v>
      </c>
      <c r="T81" s="3" t="s">
        <v>584</v>
      </c>
      <c r="U81" s="5">
        <f>Table1[[#This Row],[Delivery_Date]]-Table1[[#This Row],[Order_Date]]</f>
        <v>4</v>
      </c>
      <c r="V81" s="5">
        <f>Table1[[#This Row],[Price]]*Table1[[#This Row],[Quantity]]</f>
        <v>1925.92</v>
      </c>
      <c r="W81" s="6" cm="1">
        <f t="array" ref="W81">_xlfn.IFS(
P81="FLAT8",8%,
P81="FLAT10",10%,
P81="FLAT15",15%,P81="FLAT20",20%,P81="DEL0",0%,
TRUE,0%
)</f>
        <v>0.1</v>
      </c>
      <c r="X81" s="5">
        <f>Table1[[#This Row],[Amount]]-(Table1[[#This Row],[Amount]]*Table1[[#This Row],[Discount_Percentage]])</f>
        <v>1733.328</v>
      </c>
      <c r="Y81" s="5">
        <f>IF(P81="DEL0",Table1[[#This Row],[Discount_Amount]],Table1[[#This Row],[Discount_Amount]]+Table1[[#This Row],[Delivery_Charge]])</f>
        <v>1769.328</v>
      </c>
      <c r="Z81" s="7" t="str">
        <f>_xlfn.CONCAT(Table1[[#This Row],[First_Name]],"  ",Table1[[#This Row],[Last_Name]])</f>
        <v>John  Ramirez</v>
      </c>
      <c r="AA81" s="5" t="str" cm="1">
        <f t="array" ref="AA81">_xlfn.IFS( (S81-K81)&gt;Q81,"Late", (S81-K81)=Q81,"InTime", (S81-K81)&lt;Q81,"BeforeTime" )</f>
        <v>Late</v>
      </c>
      <c r="AB81" s="3">
        <f>MONTH(Table1[[#This Row],[Order_Date]])</f>
        <v>5</v>
      </c>
    </row>
    <row r="82" spans="1:28" x14ac:dyDescent="0.3">
      <c r="A82" s="3" t="s">
        <v>475</v>
      </c>
      <c r="B82" s="3" t="s">
        <v>108</v>
      </c>
      <c r="C82" s="3" t="s">
        <v>476</v>
      </c>
      <c r="D82" s="3" t="str">
        <f>_xlfn.CONCAT(Table1[[#This Row],[First_Name]],Table1[[#This Row],[Last_Name]])</f>
        <v>DebraHayes</v>
      </c>
      <c r="E82" s="3">
        <v>33</v>
      </c>
      <c r="F82" s="3" t="s">
        <v>29</v>
      </c>
      <c r="G82" s="3" t="s">
        <v>168</v>
      </c>
      <c r="H82" s="3" t="s">
        <v>477</v>
      </c>
      <c r="I82" s="3" t="s">
        <v>478</v>
      </c>
      <c r="J82" s="3" t="s">
        <v>585</v>
      </c>
      <c r="K82" s="4">
        <v>45675</v>
      </c>
      <c r="L82" s="3" t="s">
        <v>586</v>
      </c>
      <c r="M82" s="3" t="s">
        <v>35</v>
      </c>
      <c r="N82" s="3">
        <v>308.88</v>
      </c>
      <c r="O82" s="3">
        <v>3</v>
      </c>
      <c r="P82" s="3" t="s">
        <v>58</v>
      </c>
      <c r="Q82" s="3">
        <v>4</v>
      </c>
      <c r="R82" s="3">
        <v>48</v>
      </c>
      <c r="S82" s="4">
        <v>45678</v>
      </c>
      <c r="T82" s="3" t="s">
        <v>587</v>
      </c>
      <c r="U82" s="5">
        <f>Table1[[#This Row],[Delivery_Date]]-Table1[[#This Row],[Order_Date]]</f>
        <v>3</v>
      </c>
      <c r="V82" s="5">
        <f>Table1[[#This Row],[Price]]*Table1[[#This Row],[Quantity]]</f>
        <v>926.64</v>
      </c>
      <c r="W82" s="6" cm="1">
        <f t="array" ref="W82">_xlfn.IFS(
P82="FLAT8",8%,
P82="FLAT10",10%,
P82="FLAT15",15%,P82="FLAT20",20%,P82="DEL0",0%,
TRUE,0%
)</f>
        <v>0.15</v>
      </c>
      <c r="X82" s="5">
        <f>Table1[[#This Row],[Amount]]-(Table1[[#This Row],[Amount]]*Table1[[#This Row],[Discount_Percentage]])</f>
        <v>787.64400000000001</v>
      </c>
      <c r="Y82" s="5">
        <f>IF(P82="DEL0",Table1[[#This Row],[Discount_Amount]],Table1[[#This Row],[Discount_Amount]]+Table1[[#This Row],[Delivery_Charge]])</f>
        <v>835.64400000000001</v>
      </c>
      <c r="Z82" s="7" t="str">
        <f>_xlfn.CONCAT(Table1[[#This Row],[First_Name]],"  ",Table1[[#This Row],[Last_Name]])</f>
        <v>Debra  Hayes</v>
      </c>
      <c r="AA82" s="5" t="str" cm="1">
        <f t="array" ref="AA82">_xlfn.IFS( (S82-K82)&gt;Q82,"Late", (S82-K82)=Q82,"InTime", (S82-K82)&lt;Q82,"BeforeTime" )</f>
        <v>BeforeTime</v>
      </c>
      <c r="AB82" s="3">
        <f>MONTH(Table1[[#This Row],[Order_Date]])</f>
        <v>1</v>
      </c>
    </row>
    <row r="83" spans="1:28" x14ac:dyDescent="0.3">
      <c r="A83" s="3" t="s">
        <v>209</v>
      </c>
      <c r="B83" s="3" t="s">
        <v>210</v>
      </c>
      <c r="C83" s="3" t="s">
        <v>211</v>
      </c>
      <c r="D83" s="3" t="str">
        <f>_xlfn.CONCAT(Table1[[#This Row],[First_Name]],Table1[[#This Row],[Last_Name]])</f>
        <v>ChristianClayton</v>
      </c>
      <c r="E83" s="3">
        <v>39</v>
      </c>
      <c r="F83" s="3" t="s">
        <v>41</v>
      </c>
      <c r="G83" s="3" t="s">
        <v>159</v>
      </c>
      <c r="H83" s="3" t="s">
        <v>212</v>
      </c>
      <c r="I83" s="3" t="s">
        <v>213</v>
      </c>
      <c r="J83" s="3" t="s">
        <v>588</v>
      </c>
      <c r="K83" s="4">
        <v>45525</v>
      </c>
      <c r="L83" s="3" t="s">
        <v>589</v>
      </c>
      <c r="M83" s="3" t="s">
        <v>590</v>
      </c>
      <c r="N83" s="3">
        <v>403.03</v>
      </c>
      <c r="O83" s="3">
        <v>1</v>
      </c>
      <c r="P83" s="3" t="s">
        <v>85</v>
      </c>
      <c r="Q83" s="3">
        <v>3</v>
      </c>
      <c r="R83" s="3">
        <v>52</v>
      </c>
      <c r="S83" s="4">
        <v>45526</v>
      </c>
      <c r="T83" s="3" t="s">
        <v>591</v>
      </c>
      <c r="U83" s="5">
        <f>Table1[[#This Row],[Delivery_Date]]-Table1[[#This Row],[Order_Date]]</f>
        <v>1</v>
      </c>
      <c r="V83" s="5">
        <f>Table1[[#This Row],[Price]]*Table1[[#This Row],[Quantity]]</f>
        <v>403.03</v>
      </c>
      <c r="W83" s="6" cm="1">
        <f t="array" ref="W83">_xlfn.IFS(
P83="FLAT8",8%,
P83="FLAT10",10%,
P83="FLAT15",15%,P83="FLAT20",20%,P83="DEL0",0%,
TRUE,0%
)</f>
        <v>0.2</v>
      </c>
      <c r="X83" s="5">
        <f>Table1[[#This Row],[Amount]]-(Table1[[#This Row],[Amount]]*Table1[[#This Row],[Discount_Percentage]])</f>
        <v>322.42399999999998</v>
      </c>
      <c r="Y83" s="5">
        <f>IF(P83="DEL0",Table1[[#This Row],[Discount_Amount]],Table1[[#This Row],[Discount_Amount]]+Table1[[#This Row],[Delivery_Charge]])</f>
        <v>374.42399999999998</v>
      </c>
      <c r="Z83" s="7" t="str">
        <f>_xlfn.CONCAT(Table1[[#This Row],[First_Name]],"  ",Table1[[#This Row],[Last_Name]])</f>
        <v>Christian  Clayton</v>
      </c>
      <c r="AA83" s="5" t="str" cm="1">
        <f t="array" ref="AA83">_xlfn.IFS( (S83-K83)&gt;Q83,"Late", (S83-K83)=Q83,"InTime", (S83-K83)&lt;Q83,"BeforeTime" )</f>
        <v>BeforeTime</v>
      </c>
      <c r="AB83" s="3">
        <f>MONTH(Table1[[#This Row],[Order_Date]])</f>
        <v>8</v>
      </c>
    </row>
    <row r="84" spans="1:28" x14ac:dyDescent="0.3">
      <c r="A84" s="3" t="s">
        <v>592</v>
      </c>
      <c r="B84" s="3" t="s">
        <v>593</v>
      </c>
      <c r="C84" s="3" t="s">
        <v>594</v>
      </c>
      <c r="D84" s="3" t="str">
        <f>_xlfn.CONCAT(Table1[[#This Row],[First_Name]],Table1[[#This Row],[Last_Name]])</f>
        <v>WilliamMann</v>
      </c>
      <c r="E84" s="3">
        <v>21</v>
      </c>
      <c r="F84" s="3" t="s">
        <v>29</v>
      </c>
      <c r="G84" s="3" t="s">
        <v>42</v>
      </c>
      <c r="H84" s="3" t="s">
        <v>595</v>
      </c>
      <c r="I84" s="3" t="s">
        <v>596</v>
      </c>
      <c r="J84" s="3" t="s">
        <v>597</v>
      </c>
      <c r="K84" s="4">
        <v>45041</v>
      </c>
      <c r="L84" s="3" t="s">
        <v>598</v>
      </c>
      <c r="M84" s="3" t="s">
        <v>81</v>
      </c>
      <c r="N84" s="3">
        <v>330.11</v>
      </c>
      <c r="O84" s="3">
        <v>2</v>
      </c>
      <c r="P84" s="3" t="s">
        <v>36</v>
      </c>
      <c r="Q84" s="3">
        <v>3</v>
      </c>
      <c r="R84" s="3">
        <v>64</v>
      </c>
      <c r="S84" s="4">
        <v>45046</v>
      </c>
      <c r="T84" s="3" t="s">
        <v>599</v>
      </c>
      <c r="U84" s="5">
        <f>Table1[[#This Row],[Delivery_Date]]-Table1[[#This Row],[Order_Date]]</f>
        <v>5</v>
      </c>
      <c r="V84" s="5">
        <f>Table1[[#This Row],[Price]]*Table1[[#This Row],[Quantity]]</f>
        <v>660.22</v>
      </c>
      <c r="W84" s="6" cm="1">
        <f t="array" ref="W84">_xlfn.IFS(
P84="FLAT8",8%,
P84="FLAT10",10%,
P84="FLAT15",15%,P84="FLAT20",20%,P84="DEL0",0%,
TRUE,0%
)</f>
        <v>0.08</v>
      </c>
      <c r="X84" s="5">
        <f>Table1[[#This Row],[Amount]]-(Table1[[#This Row],[Amount]]*Table1[[#This Row],[Discount_Percentage]])</f>
        <v>607.40240000000006</v>
      </c>
      <c r="Y84" s="5">
        <f>IF(P84="DEL0",Table1[[#This Row],[Discount_Amount]],Table1[[#This Row],[Discount_Amount]]+Table1[[#This Row],[Delivery_Charge]])</f>
        <v>671.40240000000006</v>
      </c>
      <c r="Z84" s="7" t="str">
        <f>_xlfn.CONCAT(Table1[[#This Row],[First_Name]],"  ",Table1[[#This Row],[Last_Name]])</f>
        <v>William  Mann</v>
      </c>
      <c r="AA84" s="5" t="str" cm="1">
        <f t="array" ref="AA84">_xlfn.IFS( (S84-K84)&gt;Q84,"Late", (S84-K84)=Q84,"InTime", (S84-K84)&lt;Q84,"BeforeTime" )</f>
        <v>Late</v>
      </c>
      <c r="AB84" s="3">
        <f>MONTH(Table1[[#This Row],[Order_Date]])</f>
        <v>4</v>
      </c>
    </row>
    <row r="85" spans="1:28" x14ac:dyDescent="0.3">
      <c r="A85" s="3" t="s">
        <v>412</v>
      </c>
      <c r="B85" s="3" t="s">
        <v>228</v>
      </c>
      <c r="C85" s="3" t="s">
        <v>413</v>
      </c>
      <c r="D85" s="3" t="str">
        <f>_xlfn.CONCAT(Table1[[#This Row],[First_Name]],Table1[[#This Row],[Last_Name]])</f>
        <v>JohnRamirez</v>
      </c>
      <c r="E85" s="3">
        <v>28</v>
      </c>
      <c r="F85" s="3" t="s">
        <v>52</v>
      </c>
      <c r="G85" s="3" t="s">
        <v>140</v>
      </c>
      <c r="H85" s="3" t="s">
        <v>414</v>
      </c>
      <c r="I85" s="3" t="s">
        <v>415</v>
      </c>
      <c r="J85" s="3" t="s">
        <v>600</v>
      </c>
      <c r="K85" s="4">
        <v>45322</v>
      </c>
      <c r="L85" s="3" t="s">
        <v>601</v>
      </c>
      <c r="M85" s="3" t="s">
        <v>270</v>
      </c>
      <c r="N85" s="3">
        <v>62.42</v>
      </c>
      <c r="O85" s="3">
        <v>1</v>
      </c>
      <c r="P85" s="3" t="s">
        <v>85</v>
      </c>
      <c r="Q85" s="3">
        <v>6</v>
      </c>
      <c r="R85" s="3">
        <v>53</v>
      </c>
      <c r="S85" s="4">
        <v>45329</v>
      </c>
      <c r="T85" s="3" t="s">
        <v>602</v>
      </c>
      <c r="U85" s="5">
        <f>Table1[[#This Row],[Delivery_Date]]-Table1[[#This Row],[Order_Date]]</f>
        <v>7</v>
      </c>
      <c r="V85" s="5">
        <f>Table1[[#This Row],[Price]]*Table1[[#This Row],[Quantity]]</f>
        <v>62.42</v>
      </c>
      <c r="W85" s="6" cm="1">
        <f t="array" ref="W85">_xlfn.IFS(
P85="FLAT8",8%,
P85="FLAT10",10%,
P85="FLAT15",15%,P85="FLAT20",20%,P85="DEL0",0%,
TRUE,0%
)</f>
        <v>0.2</v>
      </c>
      <c r="X85" s="5">
        <f>Table1[[#This Row],[Amount]]-(Table1[[#This Row],[Amount]]*Table1[[#This Row],[Discount_Percentage]])</f>
        <v>49.936</v>
      </c>
      <c r="Y85" s="5">
        <f>IF(P85="DEL0",Table1[[#This Row],[Discount_Amount]],Table1[[#This Row],[Discount_Amount]]+Table1[[#This Row],[Delivery_Charge]])</f>
        <v>102.93600000000001</v>
      </c>
      <c r="Z85" s="7" t="str">
        <f>_xlfn.CONCAT(Table1[[#This Row],[First_Name]],"  ",Table1[[#This Row],[Last_Name]])</f>
        <v>John  Ramirez</v>
      </c>
      <c r="AA85" s="5" t="str" cm="1">
        <f t="array" ref="AA85">_xlfn.IFS( (S85-K85)&gt;Q85,"Late", (S85-K85)=Q85,"InTime", (S85-K85)&lt;Q85,"BeforeTime" )</f>
        <v>Late</v>
      </c>
      <c r="AB85" s="3">
        <f>MONTH(Table1[[#This Row],[Order_Date]])</f>
        <v>1</v>
      </c>
    </row>
    <row r="86" spans="1:28" x14ac:dyDescent="0.3">
      <c r="A86" s="3" t="s">
        <v>603</v>
      </c>
      <c r="B86" s="3" t="s">
        <v>604</v>
      </c>
      <c r="C86" s="3" t="s">
        <v>403</v>
      </c>
      <c r="D86" s="3" t="str">
        <f>_xlfn.CONCAT(Table1[[#This Row],[First_Name]],Table1[[#This Row],[Last_Name]])</f>
        <v>KelliSmith</v>
      </c>
      <c r="E86" s="3">
        <v>18</v>
      </c>
      <c r="F86" s="3" t="s">
        <v>41</v>
      </c>
      <c r="G86" s="3" t="s">
        <v>42</v>
      </c>
      <c r="H86" s="3" t="s">
        <v>605</v>
      </c>
      <c r="I86" s="3" t="s">
        <v>606</v>
      </c>
      <c r="J86" s="3" t="s">
        <v>607</v>
      </c>
      <c r="K86" s="4">
        <v>45625</v>
      </c>
      <c r="L86" s="3" t="s">
        <v>608</v>
      </c>
      <c r="M86" s="3" t="s">
        <v>81</v>
      </c>
      <c r="N86" s="3">
        <v>330.11</v>
      </c>
      <c r="O86" s="3">
        <v>1</v>
      </c>
      <c r="P86" s="3" t="s">
        <v>85</v>
      </c>
      <c r="Q86" s="3">
        <v>4</v>
      </c>
      <c r="R86" s="3">
        <v>67</v>
      </c>
      <c r="S86" s="4">
        <v>45627</v>
      </c>
      <c r="T86" s="3" t="s">
        <v>609</v>
      </c>
      <c r="U86" s="5">
        <f>Table1[[#This Row],[Delivery_Date]]-Table1[[#This Row],[Order_Date]]</f>
        <v>2</v>
      </c>
      <c r="V86" s="5">
        <f>Table1[[#This Row],[Price]]*Table1[[#This Row],[Quantity]]</f>
        <v>330.11</v>
      </c>
      <c r="W86" s="6" cm="1">
        <f t="array" ref="W86">_xlfn.IFS(
P86="FLAT8",8%,
P86="FLAT10",10%,
P86="FLAT15",15%,P86="FLAT20",20%,P86="DEL0",0%,
TRUE,0%
)</f>
        <v>0.2</v>
      </c>
      <c r="X86" s="5">
        <f>Table1[[#This Row],[Amount]]-(Table1[[#This Row],[Amount]]*Table1[[#This Row],[Discount_Percentage]])</f>
        <v>264.08800000000002</v>
      </c>
      <c r="Y86" s="5">
        <f>IF(P86="DEL0",Table1[[#This Row],[Discount_Amount]],Table1[[#This Row],[Discount_Amount]]+Table1[[#This Row],[Delivery_Charge]])</f>
        <v>331.08800000000002</v>
      </c>
      <c r="Z86" s="7" t="str">
        <f>_xlfn.CONCAT(Table1[[#This Row],[First_Name]],"  ",Table1[[#This Row],[Last_Name]])</f>
        <v>Kelli  Smith</v>
      </c>
      <c r="AA86" s="5" t="str" cm="1">
        <f t="array" ref="AA86">_xlfn.IFS( (S86-K86)&gt;Q86,"Late", (S86-K86)=Q86,"InTime", (S86-K86)&lt;Q86,"BeforeTime" )</f>
        <v>BeforeTime</v>
      </c>
      <c r="AB86" s="3">
        <f>MONTH(Table1[[#This Row],[Order_Date]])</f>
        <v>11</v>
      </c>
    </row>
    <row r="87" spans="1:28" x14ac:dyDescent="0.3">
      <c r="A87" s="3" t="s">
        <v>293</v>
      </c>
      <c r="B87" s="3" t="s">
        <v>294</v>
      </c>
      <c r="C87" s="3" t="s">
        <v>295</v>
      </c>
      <c r="D87" s="3" t="str">
        <f>_xlfn.CONCAT(Table1[[#This Row],[First_Name]],Table1[[#This Row],[Last_Name]])</f>
        <v>HeatherSchneider</v>
      </c>
      <c r="E87" s="3">
        <v>48</v>
      </c>
      <c r="F87" s="3" t="s">
        <v>41</v>
      </c>
      <c r="G87" s="3" t="s">
        <v>90</v>
      </c>
      <c r="H87" s="3" t="s">
        <v>296</v>
      </c>
      <c r="I87" s="3" t="s">
        <v>297</v>
      </c>
      <c r="J87" s="3" t="s">
        <v>610</v>
      </c>
      <c r="K87" s="4">
        <v>45505</v>
      </c>
      <c r="L87" s="3" t="s">
        <v>611</v>
      </c>
      <c r="M87" s="3" t="s">
        <v>114</v>
      </c>
      <c r="N87" s="3">
        <v>48.45</v>
      </c>
      <c r="O87" s="3">
        <v>1</v>
      </c>
      <c r="P87" s="3" t="s">
        <v>58</v>
      </c>
      <c r="Q87" s="3">
        <v>6</v>
      </c>
      <c r="R87" s="3">
        <v>66</v>
      </c>
      <c r="S87" s="4">
        <v>45512</v>
      </c>
      <c r="T87" s="3" t="s">
        <v>612</v>
      </c>
      <c r="U87" s="5">
        <f>Table1[[#This Row],[Delivery_Date]]-Table1[[#This Row],[Order_Date]]</f>
        <v>7</v>
      </c>
      <c r="V87" s="5">
        <f>Table1[[#This Row],[Price]]*Table1[[#This Row],[Quantity]]</f>
        <v>48.45</v>
      </c>
      <c r="W87" s="6" cm="1">
        <f t="array" ref="W87">_xlfn.IFS(
P87="FLAT8",8%,
P87="FLAT10",10%,
P87="FLAT15",15%,P87="FLAT20",20%,P87="DEL0",0%,
TRUE,0%
)</f>
        <v>0.15</v>
      </c>
      <c r="X87" s="5">
        <f>Table1[[#This Row],[Amount]]-(Table1[[#This Row],[Amount]]*Table1[[#This Row],[Discount_Percentage]])</f>
        <v>41.182500000000005</v>
      </c>
      <c r="Y87" s="5">
        <f>IF(P87="DEL0",Table1[[#This Row],[Discount_Amount]],Table1[[#This Row],[Discount_Amount]]+Table1[[#This Row],[Delivery_Charge]])</f>
        <v>107.1825</v>
      </c>
      <c r="Z87" s="7" t="str">
        <f>_xlfn.CONCAT(Table1[[#This Row],[First_Name]],"  ",Table1[[#This Row],[Last_Name]])</f>
        <v>Heather  Schneider</v>
      </c>
      <c r="AA87" s="5" t="str" cm="1">
        <f t="array" ref="AA87">_xlfn.IFS( (S87-K87)&gt;Q87,"Late", (S87-K87)=Q87,"InTime", (S87-K87)&lt;Q87,"BeforeTime" )</f>
        <v>Late</v>
      </c>
      <c r="AB87" s="3">
        <f>MONTH(Table1[[#This Row],[Order_Date]])</f>
        <v>8</v>
      </c>
    </row>
    <row r="88" spans="1:28" x14ac:dyDescent="0.3">
      <c r="A88" s="3" t="s">
        <v>500</v>
      </c>
      <c r="B88" s="3" t="s">
        <v>501</v>
      </c>
      <c r="C88" s="3" t="s">
        <v>387</v>
      </c>
      <c r="D88" s="3" t="str">
        <f>_xlfn.CONCAT(Table1[[#This Row],[First_Name]],Table1[[#This Row],[Last_Name]])</f>
        <v>SharonThompson</v>
      </c>
      <c r="E88" s="3">
        <v>57</v>
      </c>
      <c r="F88" s="3" t="s">
        <v>41</v>
      </c>
      <c r="G88" s="3" t="s">
        <v>220</v>
      </c>
      <c r="H88" s="3" t="s">
        <v>502</v>
      </c>
      <c r="I88" s="3" t="s">
        <v>503</v>
      </c>
      <c r="J88" s="3" t="s">
        <v>613</v>
      </c>
      <c r="K88" s="4">
        <v>45252</v>
      </c>
      <c r="L88" s="3" t="s">
        <v>614</v>
      </c>
      <c r="M88" s="3" t="s">
        <v>62</v>
      </c>
      <c r="N88" s="3">
        <v>405</v>
      </c>
      <c r="O88" s="3">
        <v>2</v>
      </c>
      <c r="P88" s="3" t="s">
        <v>63</v>
      </c>
      <c r="Q88" s="3">
        <v>4</v>
      </c>
      <c r="R88" s="3">
        <v>70</v>
      </c>
      <c r="S88" s="4">
        <v>45257</v>
      </c>
      <c r="T88" s="3" t="s">
        <v>615</v>
      </c>
      <c r="U88" s="5">
        <f>Table1[[#This Row],[Delivery_Date]]-Table1[[#This Row],[Order_Date]]</f>
        <v>5</v>
      </c>
      <c r="V88" s="5">
        <f>Table1[[#This Row],[Price]]*Table1[[#This Row],[Quantity]]</f>
        <v>810</v>
      </c>
      <c r="W88" s="6" cm="1">
        <f t="array" ref="W88">_xlfn.IFS(
P88="FLAT8",8%,
P88="FLAT10",10%,
P88="FLAT15",15%,P88="FLAT20",20%,P88="DEL0",0%,
TRUE,0%
)</f>
        <v>0</v>
      </c>
      <c r="X88" s="5">
        <f>Table1[[#This Row],[Amount]]-(Table1[[#This Row],[Amount]]*Table1[[#This Row],[Discount_Percentage]])</f>
        <v>810</v>
      </c>
      <c r="Y88" s="5">
        <f>IF(P88="DEL0",Table1[[#This Row],[Discount_Amount]],Table1[[#This Row],[Discount_Amount]]+Table1[[#This Row],[Delivery_Charge]])</f>
        <v>810</v>
      </c>
      <c r="Z88" s="7" t="str">
        <f>_xlfn.CONCAT(Table1[[#This Row],[First_Name]],"  ",Table1[[#This Row],[Last_Name]])</f>
        <v>Sharon  Thompson</v>
      </c>
      <c r="AA88" s="5" t="str" cm="1">
        <f t="array" ref="AA88">_xlfn.IFS( (S88-K88)&gt;Q88,"Late", (S88-K88)=Q88,"InTime", (S88-K88)&lt;Q88,"BeforeTime" )</f>
        <v>Late</v>
      </c>
      <c r="AB88" s="3">
        <f>MONTH(Table1[[#This Row],[Order_Date]])</f>
        <v>11</v>
      </c>
    </row>
    <row r="89" spans="1:28" x14ac:dyDescent="0.3">
      <c r="A89" s="3" t="s">
        <v>500</v>
      </c>
      <c r="B89" s="3" t="s">
        <v>501</v>
      </c>
      <c r="C89" s="3" t="s">
        <v>387</v>
      </c>
      <c r="D89" s="3" t="str">
        <f>_xlfn.CONCAT(Table1[[#This Row],[First_Name]],Table1[[#This Row],[Last_Name]])</f>
        <v>SharonThompson</v>
      </c>
      <c r="E89" s="3">
        <v>57</v>
      </c>
      <c r="F89" s="3" t="s">
        <v>41</v>
      </c>
      <c r="G89" s="3" t="s">
        <v>220</v>
      </c>
      <c r="H89" s="3" t="s">
        <v>502</v>
      </c>
      <c r="I89" s="3" t="s">
        <v>503</v>
      </c>
      <c r="J89" s="3" t="s">
        <v>616</v>
      </c>
      <c r="K89" s="4">
        <v>45595</v>
      </c>
      <c r="L89" s="3" t="s">
        <v>617</v>
      </c>
      <c r="M89" s="3" t="s">
        <v>356</v>
      </c>
      <c r="N89" s="3">
        <v>496.59</v>
      </c>
      <c r="O89" s="3">
        <v>2</v>
      </c>
      <c r="P89" s="3" t="s">
        <v>96</v>
      </c>
      <c r="Q89" s="3">
        <v>1</v>
      </c>
      <c r="R89" s="3">
        <v>46</v>
      </c>
      <c r="S89" s="4">
        <v>45598</v>
      </c>
      <c r="T89" s="3" t="s">
        <v>618</v>
      </c>
      <c r="U89" s="5">
        <f>Table1[[#This Row],[Delivery_Date]]-Table1[[#This Row],[Order_Date]]</f>
        <v>3</v>
      </c>
      <c r="V89" s="5">
        <f>Table1[[#This Row],[Price]]*Table1[[#This Row],[Quantity]]</f>
        <v>993.18</v>
      </c>
      <c r="W89" s="6" cm="1">
        <f t="array" ref="W89">_xlfn.IFS(
P89="FLAT8",8%,
P89="FLAT10",10%,
P89="FLAT15",15%,P89="FLAT20",20%,P89="DEL0",0%,
TRUE,0%
)</f>
        <v>0.1</v>
      </c>
      <c r="X89" s="5">
        <f>Table1[[#This Row],[Amount]]-(Table1[[#This Row],[Amount]]*Table1[[#This Row],[Discount_Percentage]])</f>
        <v>893.86199999999997</v>
      </c>
      <c r="Y89" s="5">
        <f>IF(P89="DEL0",Table1[[#This Row],[Discount_Amount]],Table1[[#This Row],[Discount_Amount]]+Table1[[#This Row],[Delivery_Charge]])</f>
        <v>939.86199999999997</v>
      </c>
      <c r="Z89" s="7" t="str">
        <f>_xlfn.CONCAT(Table1[[#This Row],[First_Name]],"  ",Table1[[#This Row],[Last_Name]])</f>
        <v>Sharon  Thompson</v>
      </c>
      <c r="AA89" s="5" t="str" cm="1">
        <f t="array" ref="AA89">_xlfn.IFS( (S89-K89)&gt;Q89,"Late", (S89-K89)=Q89,"InTime", (S89-K89)&lt;Q89,"BeforeTime" )</f>
        <v>Late</v>
      </c>
      <c r="AB89" s="3">
        <f>MONTH(Table1[[#This Row],[Order_Date]])</f>
        <v>10</v>
      </c>
    </row>
    <row r="90" spans="1:28" x14ac:dyDescent="0.3">
      <c r="A90" s="3" t="s">
        <v>98</v>
      </c>
      <c r="B90" s="3" t="s">
        <v>99</v>
      </c>
      <c r="C90" s="3" t="s">
        <v>100</v>
      </c>
      <c r="D90" s="3" t="str">
        <f>_xlfn.CONCAT(Table1[[#This Row],[First_Name]],Table1[[#This Row],[Last_Name]])</f>
        <v>MarcusValenzuela</v>
      </c>
      <c r="E90" s="3">
        <v>39</v>
      </c>
      <c r="F90" s="3" t="s">
        <v>29</v>
      </c>
      <c r="G90" s="3" t="s">
        <v>30</v>
      </c>
      <c r="H90" s="3" t="s">
        <v>101</v>
      </c>
      <c r="I90" s="3" t="s">
        <v>102</v>
      </c>
      <c r="J90" s="3" t="s">
        <v>619</v>
      </c>
      <c r="K90" s="4">
        <v>45227</v>
      </c>
      <c r="L90" s="3" t="s">
        <v>620</v>
      </c>
      <c r="M90" s="3" t="s">
        <v>114</v>
      </c>
      <c r="N90" s="3">
        <v>48.45</v>
      </c>
      <c r="O90" s="3">
        <v>1</v>
      </c>
      <c r="P90" s="3" t="s">
        <v>85</v>
      </c>
      <c r="Q90" s="3">
        <v>4</v>
      </c>
      <c r="R90" s="3">
        <v>66</v>
      </c>
      <c r="S90" s="4">
        <v>45228</v>
      </c>
      <c r="T90" s="3" t="s">
        <v>621</v>
      </c>
      <c r="U90" s="5">
        <f>Table1[[#This Row],[Delivery_Date]]-Table1[[#This Row],[Order_Date]]</f>
        <v>1</v>
      </c>
      <c r="V90" s="5">
        <f>Table1[[#This Row],[Price]]*Table1[[#This Row],[Quantity]]</f>
        <v>48.45</v>
      </c>
      <c r="W90" s="6" cm="1">
        <f t="array" ref="W90">_xlfn.IFS(
P90="FLAT8",8%,
P90="FLAT10",10%,
P90="FLAT15",15%,P90="FLAT20",20%,P90="DEL0",0%,
TRUE,0%
)</f>
        <v>0.2</v>
      </c>
      <c r="X90" s="5">
        <f>Table1[[#This Row],[Amount]]-(Table1[[#This Row],[Amount]]*Table1[[#This Row],[Discount_Percentage]])</f>
        <v>38.760000000000005</v>
      </c>
      <c r="Y90" s="5">
        <f>IF(P90="DEL0",Table1[[#This Row],[Discount_Amount]],Table1[[#This Row],[Discount_Amount]]+Table1[[#This Row],[Delivery_Charge]])</f>
        <v>104.76</v>
      </c>
      <c r="Z90" s="7" t="str">
        <f>_xlfn.CONCAT(Table1[[#This Row],[First_Name]],"  ",Table1[[#This Row],[Last_Name]])</f>
        <v>Marcus  Valenzuela</v>
      </c>
      <c r="AA90" s="5" t="str" cm="1">
        <f t="array" ref="AA90">_xlfn.IFS( (S90-K90)&gt;Q90,"Late", (S90-K90)=Q90,"InTime", (S90-K90)&lt;Q90,"BeforeTime" )</f>
        <v>BeforeTime</v>
      </c>
      <c r="AB90" s="3">
        <f>MONTH(Table1[[#This Row],[Order_Date]])</f>
        <v>10</v>
      </c>
    </row>
    <row r="91" spans="1:28" x14ac:dyDescent="0.3">
      <c r="A91" s="3" t="s">
        <v>622</v>
      </c>
      <c r="B91" s="3" t="s">
        <v>129</v>
      </c>
      <c r="C91" s="3" t="s">
        <v>623</v>
      </c>
      <c r="D91" s="3" t="str">
        <f>_xlfn.CONCAT(Table1[[#This Row],[First_Name]],Table1[[#This Row],[Last_Name]])</f>
        <v>JosephGaines</v>
      </c>
      <c r="E91" s="3">
        <v>47</v>
      </c>
      <c r="F91" s="3" t="s">
        <v>52</v>
      </c>
      <c r="G91" s="3" t="s">
        <v>76</v>
      </c>
      <c r="H91" s="3" t="s">
        <v>624</v>
      </c>
      <c r="I91" s="3" t="s">
        <v>625</v>
      </c>
      <c r="J91" s="3" t="s">
        <v>626</v>
      </c>
      <c r="K91" s="4">
        <v>45076</v>
      </c>
      <c r="L91" s="3" t="s">
        <v>627</v>
      </c>
      <c r="M91" s="3" t="s">
        <v>383</v>
      </c>
      <c r="N91" s="3">
        <v>431.44</v>
      </c>
      <c r="O91" s="3">
        <v>1</v>
      </c>
      <c r="P91" s="3" t="s">
        <v>63</v>
      </c>
      <c r="Q91" s="3">
        <v>7</v>
      </c>
      <c r="R91" s="3">
        <v>35</v>
      </c>
      <c r="S91" s="4">
        <v>45080</v>
      </c>
      <c r="T91" s="3" t="s">
        <v>628</v>
      </c>
      <c r="U91" s="5">
        <f>Table1[[#This Row],[Delivery_Date]]-Table1[[#This Row],[Order_Date]]</f>
        <v>4</v>
      </c>
      <c r="V91" s="5">
        <f>Table1[[#This Row],[Price]]*Table1[[#This Row],[Quantity]]</f>
        <v>431.44</v>
      </c>
      <c r="W91" s="6" cm="1">
        <f t="array" ref="W91">_xlfn.IFS(
P91="FLAT8",8%,
P91="FLAT10",10%,
P91="FLAT15",15%,P91="FLAT20",20%,P91="DEL0",0%,
TRUE,0%
)</f>
        <v>0</v>
      </c>
      <c r="X91" s="5">
        <f>Table1[[#This Row],[Amount]]-(Table1[[#This Row],[Amount]]*Table1[[#This Row],[Discount_Percentage]])</f>
        <v>431.44</v>
      </c>
      <c r="Y91" s="5">
        <f>IF(P91="DEL0",Table1[[#This Row],[Discount_Amount]],Table1[[#This Row],[Discount_Amount]]+Table1[[#This Row],[Delivery_Charge]])</f>
        <v>431.44</v>
      </c>
      <c r="Z91" s="7" t="str">
        <f>_xlfn.CONCAT(Table1[[#This Row],[First_Name]],"  ",Table1[[#This Row],[Last_Name]])</f>
        <v>Joseph  Gaines</v>
      </c>
      <c r="AA91" s="5" t="str" cm="1">
        <f t="array" ref="AA91">_xlfn.IFS( (S91-K91)&gt;Q91,"Late", (S91-K91)=Q91,"InTime", (S91-K91)&lt;Q91,"BeforeTime" )</f>
        <v>BeforeTime</v>
      </c>
      <c r="AB91" s="3">
        <f>MONTH(Table1[[#This Row],[Order_Date]])</f>
        <v>5</v>
      </c>
    </row>
    <row r="92" spans="1:28" x14ac:dyDescent="0.3">
      <c r="A92" s="3" t="s">
        <v>156</v>
      </c>
      <c r="B92" s="3" t="s">
        <v>157</v>
      </c>
      <c r="C92" s="3" t="s">
        <v>158</v>
      </c>
      <c r="D92" s="3" t="str">
        <f>_xlfn.CONCAT(Table1[[#This Row],[First_Name]],Table1[[#This Row],[Last_Name]])</f>
        <v>JoshuaCampbell</v>
      </c>
      <c r="E92" s="3">
        <v>24</v>
      </c>
      <c r="F92" s="3" t="s">
        <v>29</v>
      </c>
      <c r="G92" s="3" t="s">
        <v>159</v>
      </c>
      <c r="H92" s="3" t="s">
        <v>160</v>
      </c>
      <c r="I92" s="3" t="s">
        <v>161</v>
      </c>
      <c r="J92" s="3" t="s">
        <v>629</v>
      </c>
      <c r="K92" s="4">
        <v>45555</v>
      </c>
      <c r="L92" s="3" t="s">
        <v>630</v>
      </c>
      <c r="M92" s="3" t="s">
        <v>473</v>
      </c>
      <c r="N92" s="3">
        <v>286.07</v>
      </c>
      <c r="O92" s="3">
        <v>5</v>
      </c>
      <c r="P92" s="3" t="s">
        <v>58</v>
      </c>
      <c r="Q92" s="3">
        <v>5</v>
      </c>
      <c r="R92" s="3">
        <v>65</v>
      </c>
      <c r="S92" s="4">
        <v>45558</v>
      </c>
      <c r="T92" s="3" t="s">
        <v>631</v>
      </c>
      <c r="U92" s="5">
        <f>Table1[[#This Row],[Delivery_Date]]-Table1[[#This Row],[Order_Date]]</f>
        <v>3</v>
      </c>
      <c r="V92" s="5">
        <f>Table1[[#This Row],[Price]]*Table1[[#This Row],[Quantity]]</f>
        <v>1430.35</v>
      </c>
      <c r="W92" s="6" cm="1">
        <f t="array" ref="W92">_xlfn.IFS(
P92="FLAT8",8%,
P92="FLAT10",10%,
P92="FLAT15",15%,P92="FLAT20",20%,P92="DEL0",0%,
TRUE,0%
)</f>
        <v>0.15</v>
      </c>
      <c r="X92" s="5">
        <f>Table1[[#This Row],[Amount]]-(Table1[[#This Row],[Amount]]*Table1[[#This Row],[Discount_Percentage]])</f>
        <v>1215.7974999999999</v>
      </c>
      <c r="Y92" s="5">
        <f>IF(P92="DEL0",Table1[[#This Row],[Discount_Amount]],Table1[[#This Row],[Discount_Amount]]+Table1[[#This Row],[Delivery_Charge]])</f>
        <v>1280.7974999999999</v>
      </c>
      <c r="Z92" s="7" t="str">
        <f>_xlfn.CONCAT(Table1[[#This Row],[First_Name]],"  ",Table1[[#This Row],[Last_Name]])</f>
        <v>Joshua  Campbell</v>
      </c>
      <c r="AA92" s="5" t="str" cm="1">
        <f t="array" ref="AA92">_xlfn.IFS( (S92-K92)&gt;Q92,"Late", (S92-K92)=Q92,"InTime", (S92-K92)&lt;Q92,"BeforeTime" )</f>
        <v>BeforeTime</v>
      </c>
      <c r="AB92" s="3">
        <f>MONTH(Table1[[#This Row],[Order_Date]])</f>
        <v>9</v>
      </c>
    </row>
    <row r="93" spans="1:28" x14ac:dyDescent="0.3">
      <c r="A93" s="3" t="s">
        <v>412</v>
      </c>
      <c r="B93" s="3" t="s">
        <v>228</v>
      </c>
      <c r="C93" s="3" t="s">
        <v>413</v>
      </c>
      <c r="D93" s="3" t="str">
        <f>_xlfn.CONCAT(Table1[[#This Row],[First_Name]],Table1[[#This Row],[Last_Name]])</f>
        <v>JohnRamirez</v>
      </c>
      <c r="E93" s="3">
        <v>28</v>
      </c>
      <c r="F93" s="3" t="s">
        <v>52</v>
      </c>
      <c r="G93" s="3" t="s">
        <v>140</v>
      </c>
      <c r="H93" s="3" t="s">
        <v>414</v>
      </c>
      <c r="I93" s="3" t="s">
        <v>415</v>
      </c>
      <c r="J93" s="3" t="s">
        <v>632</v>
      </c>
      <c r="K93" s="4">
        <v>45495</v>
      </c>
      <c r="L93" s="3" t="s">
        <v>633</v>
      </c>
      <c r="M93" s="3" t="s">
        <v>242</v>
      </c>
      <c r="N93" s="3">
        <v>126.19</v>
      </c>
      <c r="O93" s="3">
        <v>2</v>
      </c>
      <c r="P93" s="3" t="s">
        <v>36</v>
      </c>
      <c r="Q93" s="3">
        <v>7</v>
      </c>
      <c r="R93" s="3">
        <v>48</v>
      </c>
      <c r="S93" s="4">
        <v>45496</v>
      </c>
      <c r="T93" s="3" t="s">
        <v>634</v>
      </c>
      <c r="U93" s="5">
        <f>Table1[[#This Row],[Delivery_Date]]-Table1[[#This Row],[Order_Date]]</f>
        <v>1</v>
      </c>
      <c r="V93" s="5">
        <f>Table1[[#This Row],[Price]]*Table1[[#This Row],[Quantity]]</f>
        <v>252.38</v>
      </c>
      <c r="W93" s="6" cm="1">
        <f t="array" ref="W93">_xlfn.IFS(
P93="FLAT8",8%,
P93="FLAT10",10%,
P93="FLAT15",15%,P93="FLAT20",20%,P93="DEL0",0%,
TRUE,0%
)</f>
        <v>0.08</v>
      </c>
      <c r="X93" s="5">
        <f>Table1[[#This Row],[Amount]]-(Table1[[#This Row],[Amount]]*Table1[[#This Row],[Discount_Percentage]])</f>
        <v>232.18959999999998</v>
      </c>
      <c r="Y93" s="5">
        <f>IF(P93="DEL0",Table1[[#This Row],[Discount_Amount]],Table1[[#This Row],[Discount_Amount]]+Table1[[#This Row],[Delivery_Charge]])</f>
        <v>280.18959999999998</v>
      </c>
      <c r="Z93" s="7" t="str">
        <f>_xlfn.CONCAT(Table1[[#This Row],[First_Name]],"  ",Table1[[#This Row],[Last_Name]])</f>
        <v>John  Ramirez</v>
      </c>
      <c r="AA93" s="5" t="str" cm="1">
        <f t="array" ref="AA93">_xlfn.IFS( (S93-K93)&gt;Q93,"Late", (S93-K93)=Q93,"InTime", (S93-K93)&lt;Q93,"BeforeTime" )</f>
        <v>BeforeTime</v>
      </c>
      <c r="AB93" s="3">
        <f>MONTH(Table1[[#This Row],[Order_Date]])</f>
        <v>7</v>
      </c>
    </row>
    <row r="94" spans="1:28" x14ac:dyDescent="0.3">
      <c r="A94" s="3" t="s">
        <v>272</v>
      </c>
      <c r="B94" s="3" t="s">
        <v>273</v>
      </c>
      <c r="C94" s="3" t="s">
        <v>274</v>
      </c>
      <c r="D94" s="3" t="str">
        <f>_xlfn.CONCAT(Table1[[#This Row],[First_Name]],Table1[[#This Row],[Last_Name]])</f>
        <v>LaurenLong</v>
      </c>
      <c r="E94" s="3">
        <v>44</v>
      </c>
      <c r="F94" s="3" t="s">
        <v>29</v>
      </c>
      <c r="G94" s="3" t="s">
        <v>220</v>
      </c>
      <c r="H94" s="3" t="s">
        <v>275</v>
      </c>
      <c r="I94" s="3" t="s">
        <v>276</v>
      </c>
      <c r="J94" s="3" t="s">
        <v>635</v>
      </c>
      <c r="K94" s="4">
        <v>45307</v>
      </c>
      <c r="L94" s="3" t="s">
        <v>636</v>
      </c>
      <c r="M94" s="3" t="s">
        <v>637</v>
      </c>
      <c r="N94" s="3">
        <v>445.81</v>
      </c>
      <c r="O94" s="3">
        <v>5</v>
      </c>
      <c r="P94" s="3" t="s">
        <v>58</v>
      </c>
      <c r="Q94" s="3">
        <v>1</v>
      </c>
      <c r="R94" s="3">
        <v>56</v>
      </c>
      <c r="S94" s="4">
        <v>45313</v>
      </c>
      <c r="T94" s="3" t="s">
        <v>638</v>
      </c>
      <c r="U94" s="5">
        <f>Table1[[#This Row],[Delivery_Date]]-Table1[[#This Row],[Order_Date]]</f>
        <v>6</v>
      </c>
      <c r="V94" s="5">
        <f>Table1[[#This Row],[Price]]*Table1[[#This Row],[Quantity]]</f>
        <v>2229.0500000000002</v>
      </c>
      <c r="W94" s="6" cm="1">
        <f t="array" ref="W94">_xlfn.IFS(
P94="FLAT8",8%,
P94="FLAT10",10%,
P94="FLAT15",15%,P94="FLAT20",20%,P94="DEL0",0%,
TRUE,0%
)</f>
        <v>0.15</v>
      </c>
      <c r="X94" s="5">
        <f>Table1[[#This Row],[Amount]]-(Table1[[#This Row],[Amount]]*Table1[[#This Row],[Discount_Percentage]])</f>
        <v>1894.6925000000001</v>
      </c>
      <c r="Y94" s="5">
        <f>IF(P94="DEL0",Table1[[#This Row],[Discount_Amount]],Table1[[#This Row],[Discount_Amount]]+Table1[[#This Row],[Delivery_Charge]])</f>
        <v>1950.6925000000001</v>
      </c>
      <c r="Z94" s="7" t="str">
        <f>_xlfn.CONCAT(Table1[[#This Row],[First_Name]],"  ",Table1[[#This Row],[Last_Name]])</f>
        <v>Lauren  Long</v>
      </c>
      <c r="AA94" s="5" t="str" cm="1">
        <f t="array" ref="AA94">_xlfn.IFS( (S94-K94)&gt;Q94,"Late", (S94-K94)=Q94,"InTime", (S94-K94)&lt;Q94,"BeforeTime" )</f>
        <v>Late</v>
      </c>
      <c r="AB94" s="3">
        <f>MONTH(Table1[[#This Row],[Order_Date]])</f>
        <v>1</v>
      </c>
    </row>
    <row r="95" spans="1:28" x14ac:dyDescent="0.3">
      <c r="A95" s="3" t="s">
        <v>639</v>
      </c>
      <c r="B95" s="3" t="s">
        <v>148</v>
      </c>
      <c r="C95" s="3" t="s">
        <v>640</v>
      </c>
      <c r="D95" s="3" t="str">
        <f>_xlfn.CONCAT(Table1[[#This Row],[First_Name]],Table1[[#This Row],[Last_Name]])</f>
        <v>AmyEllis</v>
      </c>
      <c r="E95" s="3">
        <v>44</v>
      </c>
      <c r="F95" s="3" t="s">
        <v>52</v>
      </c>
      <c r="G95" s="3" t="s">
        <v>90</v>
      </c>
      <c r="H95" s="3" t="s">
        <v>641</v>
      </c>
      <c r="I95" s="3" t="s">
        <v>642</v>
      </c>
      <c r="J95" s="3" t="s">
        <v>643</v>
      </c>
      <c r="K95" s="4">
        <v>45625</v>
      </c>
      <c r="L95" s="3" t="s">
        <v>644</v>
      </c>
      <c r="M95" s="3" t="s">
        <v>430</v>
      </c>
      <c r="N95" s="3">
        <v>369.03</v>
      </c>
      <c r="O95" s="3">
        <v>4</v>
      </c>
      <c r="P95" s="3" t="s">
        <v>85</v>
      </c>
      <c r="Q95" s="3">
        <v>4</v>
      </c>
      <c r="R95" s="3">
        <v>56</v>
      </c>
      <c r="S95" s="4">
        <v>45630</v>
      </c>
      <c r="T95" s="3" t="s">
        <v>645</v>
      </c>
      <c r="U95" s="5">
        <f>Table1[[#This Row],[Delivery_Date]]-Table1[[#This Row],[Order_Date]]</f>
        <v>5</v>
      </c>
      <c r="V95" s="5">
        <f>Table1[[#This Row],[Price]]*Table1[[#This Row],[Quantity]]</f>
        <v>1476.12</v>
      </c>
      <c r="W95" s="6" cm="1">
        <f t="array" ref="W95">_xlfn.IFS(
P95="FLAT8",8%,
P95="FLAT10",10%,
P95="FLAT15",15%,P95="FLAT20",20%,P95="DEL0",0%,
TRUE,0%
)</f>
        <v>0.2</v>
      </c>
      <c r="X95" s="5">
        <f>Table1[[#This Row],[Amount]]-(Table1[[#This Row],[Amount]]*Table1[[#This Row],[Discount_Percentage]])</f>
        <v>1180.896</v>
      </c>
      <c r="Y95" s="5">
        <f>IF(P95="DEL0",Table1[[#This Row],[Discount_Amount]],Table1[[#This Row],[Discount_Amount]]+Table1[[#This Row],[Delivery_Charge]])</f>
        <v>1236.896</v>
      </c>
      <c r="Z95" s="7" t="str">
        <f>_xlfn.CONCAT(Table1[[#This Row],[First_Name]],"  ",Table1[[#This Row],[Last_Name]])</f>
        <v>Amy  Ellis</v>
      </c>
      <c r="AA95" s="5" t="str" cm="1">
        <f t="array" ref="AA95">_xlfn.IFS( (S95-K95)&gt;Q95,"Late", (S95-K95)=Q95,"InTime", (S95-K95)&lt;Q95,"BeforeTime" )</f>
        <v>Late</v>
      </c>
      <c r="AB95" s="3">
        <f>MONTH(Table1[[#This Row],[Order_Date]])</f>
        <v>11</v>
      </c>
    </row>
    <row r="96" spans="1:28" x14ac:dyDescent="0.3">
      <c r="A96" s="3" t="s">
        <v>646</v>
      </c>
      <c r="B96" s="3" t="s">
        <v>647</v>
      </c>
      <c r="C96" s="3" t="s">
        <v>648</v>
      </c>
      <c r="D96" s="3" t="str">
        <f>_xlfn.CONCAT(Table1[[#This Row],[First_Name]],Table1[[#This Row],[Last_Name]])</f>
        <v>BethMason</v>
      </c>
      <c r="E96" s="3">
        <v>45</v>
      </c>
      <c r="F96" s="3" t="s">
        <v>52</v>
      </c>
      <c r="G96" s="3" t="s">
        <v>90</v>
      </c>
      <c r="H96" s="3" t="s">
        <v>649</v>
      </c>
      <c r="I96" s="3" t="s">
        <v>650</v>
      </c>
      <c r="J96" s="3" t="s">
        <v>651</v>
      </c>
      <c r="K96" s="4">
        <v>45504</v>
      </c>
      <c r="L96" s="3" t="s">
        <v>652</v>
      </c>
      <c r="M96" s="3" t="s">
        <v>653</v>
      </c>
      <c r="N96" s="3">
        <v>433.62</v>
      </c>
      <c r="O96" s="3">
        <v>2</v>
      </c>
      <c r="P96" s="3" t="s">
        <v>85</v>
      </c>
      <c r="Q96" s="3">
        <v>1</v>
      </c>
      <c r="R96" s="3">
        <v>41</v>
      </c>
      <c r="S96" s="4">
        <v>45510</v>
      </c>
      <c r="T96" s="3" t="s">
        <v>654</v>
      </c>
      <c r="U96" s="5">
        <f>Table1[[#This Row],[Delivery_Date]]-Table1[[#This Row],[Order_Date]]</f>
        <v>6</v>
      </c>
      <c r="V96" s="5">
        <f>Table1[[#This Row],[Price]]*Table1[[#This Row],[Quantity]]</f>
        <v>867.24</v>
      </c>
      <c r="W96" s="6" cm="1">
        <f t="array" ref="W96">_xlfn.IFS(
P96="FLAT8",8%,
P96="FLAT10",10%,
P96="FLAT15",15%,P96="FLAT20",20%,P96="DEL0",0%,
TRUE,0%
)</f>
        <v>0.2</v>
      </c>
      <c r="X96" s="5">
        <f>Table1[[#This Row],[Amount]]-(Table1[[#This Row],[Amount]]*Table1[[#This Row],[Discount_Percentage]])</f>
        <v>693.79200000000003</v>
      </c>
      <c r="Y96" s="5">
        <f>IF(P96="DEL0",Table1[[#This Row],[Discount_Amount]],Table1[[#This Row],[Discount_Amount]]+Table1[[#This Row],[Delivery_Charge]])</f>
        <v>734.79200000000003</v>
      </c>
      <c r="Z96" s="7" t="str">
        <f>_xlfn.CONCAT(Table1[[#This Row],[First_Name]],"  ",Table1[[#This Row],[Last_Name]])</f>
        <v>Beth  Mason</v>
      </c>
      <c r="AA96" s="5" t="str" cm="1">
        <f t="array" ref="AA96">_xlfn.IFS( (S96-K96)&gt;Q96,"Late", (S96-K96)=Q96,"InTime", (S96-K96)&lt;Q96,"BeforeTime" )</f>
        <v>Late</v>
      </c>
      <c r="AB96" s="3">
        <f>MONTH(Table1[[#This Row],[Order_Date]])</f>
        <v>7</v>
      </c>
    </row>
    <row r="97" spans="1:28" x14ac:dyDescent="0.3">
      <c r="A97" s="3" t="s">
        <v>507</v>
      </c>
      <c r="B97" s="3" t="s">
        <v>508</v>
      </c>
      <c r="C97" s="3" t="s">
        <v>509</v>
      </c>
      <c r="D97" s="3" t="str">
        <f>_xlfn.CONCAT(Table1[[#This Row],[First_Name]],Table1[[#This Row],[Last_Name]])</f>
        <v>SarahButler</v>
      </c>
      <c r="E97" s="3">
        <v>64</v>
      </c>
      <c r="F97" s="3" t="s">
        <v>29</v>
      </c>
      <c r="G97" s="3" t="s">
        <v>30</v>
      </c>
      <c r="H97" s="3" t="s">
        <v>510</v>
      </c>
      <c r="I97" s="3" t="s">
        <v>511</v>
      </c>
      <c r="J97" s="3" t="s">
        <v>655</v>
      </c>
      <c r="K97" s="4">
        <v>45488</v>
      </c>
      <c r="L97" s="3" t="s">
        <v>656</v>
      </c>
      <c r="M97" s="3" t="s">
        <v>657</v>
      </c>
      <c r="N97" s="3">
        <v>235.63</v>
      </c>
      <c r="O97" s="3">
        <v>4</v>
      </c>
      <c r="P97" s="3" t="s">
        <v>85</v>
      </c>
      <c r="Q97" s="3">
        <v>2</v>
      </c>
      <c r="R97" s="3">
        <v>60</v>
      </c>
      <c r="S97" s="4">
        <v>45495</v>
      </c>
      <c r="T97" s="3" t="s">
        <v>658</v>
      </c>
      <c r="U97" s="5">
        <f>Table1[[#This Row],[Delivery_Date]]-Table1[[#This Row],[Order_Date]]</f>
        <v>7</v>
      </c>
      <c r="V97" s="5">
        <f>Table1[[#This Row],[Price]]*Table1[[#This Row],[Quantity]]</f>
        <v>942.52</v>
      </c>
      <c r="W97" s="6" cm="1">
        <f t="array" ref="W97">_xlfn.IFS(
P97="FLAT8",8%,
P97="FLAT10",10%,
P97="FLAT15",15%,P97="FLAT20",20%,P97="DEL0",0%,
TRUE,0%
)</f>
        <v>0.2</v>
      </c>
      <c r="X97" s="5">
        <f>Table1[[#This Row],[Amount]]-(Table1[[#This Row],[Amount]]*Table1[[#This Row],[Discount_Percentage]])</f>
        <v>754.01599999999996</v>
      </c>
      <c r="Y97" s="5">
        <f>IF(P97="DEL0",Table1[[#This Row],[Discount_Amount]],Table1[[#This Row],[Discount_Amount]]+Table1[[#This Row],[Delivery_Charge]])</f>
        <v>814.01599999999996</v>
      </c>
      <c r="Z97" s="7" t="str">
        <f>_xlfn.CONCAT(Table1[[#This Row],[First_Name]],"  ",Table1[[#This Row],[Last_Name]])</f>
        <v>Sarah  Butler</v>
      </c>
      <c r="AA97" s="5" t="str" cm="1">
        <f t="array" ref="AA97">_xlfn.IFS( (S97-K97)&gt;Q97,"Late", (S97-K97)=Q97,"InTime", (S97-K97)&lt;Q97,"BeforeTime" )</f>
        <v>Late</v>
      </c>
      <c r="AB97" s="3">
        <f>MONTH(Table1[[#This Row],[Order_Date]])</f>
        <v>7</v>
      </c>
    </row>
    <row r="98" spans="1:28" x14ac:dyDescent="0.3">
      <c r="A98" s="3" t="s">
        <v>227</v>
      </c>
      <c r="B98" s="3" t="s">
        <v>228</v>
      </c>
      <c r="C98" s="3" t="s">
        <v>229</v>
      </c>
      <c r="D98" s="3" t="str">
        <f>_xlfn.CONCAT(Table1[[#This Row],[First_Name]],Table1[[#This Row],[Last_Name]])</f>
        <v>JohnHerrera</v>
      </c>
      <c r="E98" s="3">
        <v>64</v>
      </c>
      <c r="F98" s="3" t="s">
        <v>41</v>
      </c>
      <c r="G98" s="3" t="s">
        <v>42</v>
      </c>
      <c r="H98" s="3" t="s">
        <v>230</v>
      </c>
      <c r="I98" s="3" t="s">
        <v>231</v>
      </c>
      <c r="J98" s="3" t="s">
        <v>659</v>
      </c>
      <c r="K98" s="4">
        <v>45118</v>
      </c>
      <c r="L98" s="3" t="s">
        <v>660</v>
      </c>
      <c r="M98" s="3" t="s">
        <v>291</v>
      </c>
      <c r="N98" s="3">
        <v>158.53</v>
      </c>
      <c r="O98" s="3">
        <v>5</v>
      </c>
      <c r="P98" s="3" t="s">
        <v>85</v>
      </c>
      <c r="Q98" s="3">
        <v>1</v>
      </c>
      <c r="R98" s="3">
        <v>57</v>
      </c>
      <c r="S98" s="4">
        <v>45125</v>
      </c>
      <c r="T98" s="3" t="s">
        <v>661</v>
      </c>
      <c r="U98" s="5">
        <f>Table1[[#This Row],[Delivery_Date]]-Table1[[#This Row],[Order_Date]]</f>
        <v>7</v>
      </c>
      <c r="V98" s="5">
        <f>Table1[[#This Row],[Price]]*Table1[[#This Row],[Quantity]]</f>
        <v>792.65</v>
      </c>
      <c r="W98" s="6" cm="1">
        <f t="array" ref="W98">_xlfn.IFS(
P98="FLAT8",8%,
P98="FLAT10",10%,
P98="FLAT15",15%,P98="FLAT20",20%,P98="DEL0",0%,
TRUE,0%
)</f>
        <v>0.2</v>
      </c>
      <c r="X98" s="5">
        <f>Table1[[#This Row],[Amount]]-(Table1[[#This Row],[Amount]]*Table1[[#This Row],[Discount_Percentage]])</f>
        <v>634.12</v>
      </c>
      <c r="Y98" s="5">
        <f>IF(P98="DEL0",Table1[[#This Row],[Discount_Amount]],Table1[[#This Row],[Discount_Amount]]+Table1[[#This Row],[Delivery_Charge]])</f>
        <v>691.12</v>
      </c>
      <c r="Z98" s="7" t="str">
        <f>_xlfn.CONCAT(Table1[[#This Row],[First_Name]],"  ",Table1[[#This Row],[Last_Name]])</f>
        <v>John  Herrera</v>
      </c>
      <c r="AA98" s="5" t="str" cm="1">
        <f t="array" ref="AA98">_xlfn.IFS( (S98-K98)&gt;Q98,"Late", (S98-K98)=Q98,"InTime", (S98-K98)&lt;Q98,"BeforeTime" )</f>
        <v>Late</v>
      </c>
      <c r="AB98" s="3">
        <f>MONTH(Table1[[#This Row],[Order_Date]])</f>
        <v>7</v>
      </c>
    </row>
    <row r="99" spans="1:28" x14ac:dyDescent="0.3">
      <c r="A99" s="3" t="s">
        <v>227</v>
      </c>
      <c r="B99" s="3" t="s">
        <v>228</v>
      </c>
      <c r="C99" s="3" t="s">
        <v>229</v>
      </c>
      <c r="D99" s="3" t="str">
        <f>_xlfn.CONCAT(Table1[[#This Row],[First_Name]],Table1[[#This Row],[Last_Name]])</f>
        <v>JohnHerrera</v>
      </c>
      <c r="E99" s="3">
        <v>64</v>
      </c>
      <c r="F99" s="3" t="s">
        <v>41</v>
      </c>
      <c r="G99" s="3" t="s">
        <v>42</v>
      </c>
      <c r="H99" s="3" t="s">
        <v>230</v>
      </c>
      <c r="I99" s="3" t="s">
        <v>231</v>
      </c>
      <c r="J99" s="3" t="s">
        <v>662</v>
      </c>
      <c r="K99" s="4">
        <v>45183</v>
      </c>
      <c r="L99" s="3" t="s">
        <v>663</v>
      </c>
      <c r="M99" s="3" t="s">
        <v>81</v>
      </c>
      <c r="N99" s="3">
        <v>330.11</v>
      </c>
      <c r="O99" s="3">
        <v>3</v>
      </c>
      <c r="P99" s="3" t="s">
        <v>58</v>
      </c>
      <c r="Q99" s="3">
        <v>3</v>
      </c>
      <c r="R99" s="3">
        <v>65</v>
      </c>
      <c r="S99" s="4">
        <v>45186</v>
      </c>
      <c r="T99" s="3" t="s">
        <v>664</v>
      </c>
      <c r="U99" s="5">
        <f>Table1[[#This Row],[Delivery_Date]]-Table1[[#This Row],[Order_Date]]</f>
        <v>3</v>
      </c>
      <c r="V99" s="5">
        <f>Table1[[#This Row],[Price]]*Table1[[#This Row],[Quantity]]</f>
        <v>990.33</v>
      </c>
      <c r="W99" s="6" cm="1">
        <f t="array" ref="W99">_xlfn.IFS(
P99="FLAT8",8%,
P99="FLAT10",10%,
P99="FLAT15",15%,P99="FLAT20",20%,P99="DEL0",0%,
TRUE,0%
)</f>
        <v>0.15</v>
      </c>
      <c r="X99" s="5">
        <f>Table1[[#This Row],[Amount]]-(Table1[[#This Row],[Amount]]*Table1[[#This Row],[Discount_Percentage]])</f>
        <v>841.78050000000007</v>
      </c>
      <c r="Y99" s="5">
        <f>IF(P99="DEL0",Table1[[#This Row],[Discount_Amount]],Table1[[#This Row],[Discount_Amount]]+Table1[[#This Row],[Delivery_Charge]])</f>
        <v>906.78050000000007</v>
      </c>
      <c r="Z99" s="7" t="str">
        <f>_xlfn.CONCAT(Table1[[#This Row],[First_Name]],"  ",Table1[[#This Row],[Last_Name]])</f>
        <v>John  Herrera</v>
      </c>
      <c r="AA99" s="5" t="str" cm="1">
        <f t="array" ref="AA99">_xlfn.IFS( (S99-K99)&gt;Q99,"Late", (S99-K99)=Q99,"InTime", (S99-K99)&lt;Q99,"BeforeTime" )</f>
        <v>InTime</v>
      </c>
      <c r="AB99" s="3">
        <f>MONTH(Table1[[#This Row],[Order_Date]])</f>
        <v>9</v>
      </c>
    </row>
    <row r="100" spans="1:28" x14ac:dyDescent="0.3">
      <c r="A100" s="3" t="s">
        <v>646</v>
      </c>
      <c r="B100" s="3" t="s">
        <v>647</v>
      </c>
      <c r="C100" s="3" t="s">
        <v>648</v>
      </c>
      <c r="D100" s="3" t="str">
        <f>_xlfn.CONCAT(Table1[[#This Row],[First_Name]],Table1[[#This Row],[Last_Name]])</f>
        <v>BethMason</v>
      </c>
      <c r="E100" s="3">
        <v>45</v>
      </c>
      <c r="F100" s="3" t="s">
        <v>52</v>
      </c>
      <c r="G100" s="3" t="s">
        <v>90</v>
      </c>
      <c r="H100" s="3" t="s">
        <v>649</v>
      </c>
      <c r="I100" s="3" t="s">
        <v>650</v>
      </c>
      <c r="J100" s="3" t="s">
        <v>665</v>
      </c>
      <c r="K100" s="4">
        <v>45673</v>
      </c>
      <c r="L100" s="3" t="s">
        <v>666</v>
      </c>
      <c r="M100" s="3" t="s">
        <v>154</v>
      </c>
      <c r="N100" s="3">
        <v>220.27</v>
      </c>
      <c r="O100" s="3">
        <v>2</v>
      </c>
      <c r="P100" s="3" t="s">
        <v>85</v>
      </c>
      <c r="Q100" s="3">
        <v>1</v>
      </c>
      <c r="R100" s="3">
        <v>63</v>
      </c>
      <c r="S100" s="4">
        <v>45675</v>
      </c>
      <c r="T100" s="3" t="s">
        <v>667</v>
      </c>
      <c r="U100" s="5">
        <f>Table1[[#This Row],[Delivery_Date]]-Table1[[#This Row],[Order_Date]]</f>
        <v>2</v>
      </c>
      <c r="V100" s="5">
        <f>Table1[[#This Row],[Price]]*Table1[[#This Row],[Quantity]]</f>
        <v>440.54</v>
      </c>
      <c r="W100" s="6" cm="1">
        <f t="array" ref="W100">_xlfn.IFS(
P100="FLAT8",8%,
P100="FLAT10",10%,
P100="FLAT15",15%,P100="FLAT20",20%,P100="DEL0",0%,
TRUE,0%
)</f>
        <v>0.2</v>
      </c>
      <c r="X100" s="5">
        <f>Table1[[#This Row],[Amount]]-(Table1[[#This Row],[Amount]]*Table1[[#This Row],[Discount_Percentage]])</f>
        <v>352.43200000000002</v>
      </c>
      <c r="Y100" s="5">
        <f>IF(P100="DEL0",Table1[[#This Row],[Discount_Amount]],Table1[[#This Row],[Discount_Amount]]+Table1[[#This Row],[Delivery_Charge]])</f>
        <v>415.43200000000002</v>
      </c>
      <c r="Z100" s="7" t="str">
        <f>_xlfn.CONCAT(Table1[[#This Row],[First_Name]],"  ",Table1[[#This Row],[Last_Name]])</f>
        <v>Beth  Mason</v>
      </c>
      <c r="AA100" s="5" t="str" cm="1">
        <f t="array" ref="AA100">_xlfn.IFS( (S100-K100)&gt;Q100,"Late", (S100-K100)=Q100,"InTime", (S100-K100)&lt;Q100,"BeforeTime" )</f>
        <v>Late</v>
      </c>
      <c r="AB100" s="3">
        <f>MONTH(Table1[[#This Row],[Order_Date]])</f>
        <v>1</v>
      </c>
    </row>
    <row r="101" spans="1:28" x14ac:dyDescent="0.3">
      <c r="A101" s="3" t="s">
        <v>592</v>
      </c>
      <c r="B101" s="3" t="s">
        <v>593</v>
      </c>
      <c r="C101" s="3" t="s">
        <v>594</v>
      </c>
      <c r="D101" s="3" t="str">
        <f>_xlfn.CONCAT(Table1[[#This Row],[First_Name]],Table1[[#This Row],[Last_Name]])</f>
        <v>WilliamMann</v>
      </c>
      <c r="E101" s="3">
        <v>21</v>
      </c>
      <c r="F101" s="3" t="s">
        <v>29</v>
      </c>
      <c r="G101" s="3" t="s">
        <v>42</v>
      </c>
      <c r="H101" s="3" t="s">
        <v>595</v>
      </c>
      <c r="I101" s="3" t="s">
        <v>596</v>
      </c>
      <c r="J101" s="3" t="s">
        <v>668</v>
      </c>
      <c r="K101" s="4">
        <v>45321</v>
      </c>
      <c r="L101" s="3" t="s">
        <v>669</v>
      </c>
      <c r="M101" s="3" t="s">
        <v>105</v>
      </c>
      <c r="N101" s="3">
        <v>275.44</v>
      </c>
      <c r="O101" s="3">
        <v>3</v>
      </c>
      <c r="P101" s="3" t="s">
        <v>58</v>
      </c>
      <c r="Q101" s="3">
        <v>7</v>
      </c>
      <c r="R101" s="3">
        <v>47</v>
      </c>
      <c r="S101" s="4">
        <v>45322</v>
      </c>
      <c r="T101" s="3" t="s">
        <v>670</v>
      </c>
      <c r="U101" s="5">
        <f>Table1[[#This Row],[Delivery_Date]]-Table1[[#This Row],[Order_Date]]</f>
        <v>1</v>
      </c>
      <c r="V101" s="5">
        <f>Table1[[#This Row],[Price]]*Table1[[#This Row],[Quantity]]</f>
        <v>826.31999999999994</v>
      </c>
      <c r="W101" s="6" cm="1">
        <f t="array" ref="W101">_xlfn.IFS(
P101="FLAT8",8%,
P101="FLAT10",10%,
P101="FLAT15",15%,P101="FLAT20",20%,P101="DEL0",0%,
TRUE,0%
)</f>
        <v>0.15</v>
      </c>
      <c r="X101" s="5">
        <f>Table1[[#This Row],[Amount]]-(Table1[[#This Row],[Amount]]*Table1[[#This Row],[Discount_Percentage]])</f>
        <v>702.37199999999996</v>
      </c>
      <c r="Y101" s="5">
        <f>IF(P101="DEL0",Table1[[#This Row],[Discount_Amount]],Table1[[#This Row],[Discount_Amount]]+Table1[[#This Row],[Delivery_Charge]])</f>
        <v>749.37199999999996</v>
      </c>
      <c r="Z101" s="7" t="str">
        <f>_xlfn.CONCAT(Table1[[#This Row],[First_Name]],"  ",Table1[[#This Row],[Last_Name]])</f>
        <v>William  Mann</v>
      </c>
      <c r="AA101" s="5" t="str" cm="1">
        <f t="array" ref="AA101">_xlfn.IFS( (S101-K101)&gt;Q101,"Late", (S101-K101)=Q101,"InTime", (S101-K101)&lt;Q101,"BeforeTime" )</f>
        <v>BeforeTime</v>
      </c>
      <c r="AB101" s="3">
        <f>MONTH(Table1[[#This Row],[Order_Date]])</f>
        <v>1</v>
      </c>
    </row>
    <row r="102" spans="1:28" x14ac:dyDescent="0.3">
      <c r="A102" s="3" t="s">
        <v>671</v>
      </c>
      <c r="B102" s="3" t="s">
        <v>672</v>
      </c>
      <c r="C102" s="3" t="s">
        <v>673</v>
      </c>
      <c r="D102" s="3" t="str">
        <f>_xlfn.CONCAT(Table1[[#This Row],[First_Name]],Table1[[#This Row],[Last_Name]])</f>
        <v>ChristyChang</v>
      </c>
      <c r="E102" s="3">
        <v>38</v>
      </c>
      <c r="F102" s="3" t="s">
        <v>41</v>
      </c>
      <c r="G102" s="3" t="s">
        <v>220</v>
      </c>
      <c r="H102" s="3" t="s">
        <v>674</v>
      </c>
      <c r="I102" s="3" t="s">
        <v>675</v>
      </c>
      <c r="J102" s="3" t="s">
        <v>676</v>
      </c>
      <c r="K102" s="4">
        <v>45203</v>
      </c>
      <c r="L102" s="3" t="s">
        <v>677</v>
      </c>
      <c r="M102" s="3" t="s">
        <v>573</v>
      </c>
      <c r="N102" s="3">
        <v>477.52</v>
      </c>
      <c r="O102" s="3">
        <v>3</v>
      </c>
      <c r="P102" s="3" t="s">
        <v>36</v>
      </c>
      <c r="Q102" s="3">
        <v>7</v>
      </c>
      <c r="R102" s="3">
        <v>66</v>
      </c>
      <c r="S102" s="4">
        <v>45208</v>
      </c>
      <c r="T102" s="3" t="s">
        <v>678</v>
      </c>
      <c r="U102" s="5">
        <f>Table1[[#This Row],[Delivery_Date]]-Table1[[#This Row],[Order_Date]]</f>
        <v>5</v>
      </c>
      <c r="V102" s="5">
        <f>Table1[[#This Row],[Price]]*Table1[[#This Row],[Quantity]]</f>
        <v>1432.56</v>
      </c>
      <c r="W102" s="6" cm="1">
        <f t="array" ref="W102">_xlfn.IFS(
P102="FLAT8",8%,
P102="FLAT10",10%,
P102="FLAT15",15%,P102="FLAT20",20%,P102="DEL0",0%,
TRUE,0%
)</f>
        <v>0.08</v>
      </c>
      <c r="X102" s="5">
        <f>Table1[[#This Row],[Amount]]-(Table1[[#This Row],[Amount]]*Table1[[#This Row],[Discount_Percentage]])</f>
        <v>1317.9551999999999</v>
      </c>
      <c r="Y102" s="5">
        <f>IF(P102="DEL0",Table1[[#This Row],[Discount_Amount]],Table1[[#This Row],[Discount_Amount]]+Table1[[#This Row],[Delivery_Charge]])</f>
        <v>1383.9551999999999</v>
      </c>
      <c r="Z102" s="7" t="str">
        <f>_xlfn.CONCAT(Table1[[#This Row],[First_Name]],"  ",Table1[[#This Row],[Last_Name]])</f>
        <v>Christy  Chang</v>
      </c>
      <c r="AA102" s="5" t="str" cm="1">
        <f t="array" ref="AA102">_xlfn.IFS( (S102-K102)&gt;Q102,"Late", (S102-K102)=Q102,"InTime", (S102-K102)&lt;Q102,"BeforeTime" )</f>
        <v>BeforeTime</v>
      </c>
      <c r="AB102" s="3">
        <f>MONTH(Table1[[#This Row],[Order_Date]])</f>
        <v>10</v>
      </c>
    </row>
    <row r="103" spans="1:28" x14ac:dyDescent="0.3">
      <c r="A103" s="3" t="s">
        <v>679</v>
      </c>
      <c r="B103" s="3" t="s">
        <v>680</v>
      </c>
      <c r="C103" s="3" t="s">
        <v>681</v>
      </c>
      <c r="D103" s="3" t="str">
        <f>_xlfn.CONCAT(Table1[[#This Row],[First_Name]],Table1[[#This Row],[Last_Name]])</f>
        <v>TroyGomez</v>
      </c>
      <c r="E103" s="3">
        <v>68</v>
      </c>
      <c r="F103" s="3" t="s">
        <v>29</v>
      </c>
      <c r="G103" s="3" t="s">
        <v>220</v>
      </c>
      <c r="H103" s="3" t="s">
        <v>682</v>
      </c>
      <c r="I103" s="3" t="s">
        <v>683</v>
      </c>
      <c r="J103" s="3" t="s">
        <v>684</v>
      </c>
      <c r="K103" s="4">
        <v>45636</v>
      </c>
      <c r="L103" s="3" t="s">
        <v>685</v>
      </c>
      <c r="M103" s="3" t="s">
        <v>686</v>
      </c>
      <c r="N103" s="3">
        <v>424.82</v>
      </c>
      <c r="O103" s="3">
        <v>1</v>
      </c>
      <c r="P103" s="3" t="s">
        <v>63</v>
      </c>
      <c r="Q103" s="3">
        <v>6</v>
      </c>
      <c r="R103" s="3">
        <v>44</v>
      </c>
      <c r="S103" s="4">
        <v>45638</v>
      </c>
      <c r="T103" s="3" t="s">
        <v>687</v>
      </c>
      <c r="U103" s="5">
        <f>Table1[[#This Row],[Delivery_Date]]-Table1[[#This Row],[Order_Date]]</f>
        <v>2</v>
      </c>
      <c r="V103" s="5">
        <f>Table1[[#This Row],[Price]]*Table1[[#This Row],[Quantity]]</f>
        <v>424.82</v>
      </c>
      <c r="W103" s="6" cm="1">
        <f t="array" ref="W103">_xlfn.IFS(
P103="FLAT8",8%,
P103="FLAT10",10%,
P103="FLAT15",15%,P103="FLAT20",20%,P103="DEL0",0%,
TRUE,0%
)</f>
        <v>0</v>
      </c>
      <c r="X103" s="5">
        <f>Table1[[#This Row],[Amount]]-(Table1[[#This Row],[Amount]]*Table1[[#This Row],[Discount_Percentage]])</f>
        <v>424.82</v>
      </c>
      <c r="Y103" s="5">
        <f>IF(P103="DEL0",Table1[[#This Row],[Discount_Amount]],Table1[[#This Row],[Discount_Amount]]+Table1[[#This Row],[Delivery_Charge]])</f>
        <v>424.82</v>
      </c>
      <c r="Z103" s="7" t="str">
        <f>_xlfn.CONCAT(Table1[[#This Row],[First_Name]],"  ",Table1[[#This Row],[Last_Name]])</f>
        <v>Troy  Gomez</v>
      </c>
      <c r="AA103" s="5" t="str" cm="1">
        <f t="array" ref="AA103">_xlfn.IFS( (S103-K103)&gt;Q103,"Late", (S103-K103)=Q103,"InTime", (S103-K103)&lt;Q103,"BeforeTime" )</f>
        <v>BeforeTime</v>
      </c>
      <c r="AB103" s="3">
        <f>MONTH(Table1[[#This Row],[Order_Date]])</f>
        <v>12</v>
      </c>
    </row>
    <row r="104" spans="1:28" x14ac:dyDescent="0.3">
      <c r="A104" s="3" t="s">
        <v>688</v>
      </c>
      <c r="B104" s="3" t="s">
        <v>689</v>
      </c>
      <c r="C104" s="3" t="s">
        <v>690</v>
      </c>
      <c r="D104" s="3" t="str">
        <f>_xlfn.CONCAT(Table1[[#This Row],[First_Name]],Table1[[#This Row],[Last_Name]])</f>
        <v>KimBlevins</v>
      </c>
      <c r="E104" s="3">
        <v>65</v>
      </c>
      <c r="F104" s="3" t="s">
        <v>41</v>
      </c>
      <c r="G104" s="3" t="s">
        <v>90</v>
      </c>
      <c r="H104" s="3" t="s">
        <v>691</v>
      </c>
      <c r="I104" s="3" t="s">
        <v>692</v>
      </c>
      <c r="J104" s="3" t="s">
        <v>693</v>
      </c>
      <c r="K104" s="4">
        <v>45165</v>
      </c>
      <c r="L104" s="3" t="s">
        <v>694</v>
      </c>
      <c r="M104" s="3" t="s">
        <v>430</v>
      </c>
      <c r="N104" s="3">
        <v>369.03</v>
      </c>
      <c r="O104" s="3">
        <v>4</v>
      </c>
      <c r="P104" s="3" t="s">
        <v>36</v>
      </c>
      <c r="Q104" s="3">
        <v>3</v>
      </c>
      <c r="R104" s="3">
        <v>56</v>
      </c>
      <c r="S104" s="4">
        <v>45169</v>
      </c>
      <c r="T104" s="3" t="s">
        <v>695</v>
      </c>
      <c r="U104" s="5">
        <f>Table1[[#This Row],[Delivery_Date]]-Table1[[#This Row],[Order_Date]]</f>
        <v>4</v>
      </c>
      <c r="V104" s="5">
        <f>Table1[[#This Row],[Price]]*Table1[[#This Row],[Quantity]]</f>
        <v>1476.12</v>
      </c>
      <c r="W104" s="6" cm="1">
        <f t="array" ref="W104">_xlfn.IFS(
P104="FLAT8",8%,
P104="FLAT10",10%,
P104="FLAT15",15%,P104="FLAT20",20%,P104="DEL0",0%,
TRUE,0%
)</f>
        <v>0.08</v>
      </c>
      <c r="X104" s="5">
        <f>Table1[[#This Row],[Amount]]-(Table1[[#This Row],[Amount]]*Table1[[#This Row],[Discount_Percentage]])</f>
        <v>1358.0303999999999</v>
      </c>
      <c r="Y104" s="5">
        <f>IF(P104="DEL0",Table1[[#This Row],[Discount_Amount]],Table1[[#This Row],[Discount_Amount]]+Table1[[#This Row],[Delivery_Charge]])</f>
        <v>1414.0303999999999</v>
      </c>
      <c r="Z104" s="7" t="str">
        <f>_xlfn.CONCAT(Table1[[#This Row],[First_Name]],"  ",Table1[[#This Row],[Last_Name]])</f>
        <v>Kim  Blevins</v>
      </c>
      <c r="AA104" s="5" t="str" cm="1">
        <f t="array" ref="AA104">_xlfn.IFS( (S104-K104)&gt;Q104,"Late", (S104-K104)=Q104,"InTime", (S104-K104)&lt;Q104,"BeforeTime" )</f>
        <v>Late</v>
      </c>
      <c r="AB104" s="3">
        <f>MONTH(Table1[[#This Row],[Order_Date]])</f>
        <v>8</v>
      </c>
    </row>
    <row r="105" spans="1:28" x14ac:dyDescent="0.3">
      <c r="A105" s="3" t="s">
        <v>450</v>
      </c>
      <c r="B105" s="3" t="s">
        <v>451</v>
      </c>
      <c r="C105" s="3" t="s">
        <v>452</v>
      </c>
      <c r="D105" s="3" t="str">
        <f>_xlfn.CONCAT(Table1[[#This Row],[First_Name]],Table1[[#This Row],[Last_Name]])</f>
        <v>BrianKennedy</v>
      </c>
      <c r="E105" s="3">
        <v>69</v>
      </c>
      <c r="F105" s="3" t="s">
        <v>29</v>
      </c>
      <c r="G105" s="3" t="s">
        <v>30</v>
      </c>
      <c r="H105" s="3" t="s">
        <v>453</v>
      </c>
      <c r="I105" s="3" t="s">
        <v>454</v>
      </c>
      <c r="J105" s="3" t="s">
        <v>696</v>
      </c>
      <c r="K105" s="4">
        <v>45484</v>
      </c>
      <c r="L105" s="3" t="s">
        <v>697</v>
      </c>
      <c r="M105" s="3" t="s">
        <v>514</v>
      </c>
      <c r="N105" s="3">
        <v>136.30000000000001</v>
      </c>
      <c r="O105" s="3">
        <v>2</v>
      </c>
      <c r="P105" s="3" t="s">
        <v>96</v>
      </c>
      <c r="Q105" s="3">
        <v>1</v>
      </c>
      <c r="R105" s="3">
        <v>54</v>
      </c>
      <c r="S105" s="4">
        <v>45485</v>
      </c>
      <c r="T105" s="3" t="s">
        <v>698</v>
      </c>
      <c r="U105" s="5">
        <f>Table1[[#This Row],[Delivery_Date]]-Table1[[#This Row],[Order_Date]]</f>
        <v>1</v>
      </c>
      <c r="V105" s="5">
        <f>Table1[[#This Row],[Price]]*Table1[[#This Row],[Quantity]]</f>
        <v>272.60000000000002</v>
      </c>
      <c r="W105" s="6" cm="1">
        <f t="array" ref="W105">_xlfn.IFS(
P105="FLAT8",8%,
P105="FLAT10",10%,
P105="FLAT15",15%,P105="FLAT20",20%,P105="DEL0",0%,
TRUE,0%
)</f>
        <v>0.1</v>
      </c>
      <c r="X105" s="5">
        <f>Table1[[#This Row],[Amount]]-(Table1[[#This Row],[Amount]]*Table1[[#This Row],[Discount_Percentage]])</f>
        <v>245.34000000000003</v>
      </c>
      <c r="Y105" s="5">
        <f>IF(P105="DEL0",Table1[[#This Row],[Discount_Amount]],Table1[[#This Row],[Discount_Amount]]+Table1[[#This Row],[Delivery_Charge]])</f>
        <v>299.34000000000003</v>
      </c>
      <c r="Z105" s="7" t="str">
        <f>_xlfn.CONCAT(Table1[[#This Row],[First_Name]],"  ",Table1[[#This Row],[Last_Name]])</f>
        <v>Brian  Kennedy</v>
      </c>
      <c r="AA105" s="5" t="str" cm="1">
        <f t="array" ref="AA105">_xlfn.IFS( (S105-K105)&gt;Q105,"Late", (S105-K105)=Q105,"InTime", (S105-K105)&lt;Q105,"BeforeTime" )</f>
        <v>InTime</v>
      </c>
      <c r="AB105" s="3">
        <f>MONTH(Table1[[#This Row],[Order_Date]])</f>
        <v>7</v>
      </c>
    </row>
    <row r="106" spans="1:28" x14ac:dyDescent="0.3">
      <c r="A106" s="3" t="s">
        <v>412</v>
      </c>
      <c r="B106" s="3" t="s">
        <v>228</v>
      </c>
      <c r="C106" s="3" t="s">
        <v>413</v>
      </c>
      <c r="D106" s="3" t="str">
        <f>_xlfn.CONCAT(Table1[[#This Row],[First_Name]],Table1[[#This Row],[Last_Name]])</f>
        <v>JohnRamirez</v>
      </c>
      <c r="E106" s="3">
        <v>28</v>
      </c>
      <c r="F106" s="3" t="s">
        <v>52</v>
      </c>
      <c r="G106" s="3" t="s">
        <v>140</v>
      </c>
      <c r="H106" s="3" t="s">
        <v>414</v>
      </c>
      <c r="I106" s="3" t="s">
        <v>415</v>
      </c>
      <c r="J106" s="3" t="s">
        <v>699</v>
      </c>
      <c r="K106" s="4">
        <v>45113</v>
      </c>
      <c r="L106" s="3" t="s">
        <v>700</v>
      </c>
      <c r="M106" s="3" t="s">
        <v>154</v>
      </c>
      <c r="N106" s="3">
        <v>220.27</v>
      </c>
      <c r="O106" s="3">
        <v>4</v>
      </c>
      <c r="P106" s="3" t="s">
        <v>85</v>
      </c>
      <c r="Q106" s="3">
        <v>4</v>
      </c>
      <c r="R106" s="3">
        <v>65</v>
      </c>
      <c r="S106" s="4">
        <v>45117</v>
      </c>
      <c r="T106" s="3" t="s">
        <v>701</v>
      </c>
      <c r="U106" s="5">
        <f>Table1[[#This Row],[Delivery_Date]]-Table1[[#This Row],[Order_Date]]</f>
        <v>4</v>
      </c>
      <c r="V106" s="5">
        <f>Table1[[#This Row],[Price]]*Table1[[#This Row],[Quantity]]</f>
        <v>881.08</v>
      </c>
      <c r="W106" s="6" cm="1">
        <f t="array" ref="W106">_xlfn.IFS(
P106="FLAT8",8%,
P106="FLAT10",10%,
P106="FLAT15",15%,P106="FLAT20",20%,P106="DEL0",0%,
TRUE,0%
)</f>
        <v>0.2</v>
      </c>
      <c r="X106" s="5">
        <f>Table1[[#This Row],[Amount]]-(Table1[[#This Row],[Amount]]*Table1[[#This Row],[Discount_Percentage]])</f>
        <v>704.86400000000003</v>
      </c>
      <c r="Y106" s="5">
        <f>IF(P106="DEL0",Table1[[#This Row],[Discount_Amount]],Table1[[#This Row],[Discount_Amount]]+Table1[[#This Row],[Delivery_Charge]])</f>
        <v>769.86400000000003</v>
      </c>
      <c r="Z106" s="7" t="str">
        <f>_xlfn.CONCAT(Table1[[#This Row],[First_Name]],"  ",Table1[[#This Row],[Last_Name]])</f>
        <v>John  Ramirez</v>
      </c>
      <c r="AA106" s="5" t="str" cm="1">
        <f t="array" ref="AA106">_xlfn.IFS( (S106-K106)&gt;Q106,"Late", (S106-K106)=Q106,"InTime", (S106-K106)&lt;Q106,"BeforeTime" )</f>
        <v>InTime</v>
      </c>
      <c r="AB106" s="3">
        <f>MONTH(Table1[[#This Row],[Order_Date]])</f>
        <v>7</v>
      </c>
    </row>
    <row r="107" spans="1:28" x14ac:dyDescent="0.3">
      <c r="A107" s="3" t="s">
        <v>592</v>
      </c>
      <c r="B107" s="3" t="s">
        <v>593</v>
      </c>
      <c r="C107" s="3" t="s">
        <v>594</v>
      </c>
      <c r="D107" s="3" t="str">
        <f>_xlfn.CONCAT(Table1[[#This Row],[First_Name]],Table1[[#This Row],[Last_Name]])</f>
        <v>WilliamMann</v>
      </c>
      <c r="E107" s="3">
        <v>21</v>
      </c>
      <c r="F107" s="3" t="s">
        <v>29</v>
      </c>
      <c r="G107" s="3" t="s">
        <v>42</v>
      </c>
      <c r="H107" s="3" t="s">
        <v>595</v>
      </c>
      <c r="I107" s="3" t="s">
        <v>596</v>
      </c>
      <c r="J107" s="3" t="s">
        <v>702</v>
      </c>
      <c r="K107" s="4">
        <v>45530</v>
      </c>
      <c r="L107" s="3" t="s">
        <v>703</v>
      </c>
      <c r="M107" s="3" t="s">
        <v>563</v>
      </c>
      <c r="N107" s="3">
        <v>133.62</v>
      </c>
      <c r="O107" s="3">
        <v>5</v>
      </c>
      <c r="P107" s="3" t="s">
        <v>58</v>
      </c>
      <c r="Q107" s="3">
        <v>6</v>
      </c>
      <c r="R107" s="3">
        <v>64</v>
      </c>
      <c r="S107" s="4">
        <v>45532</v>
      </c>
      <c r="T107" s="3" t="s">
        <v>704</v>
      </c>
      <c r="U107" s="5">
        <f>Table1[[#This Row],[Delivery_Date]]-Table1[[#This Row],[Order_Date]]</f>
        <v>2</v>
      </c>
      <c r="V107" s="5">
        <f>Table1[[#This Row],[Price]]*Table1[[#This Row],[Quantity]]</f>
        <v>668.1</v>
      </c>
      <c r="W107" s="6" cm="1">
        <f t="array" ref="W107">_xlfn.IFS(
P107="FLAT8",8%,
P107="FLAT10",10%,
P107="FLAT15",15%,P107="FLAT20",20%,P107="DEL0",0%,
TRUE,0%
)</f>
        <v>0.15</v>
      </c>
      <c r="X107" s="5">
        <f>Table1[[#This Row],[Amount]]-(Table1[[#This Row],[Amount]]*Table1[[#This Row],[Discount_Percentage]])</f>
        <v>567.88499999999999</v>
      </c>
      <c r="Y107" s="5">
        <f>IF(P107="DEL0",Table1[[#This Row],[Discount_Amount]],Table1[[#This Row],[Discount_Amount]]+Table1[[#This Row],[Delivery_Charge]])</f>
        <v>631.88499999999999</v>
      </c>
      <c r="Z107" s="7" t="str">
        <f>_xlfn.CONCAT(Table1[[#This Row],[First_Name]],"  ",Table1[[#This Row],[Last_Name]])</f>
        <v>William  Mann</v>
      </c>
      <c r="AA107" s="5" t="str" cm="1">
        <f t="array" ref="AA107">_xlfn.IFS( (S107-K107)&gt;Q107,"Late", (S107-K107)=Q107,"InTime", (S107-K107)&lt;Q107,"BeforeTime" )</f>
        <v>BeforeTime</v>
      </c>
      <c r="AB107" s="3">
        <f>MONTH(Table1[[#This Row],[Order_Date]])</f>
        <v>8</v>
      </c>
    </row>
    <row r="108" spans="1:28" x14ac:dyDescent="0.3">
      <c r="A108" s="3" t="s">
        <v>705</v>
      </c>
      <c r="B108" s="3" t="s">
        <v>706</v>
      </c>
      <c r="C108" s="3" t="s">
        <v>707</v>
      </c>
      <c r="D108" s="3" t="str">
        <f>_xlfn.CONCAT(Table1[[#This Row],[First_Name]],Table1[[#This Row],[Last_Name]])</f>
        <v>GregoryLee</v>
      </c>
      <c r="E108" s="3">
        <v>26</v>
      </c>
      <c r="F108" s="3" t="s">
        <v>52</v>
      </c>
      <c r="G108" s="3" t="s">
        <v>76</v>
      </c>
      <c r="H108" s="3" t="s">
        <v>708</v>
      </c>
      <c r="I108" s="3" t="s">
        <v>709</v>
      </c>
      <c r="J108" s="3" t="s">
        <v>710</v>
      </c>
      <c r="K108" s="4">
        <v>45432</v>
      </c>
      <c r="L108" s="3" t="s">
        <v>711</v>
      </c>
      <c r="M108" s="3" t="s">
        <v>35</v>
      </c>
      <c r="N108" s="3">
        <v>308.88</v>
      </c>
      <c r="O108" s="3">
        <v>2</v>
      </c>
      <c r="P108" s="3" t="s">
        <v>85</v>
      </c>
      <c r="Q108" s="3">
        <v>4</v>
      </c>
      <c r="R108" s="3">
        <v>61</v>
      </c>
      <c r="S108" s="4">
        <v>45436</v>
      </c>
      <c r="T108" s="3" t="s">
        <v>712</v>
      </c>
      <c r="U108" s="5">
        <f>Table1[[#This Row],[Delivery_Date]]-Table1[[#This Row],[Order_Date]]</f>
        <v>4</v>
      </c>
      <c r="V108" s="5">
        <f>Table1[[#This Row],[Price]]*Table1[[#This Row],[Quantity]]</f>
        <v>617.76</v>
      </c>
      <c r="W108" s="6" cm="1">
        <f t="array" ref="W108">_xlfn.IFS(
P108="FLAT8",8%,
P108="FLAT10",10%,
P108="FLAT15",15%,P108="FLAT20",20%,P108="DEL0",0%,
TRUE,0%
)</f>
        <v>0.2</v>
      </c>
      <c r="X108" s="5">
        <f>Table1[[#This Row],[Amount]]-(Table1[[#This Row],[Amount]]*Table1[[#This Row],[Discount_Percentage]])</f>
        <v>494.20799999999997</v>
      </c>
      <c r="Y108" s="5">
        <f>IF(P108="DEL0",Table1[[#This Row],[Discount_Amount]],Table1[[#This Row],[Discount_Amount]]+Table1[[#This Row],[Delivery_Charge]])</f>
        <v>555.20799999999997</v>
      </c>
      <c r="Z108" s="7" t="str">
        <f>_xlfn.CONCAT(Table1[[#This Row],[First_Name]],"  ",Table1[[#This Row],[Last_Name]])</f>
        <v>Gregory  Lee</v>
      </c>
      <c r="AA108" s="5" t="str" cm="1">
        <f t="array" ref="AA108">_xlfn.IFS( (S108-K108)&gt;Q108,"Late", (S108-K108)=Q108,"InTime", (S108-K108)&lt;Q108,"BeforeTime" )</f>
        <v>InTime</v>
      </c>
      <c r="AB108" s="3">
        <f>MONTH(Table1[[#This Row],[Order_Date]])</f>
        <v>5</v>
      </c>
    </row>
    <row r="109" spans="1:28" x14ac:dyDescent="0.3">
      <c r="A109" s="3" t="s">
        <v>236</v>
      </c>
      <c r="B109" s="3" t="s">
        <v>66</v>
      </c>
      <c r="C109" s="3" t="s">
        <v>237</v>
      </c>
      <c r="D109" s="3" t="str">
        <f>_xlfn.CONCAT(Table1[[#This Row],[First_Name]],Table1[[#This Row],[Last_Name]])</f>
        <v>AngelaEvans</v>
      </c>
      <c r="E109" s="3">
        <v>52</v>
      </c>
      <c r="F109" s="3" t="s">
        <v>52</v>
      </c>
      <c r="G109" s="3" t="s">
        <v>42</v>
      </c>
      <c r="H109" s="3" t="s">
        <v>238</v>
      </c>
      <c r="I109" s="3" t="s">
        <v>239</v>
      </c>
      <c r="J109" s="3" t="s">
        <v>713</v>
      </c>
      <c r="K109" s="4">
        <v>45427</v>
      </c>
      <c r="L109" s="3" t="s">
        <v>714</v>
      </c>
      <c r="M109" s="3" t="s">
        <v>225</v>
      </c>
      <c r="N109" s="3">
        <v>461.07</v>
      </c>
      <c r="O109" s="3">
        <v>1</v>
      </c>
      <c r="P109" s="3" t="s">
        <v>85</v>
      </c>
      <c r="Q109" s="3">
        <v>7</v>
      </c>
      <c r="R109" s="3">
        <v>57</v>
      </c>
      <c r="S109" s="4">
        <v>45434</v>
      </c>
      <c r="T109" s="3" t="s">
        <v>715</v>
      </c>
      <c r="U109" s="5">
        <f>Table1[[#This Row],[Delivery_Date]]-Table1[[#This Row],[Order_Date]]</f>
        <v>7</v>
      </c>
      <c r="V109" s="5">
        <f>Table1[[#This Row],[Price]]*Table1[[#This Row],[Quantity]]</f>
        <v>461.07</v>
      </c>
      <c r="W109" s="6" cm="1">
        <f t="array" ref="W109">_xlfn.IFS(
P109="FLAT8",8%,
P109="FLAT10",10%,
P109="FLAT15",15%,P109="FLAT20",20%,P109="DEL0",0%,
TRUE,0%
)</f>
        <v>0.2</v>
      </c>
      <c r="X109" s="5">
        <f>Table1[[#This Row],[Amount]]-(Table1[[#This Row],[Amount]]*Table1[[#This Row],[Discount_Percentage]])</f>
        <v>368.85599999999999</v>
      </c>
      <c r="Y109" s="5">
        <f>IF(P109="DEL0",Table1[[#This Row],[Discount_Amount]],Table1[[#This Row],[Discount_Amount]]+Table1[[#This Row],[Delivery_Charge]])</f>
        <v>425.85599999999999</v>
      </c>
      <c r="Z109" s="7" t="str">
        <f>_xlfn.CONCAT(Table1[[#This Row],[First_Name]],"  ",Table1[[#This Row],[Last_Name]])</f>
        <v>Angela  Evans</v>
      </c>
      <c r="AA109" s="5" t="str" cm="1">
        <f t="array" ref="AA109">_xlfn.IFS( (S109-K109)&gt;Q109,"Late", (S109-K109)=Q109,"InTime", (S109-K109)&lt;Q109,"BeforeTime" )</f>
        <v>InTime</v>
      </c>
      <c r="AB109" s="3">
        <f>MONTH(Table1[[#This Row],[Order_Date]])</f>
        <v>5</v>
      </c>
    </row>
    <row r="110" spans="1:28" x14ac:dyDescent="0.3">
      <c r="A110" s="3" t="s">
        <v>716</v>
      </c>
      <c r="B110" s="3" t="s">
        <v>717</v>
      </c>
      <c r="C110" s="3" t="s">
        <v>718</v>
      </c>
      <c r="D110" s="3" t="str">
        <f>_xlfn.CONCAT(Table1[[#This Row],[First_Name]],Table1[[#This Row],[Last_Name]])</f>
        <v>BruceAllen</v>
      </c>
      <c r="E110" s="3">
        <v>32</v>
      </c>
      <c r="F110" s="3" t="s">
        <v>41</v>
      </c>
      <c r="G110" s="3" t="s">
        <v>30</v>
      </c>
      <c r="H110" s="3" t="s">
        <v>719</v>
      </c>
      <c r="I110" s="3" t="s">
        <v>720</v>
      </c>
      <c r="J110" s="3" t="s">
        <v>721</v>
      </c>
      <c r="K110" s="4">
        <v>45021</v>
      </c>
      <c r="L110" s="3" t="s">
        <v>722</v>
      </c>
      <c r="M110" s="3" t="s">
        <v>356</v>
      </c>
      <c r="N110" s="3">
        <v>496.59</v>
      </c>
      <c r="O110" s="3">
        <v>5</v>
      </c>
      <c r="P110" s="3" t="s">
        <v>85</v>
      </c>
      <c r="Q110" s="3">
        <v>1</v>
      </c>
      <c r="R110" s="3">
        <v>40</v>
      </c>
      <c r="S110" s="4">
        <v>45025</v>
      </c>
      <c r="T110" s="3" t="s">
        <v>723</v>
      </c>
      <c r="U110" s="5">
        <f>Table1[[#This Row],[Delivery_Date]]-Table1[[#This Row],[Order_Date]]</f>
        <v>4</v>
      </c>
      <c r="V110" s="5">
        <f>Table1[[#This Row],[Price]]*Table1[[#This Row],[Quantity]]</f>
        <v>2482.9499999999998</v>
      </c>
      <c r="W110" s="6" cm="1">
        <f t="array" ref="W110">_xlfn.IFS(
P110="FLAT8",8%,
P110="FLAT10",10%,
P110="FLAT15",15%,P110="FLAT20",20%,P110="DEL0",0%,
TRUE,0%
)</f>
        <v>0.2</v>
      </c>
      <c r="X110" s="5">
        <f>Table1[[#This Row],[Amount]]-(Table1[[#This Row],[Amount]]*Table1[[#This Row],[Discount_Percentage]])</f>
        <v>1986.36</v>
      </c>
      <c r="Y110" s="5">
        <f>IF(P110="DEL0",Table1[[#This Row],[Discount_Amount]],Table1[[#This Row],[Discount_Amount]]+Table1[[#This Row],[Delivery_Charge]])</f>
        <v>2026.36</v>
      </c>
      <c r="Z110" s="7" t="str">
        <f>_xlfn.CONCAT(Table1[[#This Row],[First_Name]],"  ",Table1[[#This Row],[Last_Name]])</f>
        <v>Bruce  Allen</v>
      </c>
      <c r="AA110" s="5" t="str" cm="1">
        <f t="array" ref="AA110">_xlfn.IFS( (S110-K110)&gt;Q110,"Late", (S110-K110)=Q110,"InTime", (S110-K110)&lt;Q110,"BeforeTime" )</f>
        <v>Late</v>
      </c>
      <c r="AB110" s="3">
        <f>MONTH(Table1[[#This Row],[Order_Date]])</f>
        <v>4</v>
      </c>
    </row>
    <row r="111" spans="1:28" x14ac:dyDescent="0.3">
      <c r="A111" s="3" t="s">
        <v>724</v>
      </c>
      <c r="B111" s="3" t="s">
        <v>725</v>
      </c>
      <c r="C111" s="3" t="s">
        <v>167</v>
      </c>
      <c r="D111" s="3" t="str">
        <f>_xlfn.CONCAT(Table1[[#This Row],[First_Name]],Table1[[#This Row],[Last_Name]])</f>
        <v>LisaMiller</v>
      </c>
      <c r="E111" s="3">
        <v>70</v>
      </c>
      <c r="F111" s="3" t="s">
        <v>41</v>
      </c>
      <c r="G111" s="3" t="s">
        <v>90</v>
      </c>
      <c r="H111" s="3" t="s">
        <v>726</v>
      </c>
      <c r="I111" s="3" t="s">
        <v>727</v>
      </c>
      <c r="J111" s="3" t="s">
        <v>728</v>
      </c>
      <c r="K111" s="4">
        <v>45005</v>
      </c>
      <c r="L111" s="3" t="s">
        <v>729</v>
      </c>
      <c r="M111" s="3" t="s">
        <v>182</v>
      </c>
      <c r="N111" s="3">
        <v>104.18</v>
      </c>
      <c r="O111" s="3">
        <v>2</v>
      </c>
      <c r="P111" s="3" t="s">
        <v>36</v>
      </c>
      <c r="Q111" s="3">
        <v>2</v>
      </c>
      <c r="R111" s="3">
        <v>40</v>
      </c>
      <c r="S111" s="4">
        <v>45010</v>
      </c>
      <c r="T111" s="3" t="s">
        <v>730</v>
      </c>
      <c r="U111" s="5">
        <f>Table1[[#This Row],[Delivery_Date]]-Table1[[#This Row],[Order_Date]]</f>
        <v>5</v>
      </c>
      <c r="V111" s="5">
        <f>Table1[[#This Row],[Price]]*Table1[[#This Row],[Quantity]]</f>
        <v>208.36</v>
      </c>
      <c r="W111" s="6" cm="1">
        <f t="array" ref="W111">_xlfn.IFS(
P111="FLAT8",8%,
P111="FLAT10",10%,
P111="FLAT15",15%,P111="FLAT20",20%,P111="DEL0",0%,
TRUE,0%
)</f>
        <v>0.08</v>
      </c>
      <c r="X111" s="5">
        <f>Table1[[#This Row],[Amount]]-(Table1[[#This Row],[Amount]]*Table1[[#This Row],[Discount_Percentage]])</f>
        <v>191.69120000000001</v>
      </c>
      <c r="Y111" s="5">
        <f>IF(P111="DEL0",Table1[[#This Row],[Discount_Amount]],Table1[[#This Row],[Discount_Amount]]+Table1[[#This Row],[Delivery_Charge]])</f>
        <v>231.69120000000001</v>
      </c>
      <c r="Z111" s="7" t="str">
        <f>_xlfn.CONCAT(Table1[[#This Row],[First_Name]],"  ",Table1[[#This Row],[Last_Name]])</f>
        <v>Lisa  Miller</v>
      </c>
      <c r="AA111" s="5" t="str" cm="1">
        <f t="array" ref="AA111">_xlfn.IFS( (S111-K111)&gt;Q111,"Late", (S111-K111)=Q111,"InTime", (S111-K111)&lt;Q111,"BeforeTime" )</f>
        <v>Late</v>
      </c>
      <c r="AB111" s="3">
        <f>MONTH(Table1[[#This Row],[Order_Date]])</f>
        <v>3</v>
      </c>
    </row>
    <row r="112" spans="1:28" x14ac:dyDescent="0.3">
      <c r="A112" s="3" t="s">
        <v>731</v>
      </c>
      <c r="B112" s="3" t="s">
        <v>732</v>
      </c>
      <c r="C112" s="3" t="s">
        <v>733</v>
      </c>
      <c r="D112" s="3" t="str">
        <f>_xlfn.CONCAT(Table1[[#This Row],[First_Name]],Table1[[#This Row],[Last_Name]])</f>
        <v>MelissaLevy</v>
      </c>
      <c r="E112" s="3">
        <v>30</v>
      </c>
      <c r="F112" s="3" t="s">
        <v>29</v>
      </c>
      <c r="G112" s="3" t="s">
        <v>159</v>
      </c>
      <c r="H112" s="3" t="s">
        <v>734</v>
      </c>
      <c r="I112" s="3" t="s">
        <v>735</v>
      </c>
      <c r="J112" s="3" t="s">
        <v>736</v>
      </c>
      <c r="K112" s="4">
        <v>45406</v>
      </c>
      <c r="L112" s="3" t="s">
        <v>737</v>
      </c>
      <c r="M112" s="3" t="s">
        <v>738</v>
      </c>
      <c r="N112" s="3">
        <v>110.95</v>
      </c>
      <c r="O112" s="3">
        <v>2</v>
      </c>
      <c r="P112" s="3" t="s">
        <v>36</v>
      </c>
      <c r="Q112" s="3">
        <v>4</v>
      </c>
      <c r="R112" s="3">
        <v>68</v>
      </c>
      <c r="S112" s="4">
        <v>45408</v>
      </c>
      <c r="T112" s="3" t="s">
        <v>739</v>
      </c>
      <c r="U112" s="5">
        <f>Table1[[#This Row],[Delivery_Date]]-Table1[[#This Row],[Order_Date]]</f>
        <v>2</v>
      </c>
      <c r="V112" s="5">
        <f>Table1[[#This Row],[Price]]*Table1[[#This Row],[Quantity]]</f>
        <v>221.9</v>
      </c>
      <c r="W112" s="6" cm="1">
        <f t="array" ref="W112">_xlfn.IFS(
P112="FLAT8",8%,
P112="FLAT10",10%,
P112="FLAT15",15%,P112="FLAT20",20%,P112="DEL0",0%,
TRUE,0%
)</f>
        <v>0.08</v>
      </c>
      <c r="X112" s="5">
        <f>Table1[[#This Row],[Amount]]-(Table1[[#This Row],[Amount]]*Table1[[#This Row],[Discount_Percentage]])</f>
        <v>204.148</v>
      </c>
      <c r="Y112" s="5">
        <f>IF(P112="DEL0",Table1[[#This Row],[Discount_Amount]],Table1[[#This Row],[Discount_Amount]]+Table1[[#This Row],[Delivery_Charge]])</f>
        <v>272.14800000000002</v>
      </c>
      <c r="Z112" s="7" t="str">
        <f>_xlfn.CONCAT(Table1[[#This Row],[First_Name]],"  ",Table1[[#This Row],[Last_Name]])</f>
        <v>Melissa  Levy</v>
      </c>
      <c r="AA112" s="5" t="str" cm="1">
        <f t="array" ref="AA112">_xlfn.IFS( (S112-K112)&gt;Q112,"Late", (S112-K112)=Q112,"InTime", (S112-K112)&lt;Q112,"BeforeTime" )</f>
        <v>BeforeTime</v>
      </c>
      <c r="AB112" s="3">
        <f>MONTH(Table1[[#This Row],[Order_Date]])</f>
        <v>4</v>
      </c>
    </row>
    <row r="113" spans="1:28" x14ac:dyDescent="0.3">
      <c r="A113" s="3" t="s">
        <v>646</v>
      </c>
      <c r="B113" s="3" t="s">
        <v>647</v>
      </c>
      <c r="C113" s="3" t="s">
        <v>648</v>
      </c>
      <c r="D113" s="3" t="str">
        <f>_xlfn.CONCAT(Table1[[#This Row],[First_Name]],Table1[[#This Row],[Last_Name]])</f>
        <v>BethMason</v>
      </c>
      <c r="E113" s="3">
        <v>45</v>
      </c>
      <c r="F113" s="3" t="s">
        <v>52</v>
      </c>
      <c r="G113" s="3" t="s">
        <v>90</v>
      </c>
      <c r="H113" s="3" t="s">
        <v>649</v>
      </c>
      <c r="I113" s="3" t="s">
        <v>650</v>
      </c>
      <c r="J113" s="3" t="s">
        <v>740</v>
      </c>
      <c r="K113" s="4">
        <v>45665</v>
      </c>
      <c r="L113" s="3" t="s">
        <v>741</v>
      </c>
      <c r="M113" s="3" t="s">
        <v>356</v>
      </c>
      <c r="N113" s="3">
        <v>496.59</v>
      </c>
      <c r="O113" s="3">
        <v>2</v>
      </c>
      <c r="P113" s="3" t="s">
        <v>63</v>
      </c>
      <c r="Q113" s="3">
        <v>5</v>
      </c>
      <c r="R113" s="3">
        <v>40</v>
      </c>
      <c r="S113" s="4">
        <v>45667</v>
      </c>
      <c r="T113" s="3" t="s">
        <v>742</v>
      </c>
      <c r="U113" s="5">
        <f>Table1[[#This Row],[Delivery_Date]]-Table1[[#This Row],[Order_Date]]</f>
        <v>2</v>
      </c>
      <c r="V113" s="5">
        <f>Table1[[#This Row],[Price]]*Table1[[#This Row],[Quantity]]</f>
        <v>993.18</v>
      </c>
      <c r="W113" s="6" cm="1">
        <f t="array" ref="W113">_xlfn.IFS(
P113="FLAT8",8%,
P113="FLAT10",10%,
P113="FLAT15",15%,P113="FLAT20",20%,P113="DEL0",0%,
TRUE,0%
)</f>
        <v>0</v>
      </c>
      <c r="X113" s="5">
        <f>Table1[[#This Row],[Amount]]-(Table1[[#This Row],[Amount]]*Table1[[#This Row],[Discount_Percentage]])</f>
        <v>993.18</v>
      </c>
      <c r="Y113" s="5">
        <f>IF(P113="DEL0",Table1[[#This Row],[Discount_Amount]],Table1[[#This Row],[Discount_Amount]]+Table1[[#This Row],[Delivery_Charge]])</f>
        <v>993.18</v>
      </c>
      <c r="Z113" s="7" t="str">
        <f>_xlfn.CONCAT(Table1[[#This Row],[First_Name]],"  ",Table1[[#This Row],[Last_Name]])</f>
        <v>Beth  Mason</v>
      </c>
      <c r="AA113" s="5" t="str" cm="1">
        <f t="array" ref="AA113">_xlfn.IFS( (S113-K113)&gt;Q113,"Late", (S113-K113)=Q113,"InTime", (S113-K113)&lt;Q113,"BeforeTime" )</f>
        <v>BeforeTime</v>
      </c>
      <c r="AB113" s="3">
        <f>MONTH(Table1[[#This Row],[Order_Date]])</f>
        <v>1</v>
      </c>
    </row>
    <row r="114" spans="1:28" x14ac:dyDescent="0.3">
      <c r="A114" s="3" t="s">
        <v>490</v>
      </c>
      <c r="B114" s="3" t="s">
        <v>186</v>
      </c>
      <c r="C114" s="3" t="s">
        <v>327</v>
      </c>
      <c r="D114" s="3" t="str">
        <f>_xlfn.CONCAT(Table1[[#This Row],[First_Name]],Table1[[#This Row],[Last_Name]])</f>
        <v>MitchellParker</v>
      </c>
      <c r="E114" s="3">
        <v>39</v>
      </c>
      <c r="F114" s="3" t="s">
        <v>52</v>
      </c>
      <c r="G114" s="3" t="s">
        <v>42</v>
      </c>
      <c r="H114" s="3" t="s">
        <v>491</v>
      </c>
      <c r="I114" s="3" t="s">
        <v>492</v>
      </c>
      <c r="J114" s="3" t="s">
        <v>743</v>
      </c>
      <c r="K114" s="4">
        <v>45397</v>
      </c>
      <c r="L114" s="3" t="s">
        <v>744</v>
      </c>
      <c r="M114" s="3" t="s">
        <v>126</v>
      </c>
      <c r="N114" s="3">
        <v>257.06</v>
      </c>
      <c r="O114" s="3">
        <v>4</v>
      </c>
      <c r="P114" s="3" t="s">
        <v>85</v>
      </c>
      <c r="Q114" s="3">
        <v>3</v>
      </c>
      <c r="R114" s="3">
        <v>50</v>
      </c>
      <c r="S114" s="4">
        <v>45401</v>
      </c>
      <c r="T114" s="3" t="s">
        <v>745</v>
      </c>
      <c r="U114" s="5">
        <f>Table1[[#This Row],[Delivery_Date]]-Table1[[#This Row],[Order_Date]]</f>
        <v>4</v>
      </c>
      <c r="V114" s="5">
        <f>Table1[[#This Row],[Price]]*Table1[[#This Row],[Quantity]]</f>
        <v>1028.24</v>
      </c>
      <c r="W114" s="6" cm="1">
        <f t="array" ref="W114">_xlfn.IFS(
P114="FLAT8",8%,
P114="FLAT10",10%,
P114="FLAT15",15%,P114="FLAT20",20%,P114="DEL0",0%,
TRUE,0%
)</f>
        <v>0.2</v>
      </c>
      <c r="X114" s="5">
        <f>Table1[[#This Row],[Amount]]-(Table1[[#This Row],[Amount]]*Table1[[#This Row],[Discount_Percentage]])</f>
        <v>822.59199999999998</v>
      </c>
      <c r="Y114" s="5">
        <f>IF(P114="DEL0",Table1[[#This Row],[Discount_Amount]],Table1[[#This Row],[Discount_Amount]]+Table1[[#This Row],[Delivery_Charge]])</f>
        <v>872.59199999999998</v>
      </c>
      <c r="Z114" s="7" t="str">
        <f>_xlfn.CONCAT(Table1[[#This Row],[First_Name]],"  ",Table1[[#This Row],[Last_Name]])</f>
        <v>Mitchell  Parker</v>
      </c>
      <c r="AA114" s="5" t="str" cm="1">
        <f t="array" ref="AA114">_xlfn.IFS( (S114-K114)&gt;Q114,"Late", (S114-K114)=Q114,"InTime", (S114-K114)&lt;Q114,"BeforeTime" )</f>
        <v>Late</v>
      </c>
      <c r="AB114" s="3">
        <f>MONTH(Table1[[#This Row],[Order_Date]])</f>
        <v>4</v>
      </c>
    </row>
    <row r="115" spans="1:28" x14ac:dyDescent="0.3">
      <c r="A115" s="3" t="s">
        <v>622</v>
      </c>
      <c r="B115" s="3" t="s">
        <v>129</v>
      </c>
      <c r="C115" s="3" t="s">
        <v>623</v>
      </c>
      <c r="D115" s="3" t="str">
        <f>_xlfn.CONCAT(Table1[[#This Row],[First_Name]],Table1[[#This Row],[Last_Name]])</f>
        <v>JosephGaines</v>
      </c>
      <c r="E115" s="3">
        <v>47</v>
      </c>
      <c r="F115" s="3" t="s">
        <v>52</v>
      </c>
      <c r="G115" s="3" t="s">
        <v>76</v>
      </c>
      <c r="H115" s="3" t="s">
        <v>624</v>
      </c>
      <c r="I115" s="3" t="s">
        <v>625</v>
      </c>
      <c r="J115" s="3" t="s">
        <v>746</v>
      </c>
      <c r="K115" s="4">
        <v>45397</v>
      </c>
      <c r="L115" s="3" t="s">
        <v>747</v>
      </c>
      <c r="M115" s="3" t="s">
        <v>748</v>
      </c>
      <c r="N115" s="3">
        <v>381.73</v>
      </c>
      <c r="O115" s="3">
        <v>4</v>
      </c>
      <c r="P115" s="3" t="s">
        <v>96</v>
      </c>
      <c r="Q115" s="3">
        <v>1</v>
      </c>
      <c r="R115" s="3">
        <v>66</v>
      </c>
      <c r="S115" s="4">
        <v>45400</v>
      </c>
      <c r="T115" s="3" t="s">
        <v>749</v>
      </c>
      <c r="U115" s="5">
        <f>Table1[[#This Row],[Delivery_Date]]-Table1[[#This Row],[Order_Date]]</f>
        <v>3</v>
      </c>
      <c r="V115" s="5">
        <f>Table1[[#This Row],[Price]]*Table1[[#This Row],[Quantity]]</f>
        <v>1526.92</v>
      </c>
      <c r="W115" s="6" cm="1">
        <f t="array" ref="W115">_xlfn.IFS(
P115="FLAT8",8%,
P115="FLAT10",10%,
P115="FLAT15",15%,P115="FLAT20",20%,P115="DEL0",0%,
TRUE,0%
)</f>
        <v>0.1</v>
      </c>
      <c r="X115" s="5">
        <f>Table1[[#This Row],[Amount]]-(Table1[[#This Row],[Amount]]*Table1[[#This Row],[Discount_Percentage]])</f>
        <v>1374.2280000000001</v>
      </c>
      <c r="Y115" s="5">
        <f>IF(P115="DEL0",Table1[[#This Row],[Discount_Amount]],Table1[[#This Row],[Discount_Amount]]+Table1[[#This Row],[Delivery_Charge]])</f>
        <v>1440.2280000000001</v>
      </c>
      <c r="Z115" s="7" t="str">
        <f>_xlfn.CONCAT(Table1[[#This Row],[First_Name]],"  ",Table1[[#This Row],[Last_Name]])</f>
        <v>Joseph  Gaines</v>
      </c>
      <c r="AA115" s="5" t="str" cm="1">
        <f t="array" ref="AA115">_xlfn.IFS( (S115-K115)&gt;Q115,"Late", (S115-K115)=Q115,"InTime", (S115-K115)&lt;Q115,"BeforeTime" )</f>
        <v>Late</v>
      </c>
      <c r="AB115" s="3">
        <f>MONTH(Table1[[#This Row],[Order_Date]])</f>
        <v>4</v>
      </c>
    </row>
    <row r="116" spans="1:28" x14ac:dyDescent="0.3">
      <c r="A116" s="3" t="s">
        <v>750</v>
      </c>
      <c r="B116" s="3" t="s">
        <v>751</v>
      </c>
      <c r="C116" s="3" t="s">
        <v>752</v>
      </c>
      <c r="D116" s="3" t="str">
        <f>_xlfn.CONCAT(Table1[[#This Row],[First_Name]],Table1[[#This Row],[Last_Name]])</f>
        <v>BarbaraFuller</v>
      </c>
      <c r="E116" s="3">
        <v>43</v>
      </c>
      <c r="F116" s="3" t="s">
        <v>52</v>
      </c>
      <c r="G116" s="3" t="s">
        <v>159</v>
      </c>
      <c r="H116" s="3" t="s">
        <v>753</v>
      </c>
      <c r="I116" s="3" t="s">
        <v>754</v>
      </c>
      <c r="J116" s="3" t="s">
        <v>755</v>
      </c>
      <c r="K116" s="4">
        <v>45276</v>
      </c>
      <c r="L116" s="3" t="s">
        <v>756</v>
      </c>
      <c r="M116" s="3" t="s">
        <v>383</v>
      </c>
      <c r="N116" s="3">
        <v>431.44</v>
      </c>
      <c r="O116" s="3">
        <v>5</v>
      </c>
      <c r="P116" s="3" t="s">
        <v>58</v>
      </c>
      <c r="Q116" s="3">
        <v>4</v>
      </c>
      <c r="R116" s="3">
        <v>42</v>
      </c>
      <c r="S116" s="4">
        <v>45280</v>
      </c>
      <c r="T116" s="3" t="s">
        <v>757</v>
      </c>
      <c r="U116" s="5">
        <f>Table1[[#This Row],[Delivery_Date]]-Table1[[#This Row],[Order_Date]]</f>
        <v>4</v>
      </c>
      <c r="V116" s="5">
        <f>Table1[[#This Row],[Price]]*Table1[[#This Row],[Quantity]]</f>
        <v>2157.1999999999998</v>
      </c>
      <c r="W116" s="6" cm="1">
        <f t="array" ref="W116">_xlfn.IFS(
P116="FLAT8",8%,
P116="FLAT10",10%,
P116="FLAT15",15%,P116="FLAT20",20%,P116="DEL0",0%,
TRUE,0%
)</f>
        <v>0.15</v>
      </c>
      <c r="X116" s="5">
        <f>Table1[[#This Row],[Amount]]-(Table1[[#This Row],[Amount]]*Table1[[#This Row],[Discount_Percentage]])</f>
        <v>1833.62</v>
      </c>
      <c r="Y116" s="5">
        <f>IF(P116="DEL0",Table1[[#This Row],[Discount_Amount]],Table1[[#This Row],[Discount_Amount]]+Table1[[#This Row],[Delivery_Charge]])</f>
        <v>1875.62</v>
      </c>
      <c r="Z116" s="7" t="str">
        <f>_xlfn.CONCAT(Table1[[#This Row],[First_Name]],"  ",Table1[[#This Row],[Last_Name]])</f>
        <v>Barbara  Fuller</v>
      </c>
      <c r="AA116" s="5" t="str" cm="1">
        <f t="array" ref="AA116">_xlfn.IFS( (S116-K116)&gt;Q116,"Late", (S116-K116)=Q116,"InTime", (S116-K116)&lt;Q116,"BeforeTime" )</f>
        <v>InTime</v>
      </c>
      <c r="AB116" s="3">
        <f>MONTH(Table1[[#This Row],[Order_Date]])</f>
        <v>12</v>
      </c>
    </row>
    <row r="117" spans="1:28" x14ac:dyDescent="0.3">
      <c r="A117" s="3" t="s">
        <v>535</v>
      </c>
      <c r="B117" s="3" t="s">
        <v>536</v>
      </c>
      <c r="C117" s="3" t="s">
        <v>537</v>
      </c>
      <c r="D117" s="3" t="str">
        <f>_xlfn.CONCAT(Table1[[#This Row],[First_Name]],Table1[[#This Row],[Last_Name]])</f>
        <v>BrandonCruz</v>
      </c>
      <c r="E117" s="3">
        <v>32</v>
      </c>
      <c r="F117" s="3" t="s">
        <v>52</v>
      </c>
      <c r="G117" s="3" t="s">
        <v>90</v>
      </c>
      <c r="H117" s="3" t="s">
        <v>538</v>
      </c>
      <c r="I117" s="3" t="s">
        <v>539</v>
      </c>
      <c r="J117" s="3" t="s">
        <v>758</v>
      </c>
      <c r="K117" s="4">
        <v>45131</v>
      </c>
      <c r="L117" s="3" t="s">
        <v>759</v>
      </c>
      <c r="M117" s="3" t="s">
        <v>135</v>
      </c>
      <c r="N117" s="3">
        <v>175.93</v>
      </c>
      <c r="O117" s="3">
        <v>5</v>
      </c>
      <c r="P117" s="3" t="s">
        <v>63</v>
      </c>
      <c r="Q117" s="3">
        <v>5</v>
      </c>
      <c r="R117" s="3">
        <v>63</v>
      </c>
      <c r="S117" s="4">
        <v>45138</v>
      </c>
      <c r="T117" s="3" t="s">
        <v>760</v>
      </c>
      <c r="U117" s="5">
        <f>Table1[[#This Row],[Delivery_Date]]-Table1[[#This Row],[Order_Date]]</f>
        <v>7</v>
      </c>
      <c r="V117" s="5">
        <f>Table1[[#This Row],[Price]]*Table1[[#This Row],[Quantity]]</f>
        <v>879.65000000000009</v>
      </c>
      <c r="W117" s="6" cm="1">
        <f t="array" ref="W117">_xlfn.IFS(
P117="FLAT8",8%,
P117="FLAT10",10%,
P117="FLAT15",15%,P117="FLAT20",20%,P117="DEL0",0%,
TRUE,0%
)</f>
        <v>0</v>
      </c>
      <c r="X117" s="5">
        <f>Table1[[#This Row],[Amount]]-(Table1[[#This Row],[Amount]]*Table1[[#This Row],[Discount_Percentage]])</f>
        <v>879.65000000000009</v>
      </c>
      <c r="Y117" s="5">
        <f>IF(P117="DEL0",Table1[[#This Row],[Discount_Amount]],Table1[[#This Row],[Discount_Amount]]+Table1[[#This Row],[Delivery_Charge]])</f>
        <v>879.65000000000009</v>
      </c>
      <c r="Z117" s="7" t="str">
        <f>_xlfn.CONCAT(Table1[[#This Row],[First_Name]],"  ",Table1[[#This Row],[Last_Name]])</f>
        <v>Brandon  Cruz</v>
      </c>
      <c r="AA117" s="5" t="str" cm="1">
        <f t="array" ref="AA117">_xlfn.IFS( (S117-K117)&gt;Q117,"Late", (S117-K117)=Q117,"InTime", (S117-K117)&lt;Q117,"BeforeTime" )</f>
        <v>Late</v>
      </c>
      <c r="AB117" s="3">
        <f>MONTH(Table1[[#This Row],[Order_Date]])</f>
        <v>7</v>
      </c>
    </row>
    <row r="118" spans="1:28" x14ac:dyDescent="0.3">
      <c r="A118" s="3" t="s">
        <v>119</v>
      </c>
      <c r="B118" s="3" t="s">
        <v>120</v>
      </c>
      <c r="C118" s="3" t="s">
        <v>121</v>
      </c>
      <c r="D118" s="3" t="str">
        <f>_xlfn.CONCAT(Table1[[#This Row],[First_Name]],Table1[[#This Row],[Last_Name]])</f>
        <v>BobbyForbes</v>
      </c>
      <c r="E118" s="3">
        <v>20</v>
      </c>
      <c r="F118" s="3" t="s">
        <v>29</v>
      </c>
      <c r="G118" s="3" t="s">
        <v>90</v>
      </c>
      <c r="H118" s="3" t="s">
        <v>122</v>
      </c>
      <c r="I118" s="3" t="s">
        <v>123</v>
      </c>
      <c r="J118" s="3" t="s">
        <v>761</v>
      </c>
      <c r="K118" s="4">
        <v>45156</v>
      </c>
      <c r="L118" s="3" t="s">
        <v>762</v>
      </c>
      <c r="M118" s="3" t="s">
        <v>57</v>
      </c>
      <c r="N118" s="3">
        <v>202.54</v>
      </c>
      <c r="O118" s="3">
        <v>5</v>
      </c>
      <c r="P118" s="3" t="s">
        <v>36</v>
      </c>
      <c r="Q118" s="3">
        <v>2</v>
      </c>
      <c r="R118" s="3">
        <v>68</v>
      </c>
      <c r="S118" s="4">
        <v>45159</v>
      </c>
      <c r="T118" s="3" t="s">
        <v>763</v>
      </c>
      <c r="U118" s="5">
        <f>Table1[[#This Row],[Delivery_Date]]-Table1[[#This Row],[Order_Date]]</f>
        <v>3</v>
      </c>
      <c r="V118" s="5">
        <f>Table1[[#This Row],[Price]]*Table1[[#This Row],[Quantity]]</f>
        <v>1012.6999999999999</v>
      </c>
      <c r="W118" s="6" cm="1">
        <f t="array" ref="W118">_xlfn.IFS(
P118="FLAT8",8%,
P118="FLAT10",10%,
P118="FLAT15",15%,P118="FLAT20",20%,P118="DEL0",0%,
TRUE,0%
)</f>
        <v>0.08</v>
      </c>
      <c r="X118" s="5">
        <f>Table1[[#This Row],[Amount]]-(Table1[[#This Row],[Amount]]*Table1[[#This Row],[Discount_Percentage]])</f>
        <v>931.68399999999997</v>
      </c>
      <c r="Y118" s="5">
        <f>IF(P118="DEL0",Table1[[#This Row],[Discount_Amount]],Table1[[#This Row],[Discount_Amount]]+Table1[[#This Row],[Delivery_Charge]])</f>
        <v>999.68399999999997</v>
      </c>
      <c r="Z118" s="7" t="str">
        <f>_xlfn.CONCAT(Table1[[#This Row],[First_Name]],"  ",Table1[[#This Row],[Last_Name]])</f>
        <v>Bobby  Forbes</v>
      </c>
      <c r="AA118" s="5" t="str" cm="1">
        <f t="array" ref="AA118">_xlfn.IFS( (S118-K118)&gt;Q118,"Late", (S118-K118)=Q118,"InTime", (S118-K118)&lt;Q118,"BeforeTime" )</f>
        <v>Late</v>
      </c>
      <c r="AB118" s="3">
        <f>MONTH(Table1[[#This Row],[Order_Date]])</f>
        <v>8</v>
      </c>
    </row>
    <row r="119" spans="1:28" x14ac:dyDescent="0.3">
      <c r="A119" s="3" t="s">
        <v>603</v>
      </c>
      <c r="B119" s="3" t="s">
        <v>604</v>
      </c>
      <c r="C119" s="3" t="s">
        <v>403</v>
      </c>
      <c r="D119" s="3" t="str">
        <f>_xlfn.CONCAT(Table1[[#This Row],[First_Name]],Table1[[#This Row],[Last_Name]])</f>
        <v>KelliSmith</v>
      </c>
      <c r="E119" s="3">
        <v>18</v>
      </c>
      <c r="F119" s="3" t="s">
        <v>41</v>
      </c>
      <c r="G119" s="3" t="s">
        <v>42</v>
      </c>
      <c r="H119" s="3" t="s">
        <v>605</v>
      </c>
      <c r="I119" s="3" t="s">
        <v>606</v>
      </c>
      <c r="J119" s="3" t="s">
        <v>764</v>
      </c>
      <c r="K119" s="4">
        <v>45023</v>
      </c>
      <c r="L119" s="3" t="s">
        <v>765</v>
      </c>
      <c r="M119" s="3" t="s">
        <v>126</v>
      </c>
      <c r="N119" s="3">
        <v>257.06</v>
      </c>
      <c r="O119" s="3">
        <v>4</v>
      </c>
      <c r="P119" s="3" t="s">
        <v>96</v>
      </c>
      <c r="Q119" s="3">
        <v>1</v>
      </c>
      <c r="R119" s="3">
        <v>65</v>
      </c>
      <c r="S119" s="4">
        <v>45025</v>
      </c>
      <c r="T119" s="3" t="s">
        <v>766</v>
      </c>
      <c r="U119" s="5">
        <f>Table1[[#This Row],[Delivery_Date]]-Table1[[#This Row],[Order_Date]]</f>
        <v>2</v>
      </c>
      <c r="V119" s="5">
        <f>Table1[[#This Row],[Price]]*Table1[[#This Row],[Quantity]]</f>
        <v>1028.24</v>
      </c>
      <c r="W119" s="6" cm="1">
        <f t="array" ref="W119">_xlfn.IFS(
P119="FLAT8",8%,
P119="FLAT10",10%,
P119="FLAT15",15%,P119="FLAT20",20%,P119="DEL0",0%,
TRUE,0%
)</f>
        <v>0.1</v>
      </c>
      <c r="X119" s="5">
        <f>Table1[[#This Row],[Amount]]-(Table1[[#This Row],[Amount]]*Table1[[#This Row],[Discount_Percentage]])</f>
        <v>925.41599999999994</v>
      </c>
      <c r="Y119" s="5">
        <f>IF(P119="DEL0",Table1[[#This Row],[Discount_Amount]],Table1[[#This Row],[Discount_Amount]]+Table1[[#This Row],[Delivery_Charge]])</f>
        <v>990.41599999999994</v>
      </c>
      <c r="Z119" s="7" t="str">
        <f>_xlfn.CONCAT(Table1[[#This Row],[First_Name]],"  ",Table1[[#This Row],[Last_Name]])</f>
        <v>Kelli  Smith</v>
      </c>
      <c r="AA119" s="5" t="str" cm="1">
        <f t="array" ref="AA119">_xlfn.IFS( (S119-K119)&gt;Q119,"Late", (S119-K119)=Q119,"InTime", (S119-K119)&lt;Q119,"BeforeTime" )</f>
        <v>Late</v>
      </c>
      <c r="AB119" s="3">
        <f>MONTH(Table1[[#This Row],[Order_Date]])</f>
        <v>4</v>
      </c>
    </row>
    <row r="120" spans="1:28" x14ac:dyDescent="0.3">
      <c r="A120" s="3" t="s">
        <v>767</v>
      </c>
      <c r="B120" s="3" t="s">
        <v>768</v>
      </c>
      <c r="C120" s="3" t="s">
        <v>769</v>
      </c>
      <c r="D120" s="3" t="str">
        <f>_xlfn.CONCAT(Table1[[#This Row],[First_Name]],Table1[[#This Row],[Last_Name]])</f>
        <v>KristinaHaynes</v>
      </c>
      <c r="E120" s="3">
        <v>27</v>
      </c>
      <c r="F120" s="3" t="s">
        <v>29</v>
      </c>
      <c r="G120" s="3" t="s">
        <v>42</v>
      </c>
      <c r="H120" s="3" t="s">
        <v>770</v>
      </c>
      <c r="I120" s="3" t="s">
        <v>771</v>
      </c>
      <c r="J120" s="3" t="s">
        <v>772</v>
      </c>
      <c r="K120" s="4">
        <v>45183</v>
      </c>
      <c r="L120" s="3" t="s">
        <v>773</v>
      </c>
      <c r="M120" s="3" t="s">
        <v>774</v>
      </c>
      <c r="N120" s="3">
        <v>20</v>
      </c>
      <c r="O120" s="3">
        <v>1</v>
      </c>
      <c r="P120" s="3" t="s">
        <v>96</v>
      </c>
      <c r="Q120" s="3">
        <v>4</v>
      </c>
      <c r="R120" s="3">
        <v>68</v>
      </c>
      <c r="S120" s="4">
        <v>45185</v>
      </c>
      <c r="T120" s="3" t="s">
        <v>775</v>
      </c>
      <c r="U120" s="5">
        <f>Table1[[#This Row],[Delivery_Date]]-Table1[[#This Row],[Order_Date]]</f>
        <v>2</v>
      </c>
      <c r="V120" s="5">
        <f>Table1[[#This Row],[Price]]*Table1[[#This Row],[Quantity]]</f>
        <v>20</v>
      </c>
      <c r="W120" s="6" cm="1">
        <f t="array" ref="W120">_xlfn.IFS(
P120="FLAT8",8%,
P120="FLAT10",10%,
P120="FLAT15",15%,P120="FLAT20",20%,P120="DEL0",0%,
TRUE,0%
)</f>
        <v>0.1</v>
      </c>
      <c r="X120" s="5">
        <f>Table1[[#This Row],[Amount]]-(Table1[[#This Row],[Amount]]*Table1[[#This Row],[Discount_Percentage]])</f>
        <v>18</v>
      </c>
      <c r="Y120" s="5">
        <f>IF(P120="DEL0",Table1[[#This Row],[Discount_Amount]],Table1[[#This Row],[Discount_Amount]]+Table1[[#This Row],[Delivery_Charge]])</f>
        <v>86</v>
      </c>
      <c r="Z120" s="7" t="str">
        <f>_xlfn.CONCAT(Table1[[#This Row],[First_Name]],"  ",Table1[[#This Row],[Last_Name]])</f>
        <v>Kristina  Haynes</v>
      </c>
      <c r="AA120" s="5" t="str" cm="1">
        <f t="array" ref="AA120">_xlfn.IFS( (S120-K120)&gt;Q120,"Late", (S120-K120)=Q120,"InTime", (S120-K120)&lt;Q120,"BeforeTime" )</f>
        <v>BeforeTime</v>
      </c>
      <c r="AB120" s="3">
        <f>MONTH(Table1[[#This Row],[Order_Date]])</f>
        <v>9</v>
      </c>
    </row>
    <row r="121" spans="1:28" x14ac:dyDescent="0.3">
      <c r="A121" s="3" t="s">
        <v>776</v>
      </c>
      <c r="B121" s="3" t="s">
        <v>777</v>
      </c>
      <c r="C121" s="3" t="s">
        <v>778</v>
      </c>
      <c r="D121" s="3" t="str">
        <f>_xlfn.CONCAT(Table1[[#This Row],[First_Name]],Table1[[#This Row],[Last_Name]])</f>
        <v>LindseyByrd</v>
      </c>
      <c r="E121" s="3">
        <v>32</v>
      </c>
      <c r="F121" s="3" t="s">
        <v>29</v>
      </c>
      <c r="G121" s="3" t="s">
        <v>159</v>
      </c>
      <c r="H121" s="3" t="s">
        <v>779</v>
      </c>
      <c r="I121" s="3" t="s">
        <v>780</v>
      </c>
      <c r="J121" s="3" t="s">
        <v>781</v>
      </c>
      <c r="K121" s="4">
        <v>45106</v>
      </c>
      <c r="L121" s="3" t="s">
        <v>782</v>
      </c>
      <c r="M121" s="3" t="s">
        <v>199</v>
      </c>
      <c r="N121" s="3">
        <v>20.7</v>
      </c>
      <c r="O121" s="3">
        <v>2</v>
      </c>
      <c r="P121" s="3" t="s">
        <v>63</v>
      </c>
      <c r="Q121" s="3">
        <v>7</v>
      </c>
      <c r="R121" s="3">
        <v>43</v>
      </c>
      <c r="S121" s="4">
        <v>45107</v>
      </c>
      <c r="T121" s="3" t="s">
        <v>783</v>
      </c>
      <c r="U121" s="5">
        <f>Table1[[#This Row],[Delivery_Date]]-Table1[[#This Row],[Order_Date]]</f>
        <v>1</v>
      </c>
      <c r="V121" s="5">
        <f>Table1[[#This Row],[Price]]*Table1[[#This Row],[Quantity]]</f>
        <v>41.4</v>
      </c>
      <c r="W121" s="6" cm="1">
        <f t="array" ref="W121">_xlfn.IFS(
P121="FLAT8",8%,
P121="FLAT10",10%,
P121="FLAT15",15%,P121="FLAT20",20%,P121="DEL0",0%,
TRUE,0%
)</f>
        <v>0</v>
      </c>
      <c r="X121" s="5">
        <f>Table1[[#This Row],[Amount]]-(Table1[[#This Row],[Amount]]*Table1[[#This Row],[Discount_Percentage]])</f>
        <v>41.4</v>
      </c>
      <c r="Y121" s="5">
        <f>IF(P121="DEL0",Table1[[#This Row],[Discount_Amount]],Table1[[#This Row],[Discount_Amount]]+Table1[[#This Row],[Delivery_Charge]])</f>
        <v>41.4</v>
      </c>
      <c r="Z121" s="7" t="str">
        <f>_xlfn.CONCAT(Table1[[#This Row],[First_Name]],"  ",Table1[[#This Row],[Last_Name]])</f>
        <v>Lindsey  Byrd</v>
      </c>
      <c r="AA121" s="5" t="str" cm="1">
        <f t="array" ref="AA121">_xlfn.IFS( (S121-K121)&gt;Q121,"Late", (S121-K121)=Q121,"InTime", (S121-K121)&lt;Q121,"BeforeTime" )</f>
        <v>BeforeTime</v>
      </c>
      <c r="AB121" s="3">
        <f>MONTH(Table1[[#This Row],[Order_Date]])</f>
        <v>6</v>
      </c>
    </row>
    <row r="122" spans="1:28" x14ac:dyDescent="0.3">
      <c r="A122" s="3" t="s">
        <v>156</v>
      </c>
      <c r="B122" s="3" t="s">
        <v>157</v>
      </c>
      <c r="C122" s="3" t="s">
        <v>158</v>
      </c>
      <c r="D122" s="3" t="str">
        <f>_xlfn.CONCAT(Table1[[#This Row],[First_Name]],Table1[[#This Row],[Last_Name]])</f>
        <v>JoshuaCampbell</v>
      </c>
      <c r="E122" s="3">
        <v>24</v>
      </c>
      <c r="F122" s="3" t="s">
        <v>29</v>
      </c>
      <c r="G122" s="3" t="s">
        <v>159</v>
      </c>
      <c r="H122" s="3" t="s">
        <v>160</v>
      </c>
      <c r="I122" s="3" t="s">
        <v>161</v>
      </c>
      <c r="J122" s="3" t="s">
        <v>784</v>
      </c>
      <c r="K122" s="4">
        <v>45003</v>
      </c>
      <c r="L122" s="3" t="s">
        <v>785</v>
      </c>
      <c r="M122" s="3" t="s">
        <v>748</v>
      </c>
      <c r="N122" s="3">
        <v>381.73</v>
      </c>
      <c r="O122" s="3">
        <v>2</v>
      </c>
      <c r="P122" s="3" t="s">
        <v>63</v>
      </c>
      <c r="Q122" s="3">
        <v>6</v>
      </c>
      <c r="R122" s="3">
        <v>41</v>
      </c>
      <c r="S122" s="4">
        <v>45008</v>
      </c>
      <c r="T122" s="3" t="s">
        <v>786</v>
      </c>
      <c r="U122" s="5">
        <f>Table1[[#This Row],[Delivery_Date]]-Table1[[#This Row],[Order_Date]]</f>
        <v>5</v>
      </c>
      <c r="V122" s="5">
        <f>Table1[[#This Row],[Price]]*Table1[[#This Row],[Quantity]]</f>
        <v>763.46</v>
      </c>
      <c r="W122" s="6" cm="1">
        <f t="array" ref="W122">_xlfn.IFS(
P122="FLAT8",8%,
P122="FLAT10",10%,
P122="FLAT15",15%,P122="FLAT20",20%,P122="DEL0",0%,
TRUE,0%
)</f>
        <v>0</v>
      </c>
      <c r="X122" s="5">
        <f>Table1[[#This Row],[Amount]]-(Table1[[#This Row],[Amount]]*Table1[[#This Row],[Discount_Percentage]])</f>
        <v>763.46</v>
      </c>
      <c r="Y122" s="5">
        <f>IF(P122="DEL0",Table1[[#This Row],[Discount_Amount]],Table1[[#This Row],[Discount_Amount]]+Table1[[#This Row],[Delivery_Charge]])</f>
        <v>763.46</v>
      </c>
      <c r="Z122" s="7" t="str">
        <f>_xlfn.CONCAT(Table1[[#This Row],[First_Name]],"  ",Table1[[#This Row],[Last_Name]])</f>
        <v>Joshua  Campbell</v>
      </c>
      <c r="AA122" s="5" t="str" cm="1">
        <f t="array" ref="AA122">_xlfn.IFS( (S122-K122)&gt;Q122,"Late", (S122-K122)=Q122,"InTime", (S122-K122)&lt;Q122,"BeforeTime" )</f>
        <v>BeforeTime</v>
      </c>
      <c r="AB122" s="3">
        <f>MONTH(Table1[[#This Row],[Order_Date]])</f>
        <v>3</v>
      </c>
    </row>
    <row r="123" spans="1:28" x14ac:dyDescent="0.3">
      <c r="A123" s="3" t="s">
        <v>293</v>
      </c>
      <c r="B123" s="3" t="s">
        <v>294</v>
      </c>
      <c r="C123" s="3" t="s">
        <v>295</v>
      </c>
      <c r="D123" s="3" t="str">
        <f>_xlfn.CONCAT(Table1[[#This Row],[First_Name]],Table1[[#This Row],[Last_Name]])</f>
        <v>HeatherSchneider</v>
      </c>
      <c r="E123" s="3">
        <v>48</v>
      </c>
      <c r="F123" s="3" t="s">
        <v>41</v>
      </c>
      <c r="G123" s="3" t="s">
        <v>90</v>
      </c>
      <c r="H123" s="3" t="s">
        <v>296</v>
      </c>
      <c r="I123" s="3" t="s">
        <v>297</v>
      </c>
      <c r="J123" s="3" t="s">
        <v>787</v>
      </c>
      <c r="K123" s="4">
        <v>45499</v>
      </c>
      <c r="L123" s="3" t="s">
        <v>788</v>
      </c>
      <c r="M123" s="3" t="s">
        <v>323</v>
      </c>
      <c r="N123" s="3">
        <v>481.48</v>
      </c>
      <c r="O123" s="3">
        <v>1</v>
      </c>
      <c r="P123" s="3" t="s">
        <v>36</v>
      </c>
      <c r="Q123" s="3">
        <v>1</v>
      </c>
      <c r="R123" s="3">
        <v>69</v>
      </c>
      <c r="S123" s="4">
        <v>45503</v>
      </c>
      <c r="T123" s="3" t="s">
        <v>789</v>
      </c>
      <c r="U123" s="5">
        <f>Table1[[#This Row],[Delivery_Date]]-Table1[[#This Row],[Order_Date]]</f>
        <v>4</v>
      </c>
      <c r="V123" s="5">
        <f>Table1[[#This Row],[Price]]*Table1[[#This Row],[Quantity]]</f>
        <v>481.48</v>
      </c>
      <c r="W123" s="6" cm="1">
        <f t="array" ref="W123">_xlfn.IFS(
P123="FLAT8",8%,
P123="FLAT10",10%,
P123="FLAT15",15%,P123="FLAT20",20%,P123="DEL0",0%,
TRUE,0%
)</f>
        <v>0.08</v>
      </c>
      <c r="X123" s="5">
        <f>Table1[[#This Row],[Amount]]-(Table1[[#This Row],[Amount]]*Table1[[#This Row],[Discount_Percentage]])</f>
        <v>442.96160000000003</v>
      </c>
      <c r="Y123" s="5">
        <f>IF(P123="DEL0",Table1[[#This Row],[Discount_Amount]],Table1[[#This Row],[Discount_Amount]]+Table1[[#This Row],[Delivery_Charge]])</f>
        <v>511.96160000000003</v>
      </c>
      <c r="Z123" s="7" t="str">
        <f>_xlfn.CONCAT(Table1[[#This Row],[First_Name]],"  ",Table1[[#This Row],[Last_Name]])</f>
        <v>Heather  Schneider</v>
      </c>
      <c r="AA123" s="5" t="str" cm="1">
        <f t="array" ref="AA123">_xlfn.IFS( (S123-K123)&gt;Q123,"Late", (S123-K123)=Q123,"InTime", (S123-K123)&lt;Q123,"BeforeTime" )</f>
        <v>Late</v>
      </c>
      <c r="AB123" s="3">
        <f>MONTH(Table1[[#This Row],[Order_Date]])</f>
        <v>7</v>
      </c>
    </row>
    <row r="124" spans="1:28" x14ac:dyDescent="0.3">
      <c r="A124" s="3" t="s">
        <v>528</v>
      </c>
      <c r="B124" s="3" t="s">
        <v>394</v>
      </c>
      <c r="C124" s="3" t="s">
        <v>529</v>
      </c>
      <c r="D124" s="3" t="str">
        <f>_xlfn.CONCAT(Table1[[#This Row],[First_Name]],Table1[[#This Row],[Last_Name]])</f>
        <v>JasonNguyen</v>
      </c>
      <c r="E124" s="3">
        <v>51</v>
      </c>
      <c r="F124" s="3" t="s">
        <v>52</v>
      </c>
      <c r="G124" s="3" t="s">
        <v>140</v>
      </c>
      <c r="H124" s="3" t="s">
        <v>530</v>
      </c>
      <c r="I124" s="3" t="s">
        <v>531</v>
      </c>
      <c r="J124" s="3" t="s">
        <v>790</v>
      </c>
      <c r="K124" s="4">
        <v>45335</v>
      </c>
      <c r="L124" s="3" t="s">
        <v>791</v>
      </c>
      <c r="M124" s="3" t="s">
        <v>340</v>
      </c>
      <c r="N124" s="3">
        <v>77.84</v>
      </c>
      <c r="O124" s="3">
        <v>2</v>
      </c>
      <c r="P124" s="3" t="s">
        <v>36</v>
      </c>
      <c r="Q124" s="3">
        <v>6</v>
      </c>
      <c r="R124" s="3">
        <v>36</v>
      </c>
      <c r="S124" s="4">
        <v>45341</v>
      </c>
      <c r="T124" s="3" t="s">
        <v>792</v>
      </c>
      <c r="U124" s="5">
        <f>Table1[[#This Row],[Delivery_Date]]-Table1[[#This Row],[Order_Date]]</f>
        <v>6</v>
      </c>
      <c r="V124" s="5">
        <f>Table1[[#This Row],[Price]]*Table1[[#This Row],[Quantity]]</f>
        <v>155.68</v>
      </c>
      <c r="W124" s="6" cm="1">
        <f t="array" ref="W124">_xlfn.IFS(
P124="FLAT8",8%,
P124="FLAT10",10%,
P124="FLAT15",15%,P124="FLAT20",20%,P124="DEL0",0%,
TRUE,0%
)</f>
        <v>0.08</v>
      </c>
      <c r="X124" s="5">
        <f>Table1[[#This Row],[Amount]]-(Table1[[#This Row],[Amount]]*Table1[[#This Row],[Discount_Percentage]])</f>
        <v>143.22560000000001</v>
      </c>
      <c r="Y124" s="5">
        <f>IF(P124="DEL0",Table1[[#This Row],[Discount_Amount]],Table1[[#This Row],[Discount_Amount]]+Table1[[#This Row],[Delivery_Charge]])</f>
        <v>179.22560000000001</v>
      </c>
      <c r="Z124" s="7" t="str">
        <f>_xlfn.CONCAT(Table1[[#This Row],[First_Name]],"  ",Table1[[#This Row],[Last_Name]])</f>
        <v>Jason  Nguyen</v>
      </c>
      <c r="AA124" s="5" t="str" cm="1">
        <f t="array" ref="AA124">_xlfn.IFS( (S124-K124)&gt;Q124,"Late", (S124-K124)=Q124,"InTime", (S124-K124)&lt;Q124,"BeforeTime" )</f>
        <v>InTime</v>
      </c>
      <c r="AB124" s="3">
        <f>MONTH(Table1[[#This Row],[Order_Date]])</f>
        <v>2</v>
      </c>
    </row>
    <row r="125" spans="1:28" x14ac:dyDescent="0.3">
      <c r="A125" s="3" t="s">
        <v>393</v>
      </c>
      <c r="B125" s="3" t="s">
        <v>394</v>
      </c>
      <c r="C125" s="3" t="s">
        <v>395</v>
      </c>
      <c r="D125" s="3" t="str">
        <f>_xlfn.CONCAT(Table1[[#This Row],[First_Name]],Table1[[#This Row],[Last_Name]])</f>
        <v>JasonLopez</v>
      </c>
      <c r="E125" s="3">
        <v>40</v>
      </c>
      <c r="F125" s="3" t="s">
        <v>52</v>
      </c>
      <c r="G125" s="3" t="s">
        <v>168</v>
      </c>
      <c r="H125" s="3" t="s">
        <v>396</v>
      </c>
      <c r="I125" s="3" t="s">
        <v>397</v>
      </c>
      <c r="J125" s="3" t="s">
        <v>793</v>
      </c>
      <c r="K125" s="4">
        <v>45186</v>
      </c>
      <c r="L125" s="3" t="s">
        <v>794</v>
      </c>
      <c r="M125" s="3" t="s">
        <v>514</v>
      </c>
      <c r="N125" s="3">
        <v>136.30000000000001</v>
      </c>
      <c r="O125" s="3">
        <v>1</v>
      </c>
      <c r="P125" s="3" t="s">
        <v>85</v>
      </c>
      <c r="Q125" s="3">
        <v>4</v>
      </c>
      <c r="R125" s="3">
        <v>41</v>
      </c>
      <c r="S125" s="4">
        <v>45189</v>
      </c>
      <c r="T125" s="3" t="s">
        <v>795</v>
      </c>
      <c r="U125" s="5">
        <f>Table1[[#This Row],[Delivery_Date]]-Table1[[#This Row],[Order_Date]]</f>
        <v>3</v>
      </c>
      <c r="V125" s="5">
        <f>Table1[[#This Row],[Price]]*Table1[[#This Row],[Quantity]]</f>
        <v>136.30000000000001</v>
      </c>
      <c r="W125" s="6" cm="1">
        <f t="array" ref="W125">_xlfn.IFS(
P125="FLAT8",8%,
P125="FLAT10",10%,
P125="FLAT15",15%,P125="FLAT20",20%,P125="DEL0",0%,
TRUE,0%
)</f>
        <v>0.2</v>
      </c>
      <c r="X125" s="5">
        <f>Table1[[#This Row],[Amount]]-(Table1[[#This Row],[Amount]]*Table1[[#This Row],[Discount_Percentage]])</f>
        <v>109.04</v>
      </c>
      <c r="Y125" s="5">
        <f>IF(P125="DEL0",Table1[[#This Row],[Discount_Amount]],Table1[[#This Row],[Discount_Amount]]+Table1[[#This Row],[Delivery_Charge]])</f>
        <v>150.04000000000002</v>
      </c>
      <c r="Z125" s="7" t="str">
        <f>_xlfn.CONCAT(Table1[[#This Row],[First_Name]],"  ",Table1[[#This Row],[Last_Name]])</f>
        <v>Jason  Lopez</v>
      </c>
      <c r="AA125" s="5" t="str" cm="1">
        <f t="array" ref="AA125">_xlfn.IFS( (S125-K125)&gt;Q125,"Late", (S125-K125)=Q125,"InTime", (S125-K125)&lt;Q125,"BeforeTime" )</f>
        <v>BeforeTime</v>
      </c>
      <c r="AB125" s="3">
        <f>MONTH(Table1[[#This Row],[Order_Date]])</f>
        <v>9</v>
      </c>
    </row>
    <row r="126" spans="1:28" x14ac:dyDescent="0.3">
      <c r="A126" s="3" t="s">
        <v>412</v>
      </c>
      <c r="B126" s="3" t="s">
        <v>228</v>
      </c>
      <c r="C126" s="3" t="s">
        <v>413</v>
      </c>
      <c r="D126" s="3" t="str">
        <f>_xlfn.CONCAT(Table1[[#This Row],[First_Name]],Table1[[#This Row],[Last_Name]])</f>
        <v>JohnRamirez</v>
      </c>
      <c r="E126" s="3">
        <v>28</v>
      </c>
      <c r="F126" s="3" t="s">
        <v>52</v>
      </c>
      <c r="G126" s="3" t="s">
        <v>140</v>
      </c>
      <c r="H126" s="3" t="s">
        <v>414</v>
      </c>
      <c r="I126" s="3" t="s">
        <v>415</v>
      </c>
      <c r="J126" s="3" t="s">
        <v>796</v>
      </c>
      <c r="K126" s="4">
        <v>45213</v>
      </c>
      <c r="L126" s="3" t="s">
        <v>797</v>
      </c>
      <c r="M126" s="3" t="s">
        <v>686</v>
      </c>
      <c r="N126" s="3">
        <v>424.82</v>
      </c>
      <c r="O126" s="3">
        <v>3</v>
      </c>
      <c r="P126" s="3" t="s">
        <v>36</v>
      </c>
      <c r="Q126" s="3">
        <v>2</v>
      </c>
      <c r="R126" s="3">
        <v>67</v>
      </c>
      <c r="S126" s="4">
        <v>45215</v>
      </c>
      <c r="T126" s="3" t="s">
        <v>798</v>
      </c>
      <c r="U126" s="5">
        <f>Table1[[#This Row],[Delivery_Date]]-Table1[[#This Row],[Order_Date]]</f>
        <v>2</v>
      </c>
      <c r="V126" s="5">
        <f>Table1[[#This Row],[Price]]*Table1[[#This Row],[Quantity]]</f>
        <v>1274.46</v>
      </c>
      <c r="W126" s="6" cm="1">
        <f t="array" ref="W126">_xlfn.IFS(
P126="FLAT8",8%,
P126="FLAT10",10%,
P126="FLAT15",15%,P126="FLAT20",20%,P126="DEL0",0%,
TRUE,0%
)</f>
        <v>0.08</v>
      </c>
      <c r="X126" s="5">
        <f>Table1[[#This Row],[Amount]]-(Table1[[#This Row],[Amount]]*Table1[[#This Row],[Discount_Percentage]])</f>
        <v>1172.5032000000001</v>
      </c>
      <c r="Y126" s="5">
        <f>IF(P126="DEL0",Table1[[#This Row],[Discount_Amount]],Table1[[#This Row],[Discount_Amount]]+Table1[[#This Row],[Delivery_Charge]])</f>
        <v>1239.5032000000001</v>
      </c>
      <c r="Z126" s="7" t="str">
        <f>_xlfn.CONCAT(Table1[[#This Row],[First_Name]],"  ",Table1[[#This Row],[Last_Name]])</f>
        <v>John  Ramirez</v>
      </c>
      <c r="AA126" s="5" t="str" cm="1">
        <f t="array" ref="AA126">_xlfn.IFS( (S126-K126)&gt;Q126,"Late", (S126-K126)=Q126,"InTime", (S126-K126)&lt;Q126,"BeforeTime" )</f>
        <v>InTime</v>
      </c>
      <c r="AB126" s="3">
        <f>MONTH(Table1[[#This Row],[Order_Date]])</f>
        <v>10</v>
      </c>
    </row>
    <row r="127" spans="1:28" x14ac:dyDescent="0.3">
      <c r="A127" s="3" t="s">
        <v>192</v>
      </c>
      <c r="B127" s="3" t="s">
        <v>193</v>
      </c>
      <c r="C127" s="3" t="s">
        <v>194</v>
      </c>
      <c r="D127" s="3" t="str">
        <f>_xlfn.CONCAT(Table1[[#This Row],[First_Name]],Table1[[#This Row],[Last_Name]])</f>
        <v>TraciJones</v>
      </c>
      <c r="E127" s="3">
        <v>34</v>
      </c>
      <c r="F127" s="3" t="s">
        <v>29</v>
      </c>
      <c r="G127" s="3" t="s">
        <v>90</v>
      </c>
      <c r="H127" s="3" t="s">
        <v>195</v>
      </c>
      <c r="I127" s="3" t="s">
        <v>196</v>
      </c>
      <c r="J127" s="3" t="s">
        <v>799</v>
      </c>
      <c r="K127" s="4">
        <v>45667</v>
      </c>
      <c r="L127" s="3" t="s">
        <v>800</v>
      </c>
      <c r="M127" s="3" t="s">
        <v>514</v>
      </c>
      <c r="N127" s="3">
        <v>136.30000000000001</v>
      </c>
      <c r="O127" s="3">
        <v>2</v>
      </c>
      <c r="P127" s="3" t="s">
        <v>96</v>
      </c>
      <c r="Q127" s="3">
        <v>3</v>
      </c>
      <c r="R127" s="3">
        <v>68</v>
      </c>
      <c r="S127" s="4">
        <v>45674</v>
      </c>
      <c r="T127" s="3" t="s">
        <v>801</v>
      </c>
      <c r="U127" s="5">
        <f>Table1[[#This Row],[Delivery_Date]]-Table1[[#This Row],[Order_Date]]</f>
        <v>7</v>
      </c>
      <c r="V127" s="5">
        <f>Table1[[#This Row],[Price]]*Table1[[#This Row],[Quantity]]</f>
        <v>272.60000000000002</v>
      </c>
      <c r="W127" s="6" cm="1">
        <f t="array" ref="W127">_xlfn.IFS(
P127="FLAT8",8%,
P127="FLAT10",10%,
P127="FLAT15",15%,P127="FLAT20",20%,P127="DEL0",0%,
TRUE,0%
)</f>
        <v>0.1</v>
      </c>
      <c r="X127" s="5">
        <f>Table1[[#This Row],[Amount]]-(Table1[[#This Row],[Amount]]*Table1[[#This Row],[Discount_Percentage]])</f>
        <v>245.34000000000003</v>
      </c>
      <c r="Y127" s="5">
        <f>IF(P127="DEL0",Table1[[#This Row],[Discount_Amount]],Table1[[#This Row],[Discount_Amount]]+Table1[[#This Row],[Delivery_Charge]])</f>
        <v>313.34000000000003</v>
      </c>
      <c r="Z127" s="7" t="str">
        <f>_xlfn.CONCAT(Table1[[#This Row],[First_Name]],"  ",Table1[[#This Row],[Last_Name]])</f>
        <v>Traci  Jones</v>
      </c>
      <c r="AA127" s="5" t="str" cm="1">
        <f t="array" ref="AA127">_xlfn.IFS( (S127-K127)&gt;Q127,"Late", (S127-K127)=Q127,"InTime", (S127-K127)&lt;Q127,"BeforeTime" )</f>
        <v>Late</v>
      </c>
      <c r="AB127" s="3">
        <f>MONTH(Table1[[#This Row],[Order_Date]])</f>
        <v>1</v>
      </c>
    </row>
    <row r="128" spans="1:28" x14ac:dyDescent="0.3">
      <c r="A128" s="3" t="s">
        <v>147</v>
      </c>
      <c r="B128" s="3" t="s">
        <v>148</v>
      </c>
      <c r="C128" s="3" t="s">
        <v>149</v>
      </c>
      <c r="D128" s="3" t="str">
        <f>_xlfn.CONCAT(Table1[[#This Row],[First_Name]],Table1[[#This Row],[Last_Name]])</f>
        <v>AmyReid</v>
      </c>
      <c r="E128" s="3">
        <v>44</v>
      </c>
      <c r="F128" s="3" t="s">
        <v>41</v>
      </c>
      <c r="G128" s="3" t="s">
        <v>90</v>
      </c>
      <c r="H128" s="3" t="s">
        <v>150</v>
      </c>
      <c r="I128" s="3" t="s">
        <v>151</v>
      </c>
      <c r="J128" s="3" t="s">
        <v>802</v>
      </c>
      <c r="K128" s="4">
        <v>45636</v>
      </c>
      <c r="L128" s="3" t="s">
        <v>803</v>
      </c>
      <c r="M128" s="3" t="s">
        <v>383</v>
      </c>
      <c r="N128" s="3">
        <v>431.44</v>
      </c>
      <c r="O128" s="3">
        <v>4</v>
      </c>
      <c r="P128" s="3" t="s">
        <v>58</v>
      </c>
      <c r="Q128" s="3">
        <v>2</v>
      </c>
      <c r="R128" s="3">
        <v>66</v>
      </c>
      <c r="S128" s="4">
        <v>45637</v>
      </c>
      <c r="T128" s="3" t="s">
        <v>804</v>
      </c>
      <c r="U128" s="5">
        <f>Table1[[#This Row],[Delivery_Date]]-Table1[[#This Row],[Order_Date]]</f>
        <v>1</v>
      </c>
      <c r="V128" s="5">
        <f>Table1[[#This Row],[Price]]*Table1[[#This Row],[Quantity]]</f>
        <v>1725.76</v>
      </c>
      <c r="W128" s="6" cm="1">
        <f t="array" ref="W128">_xlfn.IFS(
P128="FLAT8",8%,
P128="FLAT10",10%,
P128="FLAT15",15%,P128="FLAT20",20%,P128="DEL0",0%,
TRUE,0%
)</f>
        <v>0.15</v>
      </c>
      <c r="X128" s="5">
        <f>Table1[[#This Row],[Amount]]-(Table1[[#This Row],[Amount]]*Table1[[#This Row],[Discount_Percentage]])</f>
        <v>1466.896</v>
      </c>
      <c r="Y128" s="5">
        <f>IF(P128="DEL0",Table1[[#This Row],[Discount_Amount]],Table1[[#This Row],[Discount_Amount]]+Table1[[#This Row],[Delivery_Charge]])</f>
        <v>1532.896</v>
      </c>
      <c r="Z128" s="7" t="str">
        <f>_xlfn.CONCAT(Table1[[#This Row],[First_Name]],"  ",Table1[[#This Row],[Last_Name]])</f>
        <v>Amy  Reid</v>
      </c>
      <c r="AA128" s="5" t="str" cm="1">
        <f t="array" ref="AA128">_xlfn.IFS( (S128-K128)&gt;Q128,"Late", (S128-K128)=Q128,"InTime", (S128-K128)&lt;Q128,"BeforeTime" )</f>
        <v>BeforeTime</v>
      </c>
      <c r="AB128" s="3">
        <f>MONTH(Table1[[#This Row],[Order_Date]])</f>
        <v>12</v>
      </c>
    </row>
    <row r="129" spans="1:28" x14ac:dyDescent="0.3">
      <c r="A129" s="3" t="s">
        <v>705</v>
      </c>
      <c r="B129" s="3" t="s">
        <v>706</v>
      </c>
      <c r="C129" s="3" t="s">
        <v>707</v>
      </c>
      <c r="D129" s="3" t="str">
        <f>_xlfn.CONCAT(Table1[[#This Row],[First_Name]],Table1[[#This Row],[Last_Name]])</f>
        <v>GregoryLee</v>
      </c>
      <c r="E129" s="3">
        <v>26</v>
      </c>
      <c r="F129" s="3" t="s">
        <v>52</v>
      </c>
      <c r="G129" s="3" t="s">
        <v>76</v>
      </c>
      <c r="H129" s="3" t="s">
        <v>708</v>
      </c>
      <c r="I129" s="3" t="s">
        <v>709</v>
      </c>
      <c r="J129" s="3" t="s">
        <v>805</v>
      </c>
      <c r="K129" s="4">
        <v>45450</v>
      </c>
      <c r="L129" s="3" t="s">
        <v>806</v>
      </c>
      <c r="M129" s="3" t="s">
        <v>234</v>
      </c>
      <c r="N129" s="3">
        <v>132.97</v>
      </c>
      <c r="O129" s="3">
        <v>5</v>
      </c>
      <c r="P129" s="3" t="s">
        <v>85</v>
      </c>
      <c r="Q129" s="3">
        <v>3</v>
      </c>
      <c r="R129" s="3">
        <v>45</v>
      </c>
      <c r="S129" s="4">
        <v>45452</v>
      </c>
      <c r="T129" s="3" t="s">
        <v>807</v>
      </c>
      <c r="U129" s="5">
        <f>Table1[[#This Row],[Delivery_Date]]-Table1[[#This Row],[Order_Date]]</f>
        <v>2</v>
      </c>
      <c r="V129" s="5">
        <f>Table1[[#This Row],[Price]]*Table1[[#This Row],[Quantity]]</f>
        <v>664.85</v>
      </c>
      <c r="W129" s="6" cm="1">
        <f t="array" ref="W129">_xlfn.IFS(
P129="FLAT8",8%,
P129="FLAT10",10%,
P129="FLAT15",15%,P129="FLAT20",20%,P129="DEL0",0%,
TRUE,0%
)</f>
        <v>0.2</v>
      </c>
      <c r="X129" s="5">
        <f>Table1[[#This Row],[Amount]]-(Table1[[#This Row],[Amount]]*Table1[[#This Row],[Discount_Percentage]])</f>
        <v>531.88</v>
      </c>
      <c r="Y129" s="5">
        <f>IF(P129="DEL0",Table1[[#This Row],[Discount_Amount]],Table1[[#This Row],[Discount_Amount]]+Table1[[#This Row],[Delivery_Charge]])</f>
        <v>576.88</v>
      </c>
      <c r="Z129" s="7" t="str">
        <f>_xlfn.CONCAT(Table1[[#This Row],[First_Name]],"  ",Table1[[#This Row],[Last_Name]])</f>
        <v>Gregory  Lee</v>
      </c>
      <c r="AA129" s="5" t="str" cm="1">
        <f t="array" ref="AA129">_xlfn.IFS( (S129-K129)&gt;Q129,"Late", (S129-K129)=Q129,"InTime", (S129-K129)&lt;Q129,"BeforeTime" )</f>
        <v>BeforeTime</v>
      </c>
      <c r="AB129" s="3">
        <f>MONTH(Table1[[#This Row],[Order_Date]])</f>
        <v>6</v>
      </c>
    </row>
    <row r="130" spans="1:28" x14ac:dyDescent="0.3">
      <c r="A130" s="3" t="s">
        <v>528</v>
      </c>
      <c r="B130" s="3" t="s">
        <v>394</v>
      </c>
      <c r="C130" s="3" t="s">
        <v>529</v>
      </c>
      <c r="D130" s="3" t="str">
        <f>_xlfn.CONCAT(Table1[[#This Row],[First_Name]],Table1[[#This Row],[Last_Name]])</f>
        <v>JasonNguyen</v>
      </c>
      <c r="E130" s="3">
        <v>51</v>
      </c>
      <c r="F130" s="3" t="s">
        <v>52</v>
      </c>
      <c r="G130" s="3" t="s">
        <v>140</v>
      </c>
      <c r="H130" s="3" t="s">
        <v>530</v>
      </c>
      <c r="I130" s="3" t="s">
        <v>531</v>
      </c>
      <c r="J130" s="3" t="s">
        <v>808</v>
      </c>
      <c r="K130" s="4">
        <v>45598</v>
      </c>
      <c r="L130" s="3" t="s">
        <v>809</v>
      </c>
      <c r="M130" s="3" t="s">
        <v>173</v>
      </c>
      <c r="N130" s="3">
        <v>272.51</v>
      </c>
      <c r="O130" s="3">
        <v>4</v>
      </c>
      <c r="P130" s="3" t="s">
        <v>63</v>
      </c>
      <c r="Q130" s="3">
        <v>2</v>
      </c>
      <c r="R130" s="3">
        <v>42</v>
      </c>
      <c r="S130" s="4">
        <v>45599</v>
      </c>
      <c r="T130" s="3" t="s">
        <v>810</v>
      </c>
      <c r="U130" s="5">
        <f>Table1[[#This Row],[Delivery_Date]]-Table1[[#This Row],[Order_Date]]</f>
        <v>1</v>
      </c>
      <c r="V130" s="5">
        <f>Table1[[#This Row],[Price]]*Table1[[#This Row],[Quantity]]</f>
        <v>1090.04</v>
      </c>
      <c r="W130" s="6" cm="1">
        <f t="array" ref="W130">_xlfn.IFS(
P130="FLAT8",8%,
P130="FLAT10",10%,
P130="FLAT15",15%,P130="FLAT20",20%,P130="DEL0",0%,
TRUE,0%
)</f>
        <v>0</v>
      </c>
      <c r="X130" s="5">
        <f>Table1[[#This Row],[Amount]]-(Table1[[#This Row],[Amount]]*Table1[[#This Row],[Discount_Percentage]])</f>
        <v>1090.04</v>
      </c>
      <c r="Y130" s="5">
        <f>IF(P130="DEL0",Table1[[#This Row],[Discount_Amount]],Table1[[#This Row],[Discount_Amount]]+Table1[[#This Row],[Delivery_Charge]])</f>
        <v>1090.04</v>
      </c>
      <c r="Z130" s="7" t="str">
        <f>_xlfn.CONCAT(Table1[[#This Row],[First_Name]],"  ",Table1[[#This Row],[Last_Name]])</f>
        <v>Jason  Nguyen</v>
      </c>
      <c r="AA130" s="5" t="str" cm="1">
        <f t="array" ref="AA130">_xlfn.IFS( (S130-K130)&gt;Q130,"Late", (S130-K130)=Q130,"InTime", (S130-K130)&lt;Q130,"BeforeTime" )</f>
        <v>BeforeTime</v>
      </c>
      <c r="AB130" s="3">
        <f>MONTH(Table1[[#This Row],[Order_Date]])</f>
        <v>11</v>
      </c>
    </row>
    <row r="131" spans="1:28" x14ac:dyDescent="0.3">
      <c r="A131" s="3" t="s">
        <v>38</v>
      </c>
      <c r="B131" s="3" t="s">
        <v>39</v>
      </c>
      <c r="C131" s="3" t="s">
        <v>40</v>
      </c>
      <c r="D131" s="3" t="str">
        <f>_xlfn.CONCAT(Table1[[#This Row],[First_Name]],Table1[[#This Row],[Last_Name]])</f>
        <v>AnthonyThomas</v>
      </c>
      <c r="E131" s="3">
        <v>53</v>
      </c>
      <c r="F131" s="3" t="s">
        <v>41</v>
      </c>
      <c r="G131" s="3" t="s">
        <v>42</v>
      </c>
      <c r="H131" s="3" t="s">
        <v>43</v>
      </c>
      <c r="I131" s="3" t="s">
        <v>44</v>
      </c>
      <c r="J131" s="3" t="s">
        <v>811</v>
      </c>
      <c r="K131" s="4">
        <v>45589</v>
      </c>
      <c r="L131" s="3" t="s">
        <v>812</v>
      </c>
      <c r="M131" s="3" t="s">
        <v>57</v>
      </c>
      <c r="N131" s="3">
        <v>202.54</v>
      </c>
      <c r="O131" s="3">
        <v>2</v>
      </c>
      <c r="P131" s="3" t="s">
        <v>85</v>
      </c>
      <c r="Q131" s="3">
        <v>6</v>
      </c>
      <c r="R131" s="3">
        <v>70</v>
      </c>
      <c r="S131" s="4">
        <v>45594</v>
      </c>
      <c r="T131" s="3" t="s">
        <v>813</v>
      </c>
      <c r="U131" s="5">
        <f>Table1[[#This Row],[Delivery_Date]]-Table1[[#This Row],[Order_Date]]</f>
        <v>5</v>
      </c>
      <c r="V131" s="5">
        <f>Table1[[#This Row],[Price]]*Table1[[#This Row],[Quantity]]</f>
        <v>405.08</v>
      </c>
      <c r="W131" s="6" cm="1">
        <f t="array" ref="W131">_xlfn.IFS(
P131="FLAT8",8%,
P131="FLAT10",10%,
P131="FLAT15",15%,P131="FLAT20",20%,P131="DEL0",0%,
TRUE,0%
)</f>
        <v>0.2</v>
      </c>
      <c r="X131" s="5">
        <f>Table1[[#This Row],[Amount]]-(Table1[[#This Row],[Amount]]*Table1[[#This Row],[Discount_Percentage]])</f>
        <v>324.06399999999996</v>
      </c>
      <c r="Y131" s="5">
        <f>IF(P131="DEL0",Table1[[#This Row],[Discount_Amount]],Table1[[#This Row],[Discount_Amount]]+Table1[[#This Row],[Delivery_Charge]])</f>
        <v>394.06399999999996</v>
      </c>
      <c r="Z131" s="7" t="str">
        <f>_xlfn.CONCAT(Table1[[#This Row],[First_Name]],"  ",Table1[[#This Row],[Last_Name]])</f>
        <v>Anthony  Thomas</v>
      </c>
      <c r="AA131" s="5" t="str" cm="1">
        <f t="array" ref="AA131">_xlfn.IFS( (S131-K131)&gt;Q131,"Late", (S131-K131)=Q131,"InTime", (S131-K131)&lt;Q131,"BeforeTime" )</f>
        <v>BeforeTime</v>
      </c>
      <c r="AB131" s="3">
        <f>MONTH(Table1[[#This Row],[Order_Date]])</f>
        <v>10</v>
      </c>
    </row>
    <row r="132" spans="1:28" x14ac:dyDescent="0.3">
      <c r="A132" s="3" t="s">
        <v>98</v>
      </c>
      <c r="B132" s="3" t="s">
        <v>99</v>
      </c>
      <c r="C132" s="3" t="s">
        <v>100</v>
      </c>
      <c r="D132" s="3" t="str">
        <f>_xlfn.CONCAT(Table1[[#This Row],[First_Name]],Table1[[#This Row],[Last_Name]])</f>
        <v>MarcusValenzuela</v>
      </c>
      <c r="E132" s="3">
        <v>39</v>
      </c>
      <c r="F132" s="3" t="s">
        <v>29</v>
      </c>
      <c r="G132" s="3" t="s">
        <v>30</v>
      </c>
      <c r="H132" s="3" t="s">
        <v>101</v>
      </c>
      <c r="I132" s="3" t="s">
        <v>102</v>
      </c>
      <c r="J132" s="3" t="s">
        <v>814</v>
      </c>
      <c r="K132" s="4">
        <v>45689</v>
      </c>
      <c r="L132" s="3" t="s">
        <v>815</v>
      </c>
      <c r="M132" s="3" t="s">
        <v>514</v>
      </c>
      <c r="N132" s="3">
        <v>136.30000000000001</v>
      </c>
      <c r="O132" s="3">
        <v>2</v>
      </c>
      <c r="P132" s="3" t="s">
        <v>96</v>
      </c>
      <c r="Q132" s="3">
        <v>2</v>
      </c>
      <c r="R132" s="3">
        <v>51</v>
      </c>
      <c r="S132" s="4">
        <v>45694</v>
      </c>
      <c r="T132" s="3" t="s">
        <v>816</v>
      </c>
      <c r="U132" s="5">
        <f>Table1[[#This Row],[Delivery_Date]]-Table1[[#This Row],[Order_Date]]</f>
        <v>5</v>
      </c>
      <c r="V132" s="5">
        <f>Table1[[#This Row],[Price]]*Table1[[#This Row],[Quantity]]</f>
        <v>272.60000000000002</v>
      </c>
      <c r="W132" s="6" cm="1">
        <f t="array" ref="W132">_xlfn.IFS(
P132="FLAT8",8%,
P132="FLAT10",10%,
P132="FLAT15",15%,P132="FLAT20",20%,P132="DEL0",0%,
TRUE,0%
)</f>
        <v>0.1</v>
      </c>
      <c r="X132" s="5">
        <f>Table1[[#This Row],[Amount]]-(Table1[[#This Row],[Amount]]*Table1[[#This Row],[Discount_Percentage]])</f>
        <v>245.34000000000003</v>
      </c>
      <c r="Y132" s="5">
        <f>IF(P132="DEL0",Table1[[#This Row],[Discount_Amount]],Table1[[#This Row],[Discount_Amount]]+Table1[[#This Row],[Delivery_Charge]])</f>
        <v>296.34000000000003</v>
      </c>
      <c r="Z132" s="7" t="str">
        <f>_xlfn.CONCAT(Table1[[#This Row],[First_Name]],"  ",Table1[[#This Row],[Last_Name]])</f>
        <v>Marcus  Valenzuela</v>
      </c>
      <c r="AA132" s="5" t="str" cm="1">
        <f t="array" ref="AA132">_xlfn.IFS( (S132-K132)&gt;Q132,"Late", (S132-K132)=Q132,"InTime", (S132-K132)&lt;Q132,"BeforeTime" )</f>
        <v>Late</v>
      </c>
      <c r="AB132" s="3">
        <f>MONTH(Table1[[#This Row],[Order_Date]])</f>
        <v>2</v>
      </c>
    </row>
    <row r="133" spans="1:28" x14ac:dyDescent="0.3">
      <c r="A133" s="3" t="s">
        <v>227</v>
      </c>
      <c r="B133" s="3" t="s">
        <v>228</v>
      </c>
      <c r="C133" s="3" t="s">
        <v>229</v>
      </c>
      <c r="D133" s="3" t="str">
        <f>_xlfn.CONCAT(Table1[[#This Row],[First_Name]],Table1[[#This Row],[Last_Name]])</f>
        <v>JohnHerrera</v>
      </c>
      <c r="E133" s="3">
        <v>64</v>
      </c>
      <c r="F133" s="3" t="s">
        <v>41</v>
      </c>
      <c r="G133" s="3" t="s">
        <v>42</v>
      </c>
      <c r="H133" s="3" t="s">
        <v>230</v>
      </c>
      <c r="I133" s="3" t="s">
        <v>231</v>
      </c>
      <c r="J133" s="3" t="s">
        <v>817</v>
      </c>
      <c r="K133" s="4">
        <v>45094</v>
      </c>
      <c r="L133" s="3" t="s">
        <v>818</v>
      </c>
      <c r="M133" s="3" t="s">
        <v>590</v>
      </c>
      <c r="N133" s="3">
        <v>403.03</v>
      </c>
      <c r="O133" s="3">
        <v>5</v>
      </c>
      <c r="P133" s="3" t="s">
        <v>63</v>
      </c>
      <c r="Q133" s="3">
        <v>7</v>
      </c>
      <c r="R133" s="3">
        <v>52</v>
      </c>
      <c r="S133" s="4">
        <v>45097</v>
      </c>
      <c r="T133" s="3" t="s">
        <v>819</v>
      </c>
      <c r="U133" s="5">
        <f>Table1[[#This Row],[Delivery_Date]]-Table1[[#This Row],[Order_Date]]</f>
        <v>3</v>
      </c>
      <c r="V133" s="5">
        <f>Table1[[#This Row],[Price]]*Table1[[#This Row],[Quantity]]</f>
        <v>2015.1499999999999</v>
      </c>
      <c r="W133" s="6" cm="1">
        <f t="array" ref="W133">_xlfn.IFS(
P133="FLAT8",8%,
P133="FLAT10",10%,
P133="FLAT15",15%,P133="FLAT20",20%,P133="DEL0",0%,
TRUE,0%
)</f>
        <v>0</v>
      </c>
      <c r="X133" s="5">
        <f>Table1[[#This Row],[Amount]]-(Table1[[#This Row],[Amount]]*Table1[[#This Row],[Discount_Percentage]])</f>
        <v>2015.1499999999999</v>
      </c>
      <c r="Y133" s="5">
        <f>IF(P133="DEL0",Table1[[#This Row],[Discount_Amount]],Table1[[#This Row],[Discount_Amount]]+Table1[[#This Row],[Delivery_Charge]])</f>
        <v>2015.1499999999999</v>
      </c>
      <c r="Z133" s="7" t="str">
        <f>_xlfn.CONCAT(Table1[[#This Row],[First_Name]],"  ",Table1[[#This Row],[Last_Name]])</f>
        <v>John  Herrera</v>
      </c>
      <c r="AA133" s="5" t="str" cm="1">
        <f t="array" ref="AA133">_xlfn.IFS( (S133-K133)&gt;Q133,"Late", (S133-K133)=Q133,"InTime", (S133-K133)&lt;Q133,"BeforeTime" )</f>
        <v>BeforeTime</v>
      </c>
      <c r="AB133" s="3">
        <f>MONTH(Table1[[#This Row],[Order_Date]])</f>
        <v>6</v>
      </c>
    </row>
    <row r="134" spans="1:28" x14ac:dyDescent="0.3">
      <c r="A134" s="3" t="s">
        <v>349</v>
      </c>
      <c r="B134" s="3" t="s">
        <v>350</v>
      </c>
      <c r="C134" s="3" t="s">
        <v>351</v>
      </c>
      <c r="D134" s="3" t="str">
        <f>_xlfn.CONCAT(Table1[[#This Row],[First_Name]],Table1[[#This Row],[Last_Name]])</f>
        <v>DonnaOneill</v>
      </c>
      <c r="E134" s="3">
        <v>70</v>
      </c>
      <c r="F134" s="3" t="s">
        <v>29</v>
      </c>
      <c r="G134" s="3" t="s">
        <v>168</v>
      </c>
      <c r="H134" s="3" t="s">
        <v>352</v>
      </c>
      <c r="I134" s="3" t="s">
        <v>353</v>
      </c>
      <c r="J134" s="3" t="s">
        <v>820</v>
      </c>
      <c r="K134" s="4">
        <v>45281</v>
      </c>
      <c r="L134" s="3" t="s">
        <v>821</v>
      </c>
      <c r="M134" s="3" t="s">
        <v>590</v>
      </c>
      <c r="N134" s="3">
        <v>403.03</v>
      </c>
      <c r="O134" s="3">
        <v>4</v>
      </c>
      <c r="P134" s="3" t="s">
        <v>96</v>
      </c>
      <c r="Q134" s="3">
        <v>6</v>
      </c>
      <c r="R134" s="3">
        <v>47</v>
      </c>
      <c r="S134" s="4">
        <v>45283</v>
      </c>
      <c r="T134" s="3" t="s">
        <v>822</v>
      </c>
      <c r="U134" s="5">
        <f>Table1[[#This Row],[Delivery_Date]]-Table1[[#This Row],[Order_Date]]</f>
        <v>2</v>
      </c>
      <c r="V134" s="5">
        <f>Table1[[#This Row],[Price]]*Table1[[#This Row],[Quantity]]</f>
        <v>1612.12</v>
      </c>
      <c r="W134" s="6" cm="1">
        <f t="array" ref="W134">_xlfn.IFS(
P134="FLAT8",8%,
P134="FLAT10",10%,
P134="FLAT15",15%,P134="FLAT20",20%,P134="DEL0",0%,
TRUE,0%
)</f>
        <v>0.1</v>
      </c>
      <c r="X134" s="5">
        <f>Table1[[#This Row],[Amount]]-(Table1[[#This Row],[Amount]]*Table1[[#This Row],[Discount_Percentage]])</f>
        <v>1450.9079999999999</v>
      </c>
      <c r="Y134" s="5">
        <f>IF(P134="DEL0",Table1[[#This Row],[Discount_Amount]],Table1[[#This Row],[Discount_Amount]]+Table1[[#This Row],[Delivery_Charge]])</f>
        <v>1497.9079999999999</v>
      </c>
      <c r="Z134" s="7" t="str">
        <f>_xlfn.CONCAT(Table1[[#This Row],[First_Name]],"  ",Table1[[#This Row],[Last_Name]])</f>
        <v>Donna  Oneill</v>
      </c>
      <c r="AA134" s="5" t="str" cm="1">
        <f t="array" ref="AA134">_xlfn.IFS( (S134-K134)&gt;Q134,"Late", (S134-K134)=Q134,"InTime", (S134-K134)&lt;Q134,"BeforeTime" )</f>
        <v>BeforeTime</v>
      </c>
      <c r="AB134" s="3">
        <f>MONTH(Table1[[#This Row],[Order_Date]])</f>
        <v>12</v>
      </c>
    </row>
    <row r="135" spans="1:28" x14ac:dyDescent="0.3">
      <c r="A135" s="3" t="s">
        <v>823</v>
      </c>
      <c r="B135" s="3" t="s">
        <v>824</v>
      </c>
      <c r="C135" s="3" t="s">
        <v>825</v>
      </c>
      <c r="D135" s="3" t="str">
        <f>_xlfn.CONCAT(Table1[[#This Row],[First_Name]],Table1[[#This Row],[Last_Name]])</f>
        <v>EdwardBlack</v>
      </c>
      <c r="E135" s="3">
        <v>42</v>
      </c>
      <c r="F135" s="3" t="s">
        <v>29</v>
      </c>
      <c r="G135" s="3" t="s">
        <v>76</v>
      </c>
      <c r="H135" s="3" t="s">
        <v>826</v>
      </c>
      <c r="I135" s="3" t="s">
        <v>827</v>
      </c>
      <c r="J135" s="3" t="s">
        <v>828</v>
      </c>
      <c r="K135" s="4">
        <v>44979</v>
      </c>
      <c r="L135" s="3" t="s">
        <v>829</v>
      </c>
      <c r="M135" s="3" t="s">
        <v>145</v>
      </c>
      <c r="N135" s="3">
        <v>190.1</v>
      </c>
      <c r="O135" s="3">
        <v>5</v>
      </c>
      <c r="P135" s="3" t="s">
        <v>85</v>
      </c>
      <c r="Q135" s="3">
        <v>4</v>
      </c>
      <c r="R135" s="3">
        <v>37</v>
      </c>
      <c r="S135" s="4">
        <v>44984</v>
      </c>
      <c r="T135" s="3" t="s">
        <v>830</v>
      </c>
      <c r="U135" s="5">
        <f>Table1[[#This Row],[Delivery_Date]]-Table1[[#This Row],[Order_Date]]</f>
        <v>5</v>
      </c>
      <c r="V135" s="5">
        <f>Table1[[#This Row],[Price]]*Table1[[#This Row],[Quantity]]</f>
        <v>950.5</v>
      </c>
      <c r="W135" s="6" cm="1">
        <f t="array" ref="W135">_xlfn.IFS(
P135="FLAT8",8%,
P135="FLAT10",10%,
P135="FLAT15",15%,P135="FLAT20",20%,P135="DEL0",0%,
TRUE,0%
)</f>
        <v>0.2</v>
      </c>
      <c r="X135" s="5">
        <f>Table1[[#This Row],[Amount]]-(Table1[[#This Row],[Amount]]*Table1[[#This Row],[Discount_Percentage]])</f>
        <v>760.4</v>
      </c>
      <c r="Y135" s="5">
        <f>IF(P135="DEL0",Table1[[#This Row],[Discount_Amount]],Table1[[#This Row],[Discount_Amount]]+Table1[[#This Row],[Delivery_Charge]])</f>
        <v>797.4</v>
      </c>
      <c r="Z135" s="7" t="str">
        <f>_xlfn.CONCAT(Table1[[#This Row],[First_Name]],"  ",Table1[[#This Row],[Last_Name]])</f>
        <v>Edward  Black</v>
      </c>
      <c r="AA135" s="5" t="str" cm="1">
        <f t="array" ref="AA135">_xlfn.IFS( (S135-K135)&gt;Q135,"Late", (S135-K135)=Q135,"InTime", (S135-K135)&lt;Q135,"BeforeTime" )</f>
        <v>Late</v>
      </c>
      <c r="AB135" s="3">
        <f>MONTH(Table1[[#This Row],[Order_Date]])</f>
        <v>2</v>
      </c>
    </row>
    <row r="136" spans="1:28" x14ac:dyDescent="0.3">
      <c r="A136" s="3" t="s">
        <v>831</v>
      </c>
      <c r="B136" s="3" t="s">
        <v>832</v>
      </c>
      <c r="C136" s="3" t="s">
        <v>833</v>
      </c>
      <c r="D136" s="3" t="str">
        <f>_xlfn.CONCAT(Table1[[#This Row],[First_Name]],Table1[[#This Row],[Last_Name]])</f>
        <v>JamesBrown</v>
      </c>
      <c r="E136" s="3">
        <v>60</v>
      </c>
      <c r="F136" s="3" t="s">
        <v>29</v>
      </c>
      <c r="G136" s="3" t="s">
        <v>140</v>
      </c>
      <c r="H136" s="3" t="s">
        <v>834</v>
      </c>
      <c r="I136" s="3" t="s">
        <v>835</v>
      </c>
      <c r="J136" s="3" t="s">
        <v>836</v>
      </c>
      <c r="K136" s="4">
        <v>45663</v>
      </c>
      <c r="L136" s="3" t="s">
        <v>837</v>
      </c>
      <c r="M136" s="3" t="s">
        <v>514</v>
      </c>
      <c r="N136" s="3">
        <v>136.30000000000001</v>
      </c>
      <c r="O136" s="3">
        <v>4</v>
      </c>
      <c r="P136" s="3" t="s">
        <v>63</v>
      </c>
      <c r="Q136" s="3">
        <v>5</v>
      </c>
      <c r="R136" s="3">
        <v>61</v>
      </c>
      <c r="S136" s="4">
        <v>45668</v>
      </c>
      <c r="T136" s="3" t="s">
        <v>838</v>
      </c>
      <c r="U136" s="5">
        <f>Table1[[#This Row],[Delivery_Date]]-Table1[[#This Row],[Order_Date]]</f>
        <v>5</v>
      </c>
      <c r="V136" s="5">
        <f>Table1[[#This Row],[Price]]*Table1[[#This Row],[Quantity]]</f>
        <v>545.20000000000005</v>
      </c>
      <c r="W136" s="6" cm="1">
        <f t="array" ref="W136">_xlfn.IFS(
P136="FLAT8",8%,
P136="FLAT10",10%,
P136="FLAT15",15%,P136="FLAT20",20%,P136="DEL0",0%,
TRUE,0%
)</f>
        <v>0</v>
      </c>
      <c r="X136" s="5">
        <f>Table1[[#This Row],[Amount]]-(Table1[[#This Row],[Amount]]*Table1[[#This Row],[Discount_Percentage]])</f>
        <v>545.20000000000005</v>
      </c>
      <c r="Y136" s="5">
        <f>IF(P136="DEL0",Table1[[#This Row],[Discount_Amount]],Table1[[#This Row],[Discount_Amount]]+Table1[[#This Row],[Delivery_Charge]])</f>
        <v>545.20000000000005</v>
      </c>
      <c r="Z136" s="7" t="str">
        <f>_xlfn.CONCAT(Table1[[#This Row],[First_Name]],"  ",Table1[[#This Row],[Last_Name]])</f>
        <v>James  Brown</v>
      </c>
      <c r="AA136" s="5" t="str" cm="1">
        <f t="array" ref="AA136">_xlfn.IFS( (S136-K136)&gt;Q136,"Late", (S136-K136)=Q136,"InTime", (S136-K136)&lt;Q136,"BeforeTime" )</f>
        <v>InTime</v>
      </c>
      <c r="AB136" s="3">
        <f>MONTH(Table1[[#This Row],[Order_Date]])</f>
        <v>1</v>
      </c>
    </row>
    <row r="137" spans="1:28" x14ac:dyDescent="0.3">
      <c r="A137" s="3" t="s">
        <v>839</v>
      </c>
      <c r="B137" s="3" t="s">
        <v>840</v>
      </c>
      <c r="C137" s="3" t="s">
        <v>841</v>
      </c>
      <c r="D137" s="3" t="str">
        <f>_xlfn.CONCAT(Table1[[#This Row],[First_Name]],Table1[[#This Row],[Last_Name]])</f>
        <v>LeslieMontgomery</v>
      </c>
      <c r="E137" s="3">
        <v>26</v>
      </c>
      <c r="F137" s="3" t="s">
        <v>41</v>
      </c>
      <c r="G137" s="3" t="s">
        <v>159</v>
      </c>
      <c r="H137" s="3" t="s">
        <v>842</v>
      </c>
      <c r="I137" s="3" t="s">
        <v>843</v>
      </c>
      <c r="J137" s="3" t="s">
        <v>844</v>
      </c>
      <c r="K137" s="4">
        <v>45226</v>
      </c>
      <c r="L137" s="3" t="s">
        <v>845</v>
      </c>
      <c r="M137" s="3" t="s">
        <v>657</v>
      </c>
      <c r="N137" s="3">
        <v>235.63</v>
      </c>
      <c r="O137" s="3">
        <v>1</v>
      </c>
      <c r="P137" s="3" t="s">
        <v>85</v>
      </c>
      <c r="Q137" s="3">
        <v>2</v>
      </c>
      <c r="R137" s="3">
        <v>66</v>
      </c>
      <c r="S137" s="4">
        <v>45233</v>
      </c>
      <c r="T137" s="3" t="s">
        <v>846</v>
      </c>
      <c r="U137" s="5">
        <f>Table1[[#This Row],[Delivery_Date]]-Table1[[#This Row],[Order_Date]]</f>
        <v>7</v>
      </c>
      <c r="V137" s="5">
        <f>Table1[[#This Row],[Price]]*Table1[[#This Row],[Quantity]]</f>
        <v>235.63</v>
      </c>
      <c r="W137" s="6" cm="1">
        <f t="array" ref="W137">_xlfn.IFS(
P137="FLAT8",8%,
P137="FLAT10",10%,
P137="FLAT15",15%,P137="FLAT20",20%,P137="DEL0",0%,
TRUE,0%
)</f>
        <v>0.2</v>
      </c>
      <c r="X137" s="5">
        <f>Table1[[#This Row],[Amount]]-(Table1[[#This Row],[Amount]]*Table1[[#This Row],[Discount_Percentage]])</f>
        <v>188.50399999999999</v>
      </c>
      <c r="Y137" s="5">
        <f>IF(P137="DEL0",Table1[[#This Row],[Discount_Amount]],Table1[[#This Row],[Discount_Amount]]+Table1[[#This Row],[Delivery_Charge]])</f>
        <v>254.50399999999999</v>
      </c>
      <c r="Z137" s="7" t="str">
        <f>_xlfn.CONCAT(Table1[[#This Row],[First_Name]],"  ",Table1[[#This Row],[Last_Name]])</f>
        <v>Leslie  Montgomery</v>
      </c>
      <c r="AA137" s="5" t="str" cm="1">
        <f t="array" ref="AA137">_xlfn.IFS( (S137-K137)&gt;Q137,"Late", (S137-K137)=Q137,"InTime", (S137-K137)&lt;Q137,"BeforeTime" )</f>
        <v>Late</v>
      </c>
      <c r="AB137" s="3">
        <f>MONTH(Table1[[#This Row],[Order_Date]])</f>
        <v>10</v>
      </c>
    </row>
    <row r="138" spans="1:28" x14ac:dyDescent="0.3">
      <c r="A138" s="3" t="s">
        <v>847</v>
      </c>
      <c r="B138" s="3" t="s">
        <v>848</v>
      </c>
      <c r="C138" s="3" t="s">
        <v>387</v>
      </c>
      <c r="D138" s="3" t="str">
        <f>_xlfn.CONCAT(Table1[[#This Row],[First_Name]],Table1[[#This Row],[Last_Name]])</f>
        <v>SusanThompson</v>
      </c>
      <c r="E138" s="3">
        <v>37</v>
      </c>
      <c r="F138" s="3" t="s">
        <v>52</v>
      </c>
      <c r="G138" s="3" t="s">
        <v>220</v>
      </c>
      <c r="H138" s="3" t="s">
        <v>849</v>
      </c>
      <c r="I138" s="3" t="s">
        <v>850</v>
      </c>
      <c r="J138" s="3" t="s">
        <v>851</v>
      </c>
      <c r="K138" s="4">
        <v>45249</v>
      </c>
      <c r="L138" s="3" t="s">
        <v>852</v>
      </c>
      <c r="M138" s="3" t="s">
        <v>653</v>
      </c>
      <c r="N138" s="3">
        <v>433.62</v>
      </c>
      <c r="O138" s="3">
        <v>4</v>
      </c>
      <c r="P138" s="3" t="s">
        <v>85</v>
      </c>
      <c r="Q138" s="3">
        <v>3</v>
      </c>
      <c r="R138" s="3">
        <v>36</v>
      </c>
      <c r="S138" s="4">
        <v>45252</v>
      </c>
      <c r="T138" s="3" t="s">
        <v>853</v>
      </c>
      <c r="U138" s="5">
        <f>Table1[[#This Row],[Delivery_Date]]-Table1[[#This Row],[Order_Date]]</f>
        <v>3</v>
      </c>
      <c r="V138" s="5">
        <f>Table1[[#This Row],[Price]]*Table1[[#This Row],[Quantity]]</f>
        <v>1734.48</v>
      </c>
      <c r="W138" s="6" cm="1">
        <f t="array" ref="W138">_xlfn.IFS(
P138="FLAT8",8%,
P138="FLAT10",10%,
P138="FLAT15",15%,P138="FLAT20",20%,P138="DEL0",0%,
TRUE,0%
)</f>
        <v>0.2</v>
      </c>
      <c r="X138" s="5">
        <f>Table1[[#This Row],[Amount]]-(Table1[[#This Row],[Amount]]*Table1[[#This Row],[Discount_Percentage]])</f>
        <v>1387.5840000000001</v>
      </c>
      <c r="Y138" s="5">
        <f>IF(P138="DEL0",Table1[[#This Row],[Discount_Amount]],Table1[[#This Row],[Discount_Amount]]+Table1[[#This Row],[Delivery_Charge]])</f>
        <v>1423.5840000000001</v>
      </c>
      <c r="Z138" s="7" t="str">
        <f>_xlfn.CONCAT(Table1[[#This Row],[First_Name]],"  ",Table1[[#This Row],[Last_Name]])</f>
        <v>Susan  Thompson</v>
      </c>
      <c r="AA138" s="5" t="str" cm="1">
        <f t="array" ref="AA138">_xlfn.IFS( (S138-K138)&gt;Q138,"Late", (S138-K138)=Q138,"InTime", (S138-K138)&lt;Q138,"BeforeTime" )</f>
        <v>InTime</v>
      </c>
      <c r="AB138" s="3">
        <f>MONTH(Table1[[#This Row],[Order_Date]])</f>
        <v>11</v>
      </c>
    </row>
    <row r="139" spans="1:28" x14ac:dyDescent="0.3">
      <c r="A139" s="3" t="s">
        <v>750</v>
      </c>
      <c r="B139" s="3" t="s">
        <v>751</v>
      </c>
      <c r="C139" s="3" t="s">
        <v>752</v>
      </c>
      <c r="D139" s="3" t="str">
        <f>_xlfn.CONCAT(Table1[[#This Row],[First_Name]],Table1[[#This Row],[Last_Name]])</f>
        <v>BarbaraFuller</v>
      </c>
      <c r="E139" s="3">
        <v>43</v>
      </c>
      <c r="F139" s="3" t="s">
        <v>52</v>
      </c>
      <c r="G139" s="3" t="s">
        <v>159</v>
      </c>
      <c r="H139" s="3" t="s">
        <v>753</v>
      </c>
      <c r="I139" s="3" t="s">
        <v>754</v>
      </c>
      <c r="J139" s="3" t="s">
        <v>854</v>
      </c>
      <c r="K139" s="4">
        <v>45331</v>
      </c>
      <c r="L139" s="3" t="s">
        <v>855</v>
      </c>
      <c r="M139" s="3" t="s">
        <v>287</v>
      </c>
      <c r="N139" s="3">
        <v>157.63999999999999</v>
      </c>
      <c r="O139" s="3">
        <v>5</v>
      </c>
      <c r="P139" s="3" t="s">
        <v>63</v>
      </c>
      <c r="Q139" s="3">
        <v>7</v>
      </c>
      <c r="R139" s="3">
        <v>36</v>
      </c>
      <c r="S139" s="4">
        <v>45332</v>
      </c>
      <c r="T139" s="3" t="s">
        <v>856</v>
      </c>
      <c r="U139" s="5">
        <f>Table1[[#This Row],[Delivery_Date]]-Table1[[#This Row],[Order_Date]]</f>
        <v>1</v>
      </c>
      <c r="V139" s="5">
        <f>Table1[[#This Row],[Price]]*Table1[[#This Row],[Quantity]]</f>
        <v>788.19999999999993</v>
      </c>
      <c r="W139" s="6" cm="1">
        <f t="array" ref="W139">_xlfn.IFS(
P139="FLAT8",8%,
P139="FLAT10",10%,
P139="FLAT15",15%,P139="FLAT20",20%,P139="DEL0",0%,
TRUE,0%
)</f>
        <v>0</v>
      </c>
      <c r="X139" s="5">
        <f>Table1[[#This Row],[Amount]]-(Table1[[#This Row],[Amount]]*Table1[[#This Row],[Discount_Percentage]])</f>
        <v>788.19999999999993</v>
      </c>
      <c r="Y139" s="5">
        <f>IF(P139="DEL0",Table1[[#This Row],[Discount_Amount]],Table1[[#This Row],[Discount_Amount]]+Table1[[#This Row],[Delivery_Charge]])</f>
        <v>788.19999999999993</v>
      </c>
      <c r="Z139" s="7" t="str">
        <f>_xlfn.CONCAT(Table1[[#This Row],[First_Name]],"  ",Table1[[#This Row],[Last_Name]])</f>
        <v>Barbara  Fuller</v>
      </c>
      <c r="AA139" s="5" t="str" cm="1">
        <f t="array" ref="AA139">_xlfn.IFS( (S139-K139)&gt;Q139,"Late", (S139-K139)=Q139,"InTime", (S139-K139)&lt;Q139,"BeforeTime" )</f>
        <v>BeforeTime</v>
      </c>
      <c r="AB139" s="3">
        <f>MONTH(Table1[[#This Row],[Order_Date]])</f>
        <v>2</v>
      </c>
    </row>
    <row r="140" spans="1:28" x14ac:dyDescent="0.3">
      <c r="A140" s="3" t="s">
        <v>87</v>
      </c>
      <c r="B140" s="3" t="s">
        <v>88</v>
      </c>
      <c r="C140" s="3" t="s">
        <v>89</v>
      </c>
      <c r="D140" s="3" t="str">
        <f>_xlfn.CONCAT(Table1[[#This Row],[First_Name]],Table1[[#This Row],[Last_Name]])</f>
        <v>DavidDelacruz</v>
      </c>
      <c r="E140" s="3">
        <v>26</v>
      </c>
      <c r="F140" s="3" t="s">
        <v>41</v>
      </c>
      <c r="G140" s="3" t="s">
        <v>90</v>
      </c>
      <c r="H140" s="3" t="s">
        <v>91</v>
      </c>
      <c r="I140" s="3" t="s">
        <v>92</v>
      </c>
      <c r="J140" s="3" t="s">
        <v>857</v>
      </c>
      <c r="K140" s="4">
        <v>45108</v>
      </c>
      <c r="L140" s="3" t="s">
        <v>858</v>
      </c>
      <c r="M140" s="3" t="s">
        <v>291</v>
      </c>
      <c r="N140" s="3">
        <v>158.53</v>
      </c>
      <c r="O140" s="3">
        <v>5</v>
      </c>
      <c r="P140" s="3" t="s">
        <v>63</v>
      </c>
      <c r="Q140" s="3">
        <v>4</v>
      </c>
      <c r="R140" s="3">
        <v>66</v>
      </c>
      <c r="S140" s="4">
        <v>45111</v>
      </c>
      <c r="T140" s="3" t="s">
        <v>859</v>
      </c>
      <c r="U140" s="5">
        <f>Table1[[#This Row],[Delivery_Date]]-Table1[[#This Row],[Order_Date]]</f>
        <v>3</v>
      </c>
      <c r="V140" s="5">
        <f>Table1[[#This Row],[Price]]*Table1[[#This Row],[Quantity]]</f>
        <v>792.65</v>
      </c>
      <c r="W140" s="6" cm="1">
        <f t="array" ref="W140">_xlfn.IFS(
P140="FLAT8",8%,
P140="FLAT10",10%,
P140="FLAT15",15%,P140="FLAT20",20%,P140="DEL0",0%,
TRUE,0%
)</f>
        <v>0</v>
      </c>
      <c r="X140" s="5">
        <f>Table1[[#This Row],[Amount]]-(Table1[[#This Row],[Amount]]*Table1[[#This Row],[Discount_Percentage]])</f>
        <v>792.65</v>
      </c>
      <c r="Y140" s="5">
        <f>IF(P140="DEL0",Table1[[#This Row],[Discount_Amount]],Table1[[#This Row],[Discount_Amount]]+Table1[[#This Row],[Delivery_Charge]])</f>
        <v>792.65</v>
      </c>
      <c r="Z140" s="7" t="str">
        <f>_xlfn.CONCAT(Table1[[#This Row],[First_Name]],"  ",Table1[[#This Row],[Last_Name]])</f>
        <v>David  Delacruz</v>
      </c>
      <c r="AA140" s="5" t="str" cm="1">
        <f t="array" ref="AA140">_xlfn.IFS( (S140-K140)&gt;Q140,"Late", (S140-K140)=Q140,"InTime", (S140-K140)&lt;Q140,"BeforeTime" )</f>
        <v>BeforeTime</v>
      </c>
      <c r="AB140" s="3">
        <f>MONTH(Table1[[#This Row],[Order_Date]])</f>
        <v>7</v>
      </c>
    </row>
    <row r="141" spans="1:28" x14ac:dyDescent="0.3">
      <c r="A141" s="3" t="s">
        <v>184</v>
      </c>
      <c r="B141" s="3" t="s">
        <v>185</v>
      </c>
      <c r="C141" s="3" t="s">
        <v>186</v>
      </c>
      <c r="D141" s="3" t="str">
        <f>_xlfn.CONCAT(Table1[[#This Row],[First_Name]],Table1[[#This Row],[Last_Name]])</f>
        <v>MalloryMitchell</v>
      </c>
      <c r="E141" s="3">
        <v>42</v>
      </c>
      <c r="F141" s="3" t="s">
        <v>41</v>
      </c>
      <c r="G141" s="3" t="s">
        <v>168</v>
      </c>
      <c r="H141" s="3" t="s">
        <v>187</v>
      </c>
      <c r="I141" s="3" t="s">
        <v>188</v>
      </c>
      <c r="J141" s="3" t="s">
        <v>860</v>
      </c>
      <c r="K141" s="4">
        <v>45283</v>
      </c>
      <c r="L141" s="3" t="s">
        <v>861</v>
      </c>
      <c r="M141" s="3" t="s">
        <v>126</v>
      </c>
      <c r="N141" s="3">
        <v>257.06</v>
      </c>
      <c r="O141" s="3">
        <v>3</v>
      </c>
      <c r="P141" s="3" t="s">
        <v>36</v>
      </c>
      <c r="Q141" s="3">
        <v>6</v>
      </c>
      <c r="R141" s="3">
        <v>65</v>
      </c>
      <c r="S141" s="4">
        <v>45289</v>
      </c>
      <c r="T141" s="3" t="s">
        <v>862</v>
      </c>
      <c r="U141" s="5">
        <f>Table1[[#This Row],[Delivery_Date]]-Table1[[#This Row],[Order_Date]]</f>
        <v>6</v>
      </c>
      <c r="V141" s="5">
        <f>Table1[[#This Row],[Price]]*Table1[[#This Row],[Quantity]]</f>
        <v>771.18000000000006</v>
      </c>
      <c r="W141" s="6" cm="1">
        <f t="array" ref="W141">_xlfn.IFS(
P141="FLAT8",8%,
P141="FLAT10",10%,
P141="FLAT15",15%,P141="FLAT20",20%,P141="DEL0",0%,
TRUE,0%
)</f>
        <v>0.08</v>
      </c>
      <c r="X141" s="5">
        <f>Table1[[#This Row],[Amount]]-(Table1[[#This Row],[Amount]]*Table1[[#This Row],[Discount_Percentage]])</f>
        <v>709.48560000000009</v>
      </c>
      <c r="Y141" s="5">
        <f>IF(P141="DEL0",Table1[[#This Row],[Discount_Amount]],Table1[[#This Row],[Discount_Amount]]+Table1[[#This Row],[Delivery_Charge]])</f>
        <v>774.48560000000009</v>
      </c>
      <c r="Z141" s="7" t="str">
        <f>_xlfn.CONCAT(Table1[[#This Row],[First_Name]],"  ",Table1[[#This Row],[Last_Name]])</f>
        <v>Mallory  Mitchell</v>
      </c>
      <c r="AA141" s="5" t="str" cm="1">
        <f t="array" ref="AA141">_xlfn.IFS( (S141-K141)&gt;Q141,"Late", (S141-K141)=Q141,"InTime", (S141-K141)&lt;Q141,"BeforeTime" )</f>
        <v>InTime</v>
      </c>
      <c r="AB141" s="3">
        <f>MONTH(Table1[[#This Row],[Order_Date]])</f>
        <v>12</v>
      </c>
    </row>
    <row r="142" spans="1:28" x14ac:dyDescent="0.3">
      <c r="A142" s="3" t="s">
        <v>776</v>
      </c>
      <c r="B142" s="3" t="s">
        <v>777</v>
      </c>
      <c r="C142" s="3" t="s">
        <v>778</v>
      </c>
      <c r="D142" s="3" t="str">
        <f>_xlfn.CONCAT(Table1[[#This Row],[First_Name]],Table1[[#This Row],[Last_Name]])</f>
        <v>LindseyByrd</v>
      </c>
      <c r="E142" s="3">
        <v>32</v>
      </c>
      <c r="F142" s="3" t="s">
        <v>29</v>
      </c>
      <c r="G142" s="3" t="s">
        <v>159</v>
      </c>
      <c r="H142" s="3" t="s">
        <v>779</v>
      </c>
      <c r="I142" s="3" t="s">
        <v>780</v>
      </c>
      <c r="J142" s="3" t="s">
        <v>863</v>
      </c>
      <c r="K142" s="4">
        <v>45537</v>
      </c>
      <c r="L142" s="3" t="s">
        <v>864</v>
      </c>
      <c r="M142" s="3" t="s">
        <v>738</v>
      </c>
      <c r="N142" s="3">
        <v>110.95</v>
      </c>
      <c r="O142" s="3">
        <v>4</v>
      </c>
      <c r="P142" s="3" t="s">
        <v>58</v>
      </c>
      <c r="Q142" s="3">
        <v>1</v>
      </c>
      <c r="R142" s="3">
        <v>60</v>
      </c>
      <c r="S142" s="4">
        <v>45541</v>
      </c>
      <c r="T142" s="3" t="s">
        <v>865</v>
      </c>
      <c r="U142" s="5">
        <f>Table1[[#This Row],[Delivery_Date]]-Table1[[#This Row],[Order_Date]]</f>
        <v>4</v>
      </c>
      <c r="V142" s="5">
        <f>Table1[[#This Row],[Price]]*Table1[[#This Row],[Quantity]]</f>
        <v>443.8</v>
      </c>
      <c r="W142" s="6" cm="1">
        <f t="array" ref="W142">_xlfn.IFS(
P142="FLAT8",8%,
P142="FLAT10",10%,
P142="FLAT15",15%,P142="FLAT20",20%,P142="DEL0",0%,
TRUE,0%
)</f>
        <v>0.15</v>
      </c>
      <c r="X142" s="5">
        <f>Table1[[#This Row],[Amount]]-(Table1[[#This Row],[Amount]]*Table1[[#This Row],[Discount_Percentage]])</f>
        <v>377.23</v>
      </c>
      <c r="Y142" s="5">
        <f>IF(P142="DEL0",Table1[[#This Row],[Discount_Amount]],Table1[[#This Row],[Discount_Amount]]+Table1[[#This Row],[Delivery_Charge]])</f>
        <v>437.23</v>
      </c>
      <c r="Z142" s="7" t="str">
        <f>_xlfn.CONCAT(Table1[[#This Row],[First_Name]],"  ",Table1[[#This Row],[Last_Name]])</f>
        <v>Lindsey  Byrd</v>
      </c>
      <c r="AA142" s="5" t="str" cm="1">
        <f t="array" ref="AA142">_xlfn.IFS( (S142-K142)&gt;Q142,"Late", (S142-K142)=Q142,"InTime", (S142-K142)&lt;Q142,"BeforeTime" )</f>
        <v>Late</v>
      </c>
      <c r="AB142" s="3">
        <f>MONTH(Table1[[#This Row],[Order_Date]])</f>
        <v>9</v>
      </c>
    </row>
    <row r="143" spans="1:28" x14ac:dyDescent="0.3">
      <c r="A143" s="3" t="s">
        <v>546</v>
      </c>
      <c r="B143" s="3" t="s">
        <v>547</v>
      </c>
      <c r="C143" s="3" t="s">
        <v>548</v>
      </c>
      <c r="D143" s="3" t="str">
        <f>_xlfn.CONCAT(Table1[[#This Row],[First_Name]],Table1[[#This Row],[Last_Name]])</f>
        <v>JodiWhitney</v>
      </c>
      <c r="E143" s="3">
        <v>33</v>
      </c>
      <c r="F143" s="3" t="s">
        <v>52</v>
      </c>
      <c r="G143" s="3" t="s">
        <v>168</v>
      </c>
      <c r="H143" s="3" t="s">
        <v>549</v>
      </c>
      <c r="I143" s="3" t="s">
        <v>550</v>
      </c>
      <c r="J143" s="3" t="s">
        <v>866</v>
      </c>
      <c r="K143" s="4">
        <v>45609</v>
      </c>
      <c r="L143" s="3" t="s">
        <v>867</v>
      </c>
      <c r="M143" s="3" t="s">
        <v>323</v>
      </c>
      <c r="N143" s="3">
        <v>481.48</v>
      </c>
      <c r="O143" s="3">
        <v>5</v>
      </c>
      <c r="P143" s="3" t="s">
        <v>36</v>
      </c>
      <c r="Q143" s="3">
        <v>6</v>
      </c>
      <c r="R143" s="3">
        <v>44</v>
      </c>
      <c r="S143" s="4">
        <v>45612</v>
      </c>
      <c r="T143" s="3" t="s">
        <v>868</v>
      </c>
      <c r="U143" s="5">
        <f>Table1[[#This Row],[Delivery_Date]]-Table1[[#This Row],[Order_Date]]</f>
        <v>3</v>
      </c>
      <c r="V143" s="5">
        <f>Table1[[#This Row],[Price]]*Table1[[#This Row],[Quantity]]</f>
        <v>2407.4</v>
      </c>
      <c r="W143" s="6" cm="1">
        <f t="array" ref="W143">_xlfn.IFS(
P143="FLAT8",8%,
P143="FLAT10",10%,
P143="FLAT15",15%,P143="FLAT20",20%,P143="DEL0",0%,
TRUE,0%
)</f>
        <v>0.08</v>
      </c>
      <c r="X143" s="5">
        <f>Table1[[#This Row],[Amount]]-(Table1[[#This Row],[Amount]]*Table1[[#This Row],[Discount_Percentage]])</f>
        <v>2214.808</v>
      </c>
      <c r="Y143" s="5">
        <f>IF(P143="DEL0",Table1[[#This Row],[Discount_Amount]],Table1[[#This Row],[Discount_Amount]]+Table1[[#This Row],[Delivery_Charge]])</f>
        <v>2258.808</v>
      </c>
      <c r="Z143" s="7" t="str">
        <f>_xlfn.CONCAT(Table1[[#This Row],[First_Name]],"  ",Table1[[#This Row],[Last_Name]])</f>
        <v>Jodi  Whitney</v>
      </c>
      <c r="AA143" s="5" t="str" cm="1">
        <f t="array" ref="AA143">_xlfn.IFS( (S143-K143)&gt;Q143,"Late", (S143-K143)=Q143,"InTime", (S143-K143)&lt;Q143,"BeforeTime" )</f>
        <v>BeforeTime</v>
      </c>
      <c r="AB143" s="3">
        <f>MONTH(Table1[[#This Row],[Order_Date]])</f>
        <v>11</v>
      </c>
    </row>
    <row r="144" spans="1:28" x14ac:dyDescent="0.3">
      <c r="A144" s="3" t="s">
        <v>507</v>
      </c>
      <c r="B144" s="3" t="s">
        <v>508</v>
      </c>
      <c r="C144" s="3" t="s">
        <v>509</v>
      </c>
      <c r="D144" s="3" t="str">
        <f>_xlfn.CONCAT(Table1[[#This Row],[First_Name]],Table1[[#This Row],[Last_Name]])</f>
        <v>SarahButler</v>
      </c>
      <c r="E144" s="3">
        <v>64</v>
      </c>
      <c r="F144" s="3" t="s">
        <v>29</v>
      </c>
      <c r="G144" s="3" t="s">
        <v>30</v>
      </c>
      <c r="H144" s="3" t="s">
        <v>510</v>
      </c>
      <c r="I144" s="3" t="s">
        <v>511</v>
      </c>
      <c r="J144" s="3" t="s">
        <v>869</v>
      </c>
      <c r="K144" s="4">
        <v>45576</v>
      </c>
      <c r="L144" s="3" t="s">
        <v>870</v>
      </c>
      <c r="M144" s="3" t="s">
        <v>871</v>
      </c>
      <c r="N144" s="3">
        <v>292.14999999999998</v>
      </c>
      <c r="O144" s="3">
        <v>4</v>
      </c>
      <c r="P144" s="3" t="s">
        <v>85</v>
      </c>
      <c r="Q144" s="3">
        <v>1</v>
      </c>
      <c r="R144" s="3">
        <v>58</v>
      </c>
      <c r="S144" s="4">
        <v>45577</v>
      </c>
      <c r="T144" s="3" t="s">
        <v>872</v>
      </c>
      <c r="U144" s="5">
        <f>Table1[[#This Row],[Delivery_Date]]-Table1[[#This Row],[Order_Date]]</f>
        <v>1</v>
      </c>
      <c r="V144" s="5">
        <f>Table1[[#This Row],[Price]]*Table1[[#This Row],[Quantity]]</f>
        <v>1168.5999999999999</v>
      </c>
      <c r="W144" s="6" cm="1">
        <f t="array" ref="W144">_xlfn.IFS(
P144="FLAT8",8%,
P144="FLAT10",10%,
P144="FLAT15",15%,P144="FLAT20",20%,P144="DEL0",0%,
TRUE,0%
)</f>
        <v>0.2</v>
      </c>
      <c r="X144" s="5">
        <f>Table1[[#This Row],[Amount]]-(Table1[[#This Row],[Amount]]*Table1[[#This Row],[Discount_Percentage]])</f>
        <v>934.87999999999988</v>
      </c>
      <c r="Y144" s="5">
        <f>IF(P144="DEL0",Table1[[#This Row],[Discount_Amount]],Table1[[#This Row],[Discount_Amount]]+Table1[[#This Row],[Delivery_Charge]])</f>
        <v>992.87999999999988</v>
      </c>
      <c r="Z144" s="7" t="str">
        <f>_xlfn.CONCAT(Table1[[#This Row],[First_Name]],"  ",Table1[[#This Row],[Last_Name]])</f>
        <v>Sarah  Butler</v>
      </c>
      <c r="AA144" s="5" t="str" cm="1">
        <f t="array" ref="AA144">_xlfn.IFS( (S144-K144)&gt;Q144,"Late", (S144-K144)=Q144,"InTime", (S144-K144)&lt;Q144,"BeforeTime" )</f>
        <v>InTime</v>
      </c>
      <c r="AB144" s="3">
        <f>MONTH(Table1[[#This Row],[Order_Date]])</f>
        <v>10</v>
      </c>
    </row>
    <row r="145" spans="1:28" x14ac:dyDescent="0.3">
      <c r="A145" s="3" t="s">
        <v>358</v>
      </c>
      <c r="B145" s="3" t="s">
        <v>359</v>
      </c>
      <c r="C145" s="3" t="s">
        <v>360</v>
      </c>
      <c r="D145" s="3" t="str">
        <f>_xlfn.CONCAT(Table1[[#This Row],[First_Name]],Table1[[#This Row],[Last_Name]])</f>
        <v>RobertCastillo</v>
      </c>
      <c r="E145" s="3">
        <v>32</v>
      </c>
      <c r="F145" s="3" t="s">
        <v>41</v>
      </c>
      <c r="G145" s="3" t="s">
        <v>168</v>
      </c>
      <c r="H145" s="3" t="s">
        <v>361</v>
      </c>
      <c r="I145" s="3" t="s">
        <v>362</v>
      </c>
      <c r="J145" s="3" t="s">
        <v>873</v>
      </c>
      <c r="K145" s="4">
        <v>45199</v>
      </c>
      <c r="L145" s="3" t="s">
        <v>874</v>
      </c>
      <c r="M145" s="3" t="s">
        <v>774</v>
      </c>
      <c r="N145" s="3">
        <v>20</v>
      </c>
      <c r="O145" s="3">
        <v>5</v>
      </c>
      <c r="P145" s="3" t="s">
        <v>58</v>
      </c>
      <c r="Q145" s="3">
        <v>7</v>
      </c>
      <c r="R145" s="3">
        <v>40</v>
      </c>
      <c r="S145" s="4">
        <v>45203</v>
      </c>
      <c r="T145" s="3" t="s">
        <v>875</v>
      </c>
      <c r="U145" s="5">
        <f>Table1[[#This Row],[Delivery_Date]]-Table1[[#This Row],[Order_Date]]</f>
        <v>4</v>
      </c>
      <c r="V145" s="5">
        <f>Table1[[#This Row],[Price]]*Table1[[#This Row],[Quantity]]</f>
        <v>100</v>
      </c>
      <c r="W145" s="6" cm="1">
        <f t="array" ref="W145">_xlfn.IFS(
P145="FLAT8",8%,
P145="FLAT10",10%,
P145="FLAT15",15%,P145="FLAT20",20%,P145="DEL0",0%,
TRUE,0%
)</f>
        <v>0.15</v>
      </c>
      <c r="X145" s="5">
        <f>Table1[[#This Row],[Amount]]-(Table1[[#This Row],[Amount]]*Table1[[#This Row],[Discount_Percentage]])</f>
        <v>85</v>
      </c>
      <c r="Y145" s="5">
        <f>IF(P145="DEL0",Table1[[#This Row],[Discount_Amount]],Table1[[#This Row],[Discount_Amount]]+Table1[[#This Row],[Delivery_Charge]])</f>
        <v>125</v>
      </c>
      <c r="Z145" s="7" t="str">
        <f>_xlfn.CONCAT(Table1[[#This Row],[First_Name]],"  ",Table1[[#This Row],[Last_Name]])</f>
        <v>Robert  Castillo</v>
      </c>
      <c r="AA145" s="5" t="str" cm="1">
        <f t="array" ref="AA145">_xlfn.IFS( (S145-K145)&gt;Q145,"Late", (S145-K145)=Q145,"InTime", (S145-K145)&lt;Q145,"BeforeTime" )</f>
        <v>BeforeTime</v>
      </c>
      <c r="AB145" s="3">
        <f>MONTH(Table1[[#This Row],[Order_Date]])</f>
        <v>9</v>
      </c>
    </row>
    <row r="146" spans="1:28" x14ac:dyDescent="0.3">
      <c r="A146" s="3" t="s">
        <v>358</v>
      </c>
      <c r="B146" s="3" t="s">
        <v>359</v>
      </c>
      <c r="C146" s="3" t="s">
        <v>360</v>
      </c>
      <c r="D146" s="3" t="str">
        <f>_xlfn.CONCAT(Table1[[#This Row],[First_Name]],Table1[[#This Row],[Last_Name]])</f>
        <v>RobertCastillo</v>
      </c>
      <c r="E146" s="3">
        <v>32</v>
      </c>
      <c r="F146" s="3" t="s">
        <v>41</v>
      </c>
      <c r="G146" s="3" t="s">
        <v>168</v>
      </c>
      <c r="H146" s="3" t="s">
        <v>361</v>
      </c>
      <c r="I146" s="3" t="s">
        <v>362</v>
      </c>
      <c r="J146" s="3" t="s">
        <v>876</v>
      </c>
      <c r="K146" s="4">
        <v>45677</v>
      </c>
      <c r="L146" s="3" t="s">
        <v>877</v>
      </c>
      <c r="M146" s="3" t="s">
        <v>62</v>
      </c>
      <c r="N146" s="3">
        <v>405</v>
      </c>
      <c r="O146" s="3">
        <v>2</v>
      </c>
      <c r="P146" s="3" t="s">
        <v>58</v>
      </c>
      <c r="Q146" s="3">
        <v>7</v>
      </c>
      <c r="R146" s="3">
        <v>55</v>
      </c>
      <c r="S146" s="4">
        <v>45680</v>
      </c>
      <c r="T146" s="3" t="s">
        <v>878</v>
      </c>
      <c r="U146" s="5">
        <f>Table1[[#This Row],[Delivery_Date]]-Table1[[#This Row],[Order_Date]]</f>
        <v>3</v>
      </c>
      <c r="V146" s="5">
        <f>Table1[[#This Row],[Price]]*Table1[[#This Row],[Quantity]]</f>
        <v>810</v>
      </c>
      <c r="W146" s="6" cm="1">
        <f t="array" ref="W146">_xlfn.IFS(
P146="FLAT8",8%,
P146="FLAT10",10%,
P146="FLAT15",15%,P146="FLAT20",20%,P146="DEL0",0%,
TRUE,0%
)</f>
        <v>0.15</v>
      </c>
      <c r="X146" s="5">
        <f>Table1[[#This Row],[Amount]]-(Table1[[#This Row],[Amount]]*Table1[[#This Row],[Discount_Percentage]])</f>
        <v>688.5</v>
      </c>
      <c r="Y146" s="5">
        <f>IF(P146="DEL0",Table1[[#This Row],[Discount_Amount]],Table1[[#This Row],[Discount_Amount]]+Table1[[#This Row],[Delivery_Charge]])</f>
        <v>743.5</v>
      </c>
      <c r="Z146" s="7" t="str">
        <f>_xlfn.CONCAT(Table1[[#This Row],[First_Name]],"  ",Table1[[#This Row],[Last_Name]])</f>
        <v>Robert  Castillo</v>
      </c>
      <c r="AA146" s="5" t="str" cm="1">
        <f t="array" ref="AA146">_xlfn.IFS( (S146-K146)&gt;Q146,"Late", (S146-K146)=Q146,"InTime", (S146-K146)&lt;Q146,"BeforeTime" )</f>
        <v>BeforeTime</v>
      </c>
      <c r="AB146" s="3">
        <f>MONTH(Table1[[#This Row],[Order_Date]])</f>
        <v>1</v>
      </c>
    </row>
    <row r="147" spans="1:28" x14ac:dyDescent="0.3">
      <c r="A147" s="3" t="s">
        <v>575</v>
      </c>
      <c r="B147" s="3" t="s">
        <v>256</v>
      </c>
      <c r="C147" s="3" t="s">
        <v>576</v>
      </c>
      <c r="D147" s="3" t="str">
        <f>_xlfn.CONCAT(Table1[[#This Row],[First_Name]],Table1[[#This Row],[Last_Name]])</f>
        <v>AshleyRomero</v>
      </c>
      <c r="E147" s="3">
        <v>35</v>
      </c>
      <c r="F147" s="3" t="s">
        <v>29</v>
      </c>
      <c r="G147" s="3" t="s">
        <v>30</v>
      </c>
      <c r="H147" s="3" t="s">
        <v>577</v>
      </c>
      <c r="I147" s="3" t="s">
        <v>578</v>
      </c>
      <c r="J147" s="3" t="s">
        <v>879</v>
      </c>
      <c r="K147" s="4">
        <v>45581</v>
      </c>
      <c r="L147" s="3" t="s">
        <v>880</v>
      </c>
      <c r="M147" s="3" t="s">
        <v>114</v>
      </c>
      <c r="N147" s="3">
        <v>48.45</v>
      </c>
      <c r="O147" s="3">
        <v>5</v>
      </c>
      <c r="P147" s="3" t="s">
        <v>96</v>
      </c>
      <c r="Q147" s="3">
        <v>7</v>
      </c>
      <c r="R147" s="3">
        <v>53</v>
      </c>
      <c r="S147" s="4">
        <v>45588</v>
      </c>
      <c r="T147" s="3" t="s">
        <v>881</v>
      </c>
      <c r="U147" s="5">
        <f>Table1[[#This Row],[Delivery_Date]]-Table1[[#This Row],[Order_Date]]</f>
        <v>7</v>
      </c>
      <c r="V147" s="5">
        <f>Table1[[#This Row],[Price]]*Table1[[#This Row],[Quantity]]</f>
        <v>242.25</v>
      </c>
      <c r="W147" s="6" cm="1">
        <f t="array" ref="W147">_xlfn.IFS(
P147="FLAT8",8%,
P147="FLAT10",10%,
P147="FLAT15",15%,P147="FLAT20",20%,P147="DEL0",0%,
TRUE,0%
)</f>
        <v>0.1</v>
      </c>
      <c r="X147" s="5">
        <f>Table1[[#This Row],[Amount]]-(Table1[[#This Row],[Amount]]*Table1[[#This Row],[Discount_Percentage]])</f>
        <v>218.02500000000001</v>
      </c>
      <c r="Y147" s="5">
        <f>IF(P147="DEL0",Table1[[#This Row],[Discount_Amount]],Table1[[#This Row],[Discount_Amount]]+Table1[[#This Row],[Delivery_Charge]])</f>
        <v>271.02499999999998</v>
      </c>
      <c r="Z147" s="7" t="str">
        <f>_xlfn.CONCAT(Table1[[#This Row],[First_Name]],"  ",Table1[[#This Row],[Last_Name]])</f>
        <v>Ashley  Romero</v>
      </c>
      <c r="AA147" s="5" t="str" cm="1">
        <f t="array" ref="AA147">_xlfn.IFS( (S147-K147)&gt;Q147,"Late", (S147-K147)=Q147,"InTime", (S147-K147)&lt;Q147,"BeforeTime" )</f>
        <v>InTime</v>
      </c>
      <c r="AB147" s="3">
        <f>MONTH(Table1[[#This Row],[Order_Date]])</f>
        <v>10</v>
      </c>
    </row>
    <row r="148" spans="1:28" x14ac:dyDescent="0.3">
      <c r="A148" s="3" t="s">
        <v>490</v>
      </c>
      <c r="B148" s="3" t="s">
        <v>186</v>
      </c>
      <c r="C148" s="3" t="s">
        <v>327</v>
      </c>
      <c r="D148" s="3" t="str">
        <f>_xlfn.CONCAT(Table1[[#This Row],[First_Name]],Table1[[#This Row],[Last_Name]])</f>
        <v>MitchellParker</v>
      </c>
      <c r="E148" s="3">
        <v>39</v>
      </c>
      <c r="F148" s="3" t="s">
        <v>52</v>
      </c>
      <c r="G148" s="3" t="s">
        <v>42</v>
      </c>
      <c r="H148" s="3" t="s">
        <v>491</v>
      </c>
      <c r="I148" s="3" t="s">
        <v>492</v>
      </c>
      <c r="J148" s="3" t="s">
        <v>882</v>
      </c>
      <c r="K148" s="4">
        <v>45609</v>
      </c>
      <c r="L148" s="3" t="s">
        <v>883</v>
      </c>
      <c r="M148" s="3" t="s">
        <v>57</v>
      </c>
      <c r="N148" s="3">
        <v>202.54</v>
      </c>
      <c r="O148" s="3">
        <v>1</v>
      </c>
      <c r="P148" s="3" t="s">
        <v>36</v>
      </c>
      <c r="Q148" s="3">
        <v>4</v>
      </c>
      <c r="R148" s="3">
        <v>48</v>
      </c>
      <c r="S148" s="4">
        <v>45611</v>
      </c>
      <c r="T148" s="3" t="s">
        <v>884</v>
      </c>
      <c r="U148" s="5">
        <f>Table1[[#This Row],[Delivery_Date]]-Table1[[#This Row],[Order_Date]]</f>
        <v>2</v>
      </c>
      <c r="V148" s="5">
        <f>Table1[[#This Row],[Price]]*Table1[[#This Row],[Quantity]]</f>
        <v>202.54</v>
      </c>
      <c r="W148" s="6" cm="1">
        <f t="array" ref="W148">_xlfn.IFS(
P148="FLAT8",8%,
P148="FLAT10",10%,
P148="FLAT15",15%,P148="FLAT20",20%,P148="DEL0",0%,
TRUE,0%
)</f>
        <v>0.08</v>
      </c>
      <c r="X148" s="5">
        <f>Table1[[#This Row],[Amount]]-(Table1[[#This Row],[Amount]]*Table1[[#This Row],[Discount_Percentage]])</f>
        <v>186.33679999999998</v>
      </c>
      <c r="Y148" s="5">
        <f>IF(P148="DEL0",Table1[[#This Row],[Discount_Amount]],Table1[[#This Row],[Discount_Amount]]+Table1[[#This Row],[Delivery_Charge]])</f>
        <v>234.33679999999998</v>
      </c>
      <c r="Z148" s="7" t="str">
        <f>_xlfn.CONCAT(Table1[[#This Row],[First_Name]],"  ",Table1[[#This Row],[Last_Name]])</f>
        <v>Mitchell  Parker</v>
      </c>
      <c r="AA148" s="5" t="str" cm="1">
        <f t="array" ref="AA148">_xlfn.IFS( (S148-K148)&gt;Q148,"Late", (S148-K148)=Q148,"InTime", (S148-K148)&lt;Q148,"BeforeTime" )</f>
        <v>BeforeTime</v>
      </c>
      <c r="AB148" s="3">
        <f>MONTH(Table1[[#This Row],[Order_Date]])</f>
        <v>11</v>
      </c>
    </row>
    <row r="149" spans="1:28" x14ac:dyDescent="0.3">
      <c r="A149" s="3" t="s">
        <v>767</v>
      </c>
      <c r="B149" s="3" t="s">
        <v>768</v>
      </c>
      <c r="C149" s="3" t="s">
        <v>769</v>
      </c>
      <c r="D149" s="3" t="str">
        <f>_xlfn.CONCAT(Table1[[#This Row],[First_Name]],Table1[[#This Row],[Last_Name]])</f>
        <v>KristinaHaynes</v>
      </c>
      <c r="E149" s="3">
        <v>27</v>
      </c>
      <c r="F149" s="3" t="s">
        <v>29</v>
      </c>
      <c r="G149" s="3" t="s">
        <v>42</v>
      </c>
      <c r="H149" s="3" t="s">
        <v>770</v>
      </c>
      <c r="I149" s="3" t="s">
        <v>771</v>
      </c>
      <c r="J149" s="3" t="s">
        <v>885</v>
      </c>
      <c r="K149" s="4">
        <v>44983</v>
      </c>
      <c r="L149" s="3" t="s">
        <v>886</v>
      </c>
      <c r="M149" s="3" t="s">
        <v>473</v>
      </c>
      <c r="N149" s="3">
        <v>286.07</v>
      </c>
      <c r="O149" s="3">
        <v>5</v>
      </c>
      <c r="P149" s="3" t="s">
        <v>85</v>
      </c>
      <c r="Q149" s="3">
        <v>1</v>
      </c>
      <c r="R149" s="3">
        <v>52</v>
      </c>
      <c r="S149" s="4">
        <v>44986</v>
      </c>
      <c r="T149" s="3" t="s">
        <v>887</v>
      </c>
      <c r="U149" s="5">
        <f>Table1[[#This Row],[Delivery_Date]]-Table1[[#This Row],[Order_Date]]</f>
        <v>3</v>
      </c>
      <c r="V149" s="5">
        <f>Table1[[#This Row],[Price]]*Table1[[#This Row],[Quantity]]</f>
        <v>1430.35</v>
      </c>
      <c r="W149" s="6" cm="1">
        <f t="array" ref="W149">_xlfn.IFS(
P149="FLAT8",8%,
P149="FLAT10",10%,
P149="FLAT15",15%,P149="FLAT20",20%,P149="DEL0",0%,
TRUE,0%
)</f>
        <v>0.2</v>
      </c>
      <c r="X149" s="5">
        <f>Table1[[#This Row],[Amount]]-(Table1[[#This Row],[Amount]]*Table1[[#This Row],[Discount_Percentage]])</f>
        <v>1144.28</v>
      </c>
      <c r="Y149" s="5">
        <f>IF(P149="DEL0",Table1[[#This Row],[Discount_Amount]],Table1[[#This Row],[Discount_Amount]]+Table1[[#This Row],[Delivery_Charge]])</f>
        <v>1196.28</v>
      </c>
      <c r="Z149" s="7" t="str">
        <f>_xlfn.CONCAT(Table1[[#This Row],[First_Name]],"  ",Table1[[#This Row],[Last_Name]])</f>
        <v>Kristina  Haynes</v>
      </c>
      <c r="AA149" s="5" t="str" cm="1">
        <f t="array" ref="AA149">_xlfn.IFS( (S149-K149)&gt;Q149,"Late", (S149-K149)=Q149,"InTime", (S149-K149)&lt;Q149,"BeforeTime" )</f>
        <v>Late</v>
      </c>
      <c r="AB149" s="3">
        <f>MONTH(Table1[[#This Row],[Order_Date]])</f>
        <v>2</v>
      </c>
    </row>
    <row r="150" spans="1:28" x14ac:dyDescent="0.3">
      <c r="A150" s="3" t="s">
        <v>466</v>
      </c>
      <c r="B150" s="3" t="s">
        <v>467</v>
      </c>
      <c r="C150" s="3" t="s">
        <v>468</v>
      </c>
      <c r="D150" s="3" t="str">
        <f>_xlfn.CONCAT(Table1[[#This Row],[First_Name]],Table1[[#This Row],[Last_Name]])</f>
        <v>LoriCook</v>
      </c>
      <c r="E150" s="3">
        <v>18</v>
      </c>
      <c r="F150" s="3" t="s">
        <v>41</v>
      </c>
      <c r="G150" s="3" t="s">
        <v>42</v>
      </c>
      <c r="H150" s="3" t="s">
        <v>469</v>
      </c>
      <c r="I150" s="3" t="s">
        <v>470</v>
      </c>
      <c r="J150" s="3" t="s">
        <v>888</v>
      </c>
      <c r="K150" s="4">
        <v>45378</v>
      </c>
      <c r="L150" s="3" t="s">
        <v>889</v>
      </c>
      <c r="M150" s="3" t="s">
        <v>57</v>
      </c>
      <c r="N150" s="3">
        <v>202.54</v>
      </c>
      <c r="O150" s="3">
        <v>4</v>
      </c>
      <c r="P150" s="3" t="s">
        <v>96</v>
      </c>
      <c r="Q150" s="3">
        <v>1</v>
      </c>
      <c r="R150" s="3">
        <v>36</v>
      </c>
      <c r="S150" s="4">
        <v>45380</v>
      </c>
      <c r="T150" s="3" t="s">
        <v>890</v>
      </c>
      <c r="U150" s="5">
        <f>Table1[[#This Row],[Delivery_Date]]-Table1[[#This Row],[Order_Date]]</f>
        <v>2</v>
      </c>
      <c r="V150" s="5">
        <f>Table1[[#This Row],[Price]]*Table1[[#This Row],[Quantity]]</f>
        <v>810.16</v>
      </c>
      <c r="W150" s="6" cm="1">
        <f t="array" ref="W150">_xlfn.IFS(
P150="FLAT8",8%,
P150="FLAT10",10%,
P150="FLAT15",15%,P150="FLAT20",20%,P150="DEL0",0%,
TRUE,0%
)</f>
        <v>0.1</v>
      </c>
      <c r="X150" s="5">
        <f>Table1[[#This Row],[Amount]]-(Table1[[#This Row],[Amount]]*Table1[[#This Row],[Discount_Percentage]])</f>
        <v>729.14400000000001</v>
      </c>
      <c r="Y150" s="5">
        <f>IF(P150="DEL0",Table1[[#This Row],[Discount_Amount]],Table1[[#This Row],[Discount_Amount]]+Table1[[#This Row],[Delivery_Charge]])</f>
        <v>765.14400000000001</v>
      </c>
      <c r="Z150" s="7" t="str">
        <f>_xlfn.CONCAT(Table1[[#This Row],[First_Name]],"  ",Table1[[#This Row],[Last_Name]])</f>
        <v>Lori  Cook</v>
      </c>
      <c r="AA150" s="5" t="str" cm="1">
        <f t="array" ref="AA150">_xlfn.IFS( (S150-K150)&gt;Q150,"Late", (S150-K150)=Q150,"InTime", (S150-K150)&lt;Q150,"BeforeTime" )</f>
        <v>Late</v>
      </c>
      <c r="AB150" s="3">
        <f>MONTH(Table1[[#This Row],[Order_Date]])</f>
        <v>3</v>
      </c>
    </row>
    <row r="151" spans="1:28" x14ac:dyDescent="0.3">
      <c r="A151" s="3" t="s">
        <v>280</v>
      </c>
      <c r="B151" s="3" t="s">
        <v>281</v>
      </c>
      <c r="C151" s="3" t="s">
        <v>282</v>
      </c>
      <c r="D151" s="3" t="str">
        <f>_xlfn.CONCAT(Table1[[#This Row],[First_Name]],Table1[[#This Row],[Last_Name]])</f>
        <v>TeresaHarvey</v>
      </c>
      <c r="E151" s="3">
        <v>64</v>
      </c>
      <c r="F151" s="3" t="s">
        <v>52</v>
      </c>
      <c r="G151" s="3" t="s">
        <v>30</v>
      </c>
      <c r="H151" s="3" t="s">
        <v>283</v>
      </c>
      <c r="I151" s="3" t="s">
        <v>284</v>
      </c>
      <c r="J151" s="3" t="s">
        <v>891</v>
      </c>
      <c r="K151" s="4">
        <v>44989</v>
      </c>
      <c r="L151" s="3" t="s">
        <v>892</v>
      </c>
      <c r="M151" s="3" t="s">
        <v>418</v>
      </c>
      <c r="N151" s="3">
        <v>44.5</v>
      </c>
      <c r="O151" s="3">
        <v>3</v>
      </c>
      <c r="P151" s="3" t="s">
        <v>36</v>
      </c>
      <c r="Q151" s="3">
        <v>6</v>
      </c>
      <c r="R151" s="3">
        <v>46</v>
      </c>
      <c r="S151" s="4">
        <v>44991</v>
      </c>
      <c r="T151" s="3" t="s">
        <v>893</v>
      </c>
      <c r="U151" s="5">
        <f>Table1[[#This Row],[Delivery_Date]]-Table1[[#This Row],[Order_Date]]</f>
        <v>2</v>
      </c>
      <c r="V151" s="5">
        <f>Table1[[#This Row],[Price]]*Table1[[#This Row],[Quantity]]</f>
        <v>133.5</v>
      </c>
      <c r="W151" s="6" cm="1">
        <f t="array" ref="W151">_xlfn.IFS(
P151="FLAT8",8%,
P151="FLAT10",10%,
P151="FLAT15",15%,P151="FLAT20",20%,P151="DEL0",0%,
TRUE,0%
)</f>
        <v>0.08</v>
      </c>
      <c r="X151" s="5">
        <f>Table1[[#This Row],[Amount]]-(Table1[[#This Row],[Amount]]*Table1[[#This Row],[Discount_Percentage]])</f>
        <v>122.82</v>
      </c>
      <c r="Y151" s="5">
        <f>IF(P151="DEL0",Table1[[#This Row],[Discount_Amount]],Table1[[#This Row],[Discount_Amount]]+Table1[[#This Row],[Delivery_Charge]])</f>
        <v>168.82</v>
      </c>
      <c r="Z151" s="7" t="str">
        <f>_xlfn.CONCAT(Table1[[#This Row],[First_Name]],"  ",Table1[[#This Row],[Last_Name]])</f>
        <v>Teresa  Harvey</v>
      </c>
      <c r="AA151" s="5" t="str" cm="1">
        <f t="array" ref="AA151">_xlfn.IFS( (S151-K151)&gt;Q151,"Late", (S151-K151)=Q151,"InTime", (S151-K151)&lt;Q151,"BeforeTime" )</f>
        <v>BeforeTime</v>
      </c>
      <c r="AB151" s="3">
        <f>MONTH(Table1[[#This Row],[Order_Date]])</f>
        <v>3</v>
      </c>
    </row>
    <row r="152" spans="1:28" x14ac:dyDescent="0.3">
      <c r="A152" s="3" t="s">
        <v>894</v>
      </c>
      <c r="B152" s="3" t="s">
        <v>148</v>
      </c>
      <c r="C152" s="3" t="s">
        <v>895</v>
      </c>
      <c r="D152" s="3" t="str">
        <f>_xlfn.CONCAT(Table1[[#This Row],[First_Name]],Table1[[#This Row],[Last_Name]])</f>
        <v>AmyGriffin</v>
      </c>
      <c r="E152" s="3">
        <v>29</v>
      </c>
      <c r="F152" s="3" t="s">
        <v>29</v>
      </c>
      <c r="G152" s="3" t="s">
        <v>42</v>
      </c>
      <c r="H152" s="3" t="s">
        <v>896</v>
      </c>
      <c r="I152" s="3" t="s">
        <v>897</v>
      </c>
      <c r="J152" s="3" t="s">
        <v>898</v>
      </c>
      <c r="K152" s="4">
        <v>45251</v>
      </c>
      <c r="L152" s="3" t="s">
        <v>899</v>
      </c>
      <c r="M152" s="3" t="s">
        <v>323</v>
      </c>
      <c r="N152" s="3">
        <v>481.48</v>
      </c>
      <c r="O152" s="3">
        <v>4</v>
      </c>
      <c r="P152" s="3" t="s">
        <v>63</v>
      </c>
      <c r="Q152" s="3">
        <v>3</v>
      </c>
      <c r="R152" s="3">
        <v>54</v>
      </c>
      <c r="S152" s="4">
        <v>45256</v>
      </c>
      <c r="T152" s="3" t="s">
        <v>900</v>
      </c>
      <c r="U152" s="5">
        <f>Table1[[#This Row],[Delivery_Date]]-Table1[[#This Row],[Order_Date]]</f>
        <v>5</v>
      </c>
      <c r="V152" s="5">
        <f>Table1[[#This Row],[Price]]*Table1[[#This Row],[Quantity]]</f>
        <v>1925.92</v>
      </c>
      <c r="W152" s="6" cm="1">
        <f t="array" ref="W152">_xlfn.IFS(
P152="FLAT8",8%,
P152="FLAT10",10%,
P152="FLAT15",15%,P152="FLAT20",20%,P152="DEL0",0%,
TRUE,0%
)</f>
        <v>0</v>
      </c>
      <c r="X152" s="5">
        <f>Table1[[#This Row],[Amount]]-(Table1[[#This Row],[Amount]]*Table1[[#This Row],[Discount_Percentage]])</f>
        <v>1925.92</v>
      </c>
      <c r="Y152" s="5">
        <f>IF(P152="DEL0",Table1[[#This Row],[Discount_Amount]],Table1[[#This Row],[Discount_Amount]]+Table1[[#This Row],[Delivery_Charge]])</f>
        <v>1925.92</v>
      </c>
      <c r="Z152" s="7" t="str">
        <f>_xlfn.CONCAT(Table1[[#This Row],[First_Name]],"  ",Table1[[#This Row],[Last_Name]])</f>
        <v>Amy  Griffin</v>
      </c>
      <c r="AA152" s="5" t="str" cm="1">
        <f t="array" ref="AA152">_xlfn.IFS( (S152-K152)&gt;Q152,"Late", (S152-K152)=Q152,"InTime", (S152-K152)&lt;Q152,"BeforeTime" )</f>
        <v>Late</v>
      </c>
      <c r="AB152" s="3">
        <f>MONTH(Table1[[#This Row],[Order_Date]])</f>
        <v>11</v>
      </c>
    </row>
    <row r="153" spans="1:28" x14ac:dyDescent="0.3">
      <c r="A153" s="3" t="s">
        <v>546</v>
      </c>
      <c r="B153" s="3" t="s">
        <v>547</v>
      </c>
      <c r="C153" s="3" t="s">
        <v>548</v>
      </c>
      <c r="D153" s="3" t="str">
        <f>_xlfn.CONCAT(Table1[[#This Row],[First_Name]],Table1[[#This Row],[Last_Name]])</f>
        <v>JodiWhitney</v>
      </c>
      <c r="E153" s="3">
        <v>33</v>
      </c>
      <c r="F153" s="3" t="s">
        <v>52</v>
      </c>
      <c r="G153" s="3" t="s">
        <v>168</v>
      </c>
      <c r="H153" s="3" t="s">
        <v>549</v>
      </c>
      <c r="I153" s="3" t="s">
        <v>550</v>
      </c>
      <c r="J153" s="3" t="s">
        <v>901</v>
      </c>
      <c r="K153" s="4">
        <v>45200</v>
      </c>
      <c r="L153" s="3" t="s">
        <v>902</v>
      </c>
      <c r="M153" s="3" t="s">
        <v>340</v>
      </c>
      <c r="N153" s="3">
        <v>77.84</v>
      </c>
      <c r="O153" s="3">
        <v>5</v>
      </c>
      <c r="P153" s="3" t="s">
        <v>96</v>
      </c>
      <c r="Q153" s="3">
        <v>1</v>
      </c>
      <c r="R153" s="3">
        <v>41</v>
      </c>
      <c r="S153" s="4">
        <v>45206</v>
      </c>
      <c r="T153" s="3" t="s">
        <v>903</v>
      </c>
      <c r="U153" s="5">
        <f>Table1[[#This Row],[Delivery_Date]]-Table1[[#This Row],[Order_Date]]</f>
        <v>6</v>
      </c>
      <c r="V153" s="5">
        <f>Table1[[#This Row],[Price]]*Table1[[#This Row],[Quantity]]</f>
        <v>389.20000000000005</v>
      </c>
      <c r="W153" s="6" cm="1">
        <f t="array" ref="W153">_xlfn.IFS(
P153="FLAT8",8%,
P153="FLAT10",10%,
P153="FLAT15",15%,P153="FLAT20",20%,P153="DEL0",0%,
TRUE,0%
)</f>
        <v>0.1</v>
      </c>
      <c r="X153" s="5">
        <f>Table1[[#This Row],[Amount]]-(Table1[[#This Row],[Amount]]*Table1[[#This Row],[Discount_Percentage]])</f>
        <v>350.28000000000003</v>
      </c>
      <c r="Y153" s="5">
        <f>IF(P153="DEL0",Table1[[#This Row],[Discount_Amount]],Table1[[#This Row],[Discount_Amount]]+Table1[[#This Row],[Delivery_Charge]])</f>
        <v>391.28000000000003</v>
      </c>
      <c r="Z153" s="7" t="str">
        <f>_xlfn.CONCAT(Table1[[#This Row],[First_Name]],"  ",Table1[[#This Row],[Last_Name]])</f>
        <v>Jodi  Whitney</v>
      </c>
      <c r="AA153" s="5" t="str" cm="1">
        <f t="array" ref="AA153">_xlfn.IFS( (S153-K153)&gt;Q153,"Late", (S153-K153)=Q153,"InTime", (S153-K153)&lt;Q153,"BeforeTime" )</f>
        <v>Late</v>
      </c>
      <c r="AB153" s="3">
        <f>MONTH(Table1[[#This Row],[Order_Date]])</f>
        <v>10</v>
      </c>
    </row>
    <row r="154" spans="1:28" x14ac:dyDescent="0.3">
      <c r="A154" s="3" t="s">
        <v>475</v>
      </c>
      <c r="B154" s="3" t="s">
        <v>108</v>
      </c>
      <c r="C154" s="3" t="s">
        <v>476</v>
      </c>
      <c r="D154" s="3" t="str">
        <f>_xlfn.CONCAT(Table1[[#This Row],[First_Name]],Table1[[#This Row],[Last_Name]])</f>
        <v>DebraHayes</v>
      </c>
      <c r="E154" s="3">
        <v>33</v>
      </c>
      <c r="F154" s="3" t="s">
        <v>29</v>
      </c>
      <c r="G154" s="3" t="s">
        <v>168</v>
      </c>
      <c r="H154" s="3" t="s">
        <v>477</v>
      </c>
      <c r="I154" s="3" t="s">
        <v>478</v>
      </c>
      <c r="J154" s="3" t="s">
        <v>904</v>
      </c>
      <c r="K154" s="4">
        <v>45330</v>
      </c>
      <c r="L154" s="3" t="s">
        <v>905</v>
      </c>
      <c r="M154" s="3" t="s">
        <v>356</v>
      </c>
      <c r="N154" s="3">
        <v>496.59</v>
      </c>
      <c r="O154" s="3">
        <v>2</v>
      </c>
      <c r="P154" s="3" t="s">
        <v>96</v>
      </c>
      <c r="Q154" s="3">
        <v>5</v>
      </c>
      <c r="R154" s="3">
        <v>40</v>
      </c>
      <c r="S154" s="4">
        <v>45331</v>
      </c>
      <c r="T154" s="3" t="s">
        <v>906</v>
      </c>
      <c r="U154" s="5">
        <f>Table1[[#This Row],[Delivery_Date]]-Table1[[#This Row],[Order_Date]]</f>
        <v>1</v>
      </c>
      <c r="V154" s="5">
        <f>Table1[[#This Row],[Price]]*Table1[[#This Row],[Quantity]]</f>
        <v>993.18</v>
      </c>
      <c r="W154" s="6" cm="1">
        <f t="array" ref="W154">_xlfn.IFS(
P154="FLAT8",8%,
P154="FLAT10",10%,
P154="FLAT15",15%,P154="FLAT20",20%,P154="DEL0",0%,
TRUE,0%
)</f>
        <v>0.1</v>
      </c>
      <c r="X154" s="5">
        <f>Table1[[#This Row],[Amount]]-(Table1[[#This Row],[Amount]]*Table1[[#This Row],[Discount_Percentage]])</f>
        <v>893.86199999999997</v>
      </c>
      <c r="Y154" s="5">
        <f>IF(P154="DEL0",Table1[[#This Row],[Discount_Amount]],Table1[[#This Row],[Discount_Amount]]+Table1[[#This Row],[Delivery_Charge]])</f>
        <v>933.86199999999997</v>
      </c>
      <c r="Z154" s="7" t="str">
        <f>_xlfn.CONCAT(Table1[[#This Row],[First_Name]],"  ",Table1[[#This Row],[Last_Name]])</f>
        <v>Debra  Hayes</v>
      </c>
      <c r="AA154" s="5" t="str" cm="1">
        <f t="array" ref="AA154">_xlfn.IFS( (S154-K154)&gt;Q154,"Late", (S154-K154)=Q154,"InTime", (S154-K154)&lt;Q154,"BeforeTime" )</f>
        <v>BeforeTime</v>
      </c>
      <c r="AB154" s="3">
        <f>MONTH(Table1[[#This Row],[Order_Date]])</f>
        <v>2</v>
      </c>
    </row>
    <row r="155" spans="1:28" x14ac:dyDescent="0.3">
      <c r="A155" s="3" t="s">
        <v>280</v>
      </c>
      <c r="B155" s="3" t="s">
        <v>281</v>
      </c>
      <c r="C155" s="3" t="s">
        <v>282</v>
      </c>
      <c r="D155" s="3" t="str">
        <f>_xlfn.CONCAT(Table1[[#This Row],[First_Name]],Table1[[#This Row],[Last_Name]])</f>
        <v>TeresaHarvey</v>
      </c>
      <c r="E155" s="3">
        <v>64</v>
      </c>
      <c r="F155" s="3" t="s">
        <v>52</v>
      </c>
      <c r="G155" s="3" t="s">
        <v>30</v>
      </c>
      <c r="H155" s="3" t="s">
        <v>283</v>
      </c>
      <c r="I155" s="3" t="s">
        <v>284</v>
      </c>
      <c r="J155" s="3" t="s">
        <v>907</v>
      </c>
      <c r="K155" s="4">
        <v>45129</v>
      </c>
      <c r="L155" s="3" t="s">
        <v>908</v>
      </c>
      <c r="M155" s="3" t="s">
        <v>154</v>
      </c>
      <c r="N155" s="3">
        <v>220.27</v>
      </c>
      <c r="O155" s="3">
        <v>3</v>
      </c>
      <c r="P155" s="3" t="s">
        <v>36</v>
      </c>
      <c r="Q155" s="3">
        <v>6</v>
      </c>
      <c r="R155" s="3">
        <v>48</v>
      </c>
      <c r="S155" s="4">
        <v>45132</v>
      </c>
      <c r="T155" s="3" t="s">
        <v>909</v>
      </c>
      <c r="U155" s="5">
        <f>Table1[[#This Row],[Delivery_Date]]-Table1[[#This Row],[Order_Date]]</f>
        <v>3</v>
      </c>
      <c r="V155" s="5">
        <f>Table1[[#This Row],[Price]]*Table1[[#This Row],[Quantity]]</f>
        <v>660.81000000000006</v>
      </c>
      <c r="W155" s="6" cm="1">
        <f t="array" ref="W155">_xlfn.IFS(
P155="FLAT8",8%,
P155="FLAT10",10%,
P155="FLAT15",15%,P155="FLAT20",20%,P155="DEL0",0%,
TRUE,0%
)</f>
        <v>0.08</v>
      </c>
      <c r="X155" s="5">
        <f>Table1[[#This Row],[Amount]]-(Table1[[#This Row],[Amount]]*Table1[[#This Row],[Discount_Percentage]])</f>
        <v>607.94520000000011</v>
      </c>
      <c r="Y155" s="5">
        <f>IF(P155="DEL0",Table1[[#This Row],[Discount_Amount]],Table1[[#This Row],[Discount_Amount]]+Table1[[#This Row],[Delivery_Charge]])</f>
        <v>655.94520000000011</v>
      </c>
      <c r="Z155" s="7" t="str">
        <f>_xlfn.CONCAT(Table1[[#This Row],[First_Name]],"  ",Table1[[#This Row],[Last_Name]])</f>
        <v>Teresa  Harvey</v>
      </c>
      <c r="AA155" s="5" t="str" cm="1">
        <f t="array" ref="AA155">_xlfn.IFS( (S155-K155)&gt;Q155,"Late", (S155-K155)=Q155,"InTime", (S155-K155)&lt;Q155,"BeforeTime" )</f>
        <v>BeforeTime</v>
      </c>
      <c r="AB155" s="3">
        <f>MONTH(Table1[[#This Row],[Order_Date]])</f>
        <v>7</v>
      </c>
    </row>
    <row r="156" spans="1:28" x14ac:dyDescent="0.3">
      <c r="A156" s="3" t="s">
        <v>272</v>
      </c>
      <c r="B156" s="3" t="s">
        <v>273</v>
      </c>
      <c r="C156" s="3" t="s">
        <v>274</v>
      </c>
      <c r="D156" s="3" t="str">
        <f>_xlfn.CONCAT(Table1[[#This Row],[First_Name]],Table1[[#This Row],[Last_Name]])</f>
        <v>LaurenLong</v>
      </c>
      <c r="E156" s="3">
        <v>44</v>
      </c>
      <c r="F156" s="3" t="s">
        <v>29</v>
      </c>
      <c r="G156" s="3" t="s">
        <v>220</v>
      </c>
      <c r="H156" s="3" t="s">
        <v>275</v>
      </c>
      <c r="I156" s="3" t="s">
        <v>276</v>
      </c>
      <c r="J156" s="3" t="s">
        <v>910</v>
      </c>
      <c r="K156" s="4">
        <v>45584</v>
      </c>
      <c r="L156" s="3" t="s">
        <v>911</v>
      </c>
      <c r="M156" s="3" t="s">
        <v>308</v>
      </c>
      <c r="N156" s="3">
        <v>129.75</v>
      </c>
      <c r="O156" s="3">
        <v>1</v>
      </c>
      <c r="P156" s="3" t="s">
        <v>63</v>
      </c>
      <c r="Q156" s="3">
        <v>7</v>
      </c>
      <c r="R156" s="3">
        <v>44</v>
      </c>
      <c r="S156" s="4">
        <v>45591</v>
      </c>
      <c r="T156" s="3" t="s">
        <v>912</v>
      </c>
      <c r="U156" s="5">
        <f>Table1[[#This Row],[Delivery_Date]]-Table1[[#This Row],[Order_Date]]</f>
        <v>7</v>
      </c>
      <c r="V156" s="5">
        <f>Table1[[#This Row],[Price]]*Table1[[#This Row],[Quantity]]</f>
        <v>129.75</v>
      </c>
      <c r="W156" s="6" cm="1">
        <f t="array" ref="W156">_xlfn.IFS(
P156="FLAT8",8%,
P156="FLAT10",10%,
P156="FLAT15",15%,P156="FLAT20",20%,P156="DEL0",0%,
TRUE,0%
)</f>
        <v>0</v>
      </c>
      <c r="X156" s="5">
        <f>Table1[[#This Row],[Amount]]-(Table1[[#This Row],[Amount]]*Table1[[#This Row],[Discount_Percentage]])</f>
        <v>129.75</v>
      </c>
      <c r="Y156" s="5">
        <f>IF(P156="DEL0",Table1[[#This Row],[Discount_Amount]],Table1[[#This Row],[Discount_Amount]]+Table1[[#This Row],[Delivery_Charge]])</f>
        <v>129.75</v>
      </c>
      <c r="Z156" s="7" t="str">
        <f>_xlfn.CONCAT(Table1[[#This Row],[First_Name]],"  ",Table1[[#This Row],[Last_Name]])</f>
        <v>Lauren  Long</v>
      </c>
      <c r="AA156" s="5" t="str" cm="1">
        <f t="array" ref="AA156">_xlfn.IFS( (S156-K156)&gt;Q156,"Late", (S156-K156)=Q156,"InTime", (S156-K156)&lt;Q156,"BeforeTime" )</f>
        <v>InTime</v>
      </c>
      <c r="AB156" s="3">
        <f>MONTH(Table1[[#This Row],[Order_Date]])</f>
        <v>10</v>
      </c>
    </row>
    <row r="157" spans="1:28" x14ac:dyDescent="0.3">
      <c r="A157" s="3" t="s">
        <v>750</v>
      </c>
      <c r="B157" s="3" t="s">
        <v>751</v>
      </c>
      <c r="C157" s="3" t="s">
        <v>752</v>
      </c>
      <c r="D157" s="3" t="str">
        <f>_xlfn.CONCAT(Table1[[#This Row],[First_Name]],Table1[[#This Row],[Last_Name]])</f>
        <v>BarbaraFuller</v>
      </c>
      <c r="E157" s="3">
        <v>43</v>
      </c>
      <c r="F157" s="3" t="s">
        <v>52</v>
      </c>
      <c r="G157" s="3" t="s">
        <v>159</v>
      </c>
      <c r="H157" s="3" t="s">
        <v>753</v>
      </c>
      <c r="I157" s="3" t="s">
        <v>754</v>
      </c>
      <c r="J157" s="3" t="s">
        <v>913</v>
      </c>
      <c r="K157" s="4">
        <v>45291</v>
      </c>
      <c r="L157" s="3" t="s">
        <v>914</v>
      </c>
      <c r="M157" s="3" t="s">
        <v>514</v>
      </c>
      <c r="N157" s="3">
        <v>136.30000000000001</v>
      </c>
      <c r="O157" s="3">
        <v>1</v>
      </c>
      <c r="P157" s="3" t="s">
        <v>58</v>
      </c>
      <c r="Q157" s="3">
        <v>1</v>
      </c>
      <c r="R157" s="3">
        <v>64</v>
      </c>
      <c r="S157" s="4">
        <v>45296</v>
      </c>
      <c r="T157" s="3" t="s">
        <v>915</v>
      </c>
      <c r="U157" s="5">
        <f>Table1[[#This Row],[Delivery_Date]]-Table1[[#This Row],[Order_Date]]</f>
        <v>5</v>
      </c>
      <c r="V157" s="5">
        <f>Table1[[#This Row],[Price]]*Table1[[#This Row],[Quantity]]</f>
        <v>136.30000000000001</v>
      </c>
      <c r="W157" s="6" cm="1">
        <f t="array" ref="W157">_xlfn.IFS(
P157="FLAT8",8%,
P157="FLAT10",10%,
P157="FLAT15",15%,P157="FLAT20",20%,P157="DEL0",0%,
TRUE,0%
)</f>
        <v>0.15</v>
      </c>
      <c r="X157" s="5">
        <f>Table1[[#This Row],[Amount]]-(Table1[[#This Row],[Amount]]*Table1[[#This Row],[Discount_Percentage]])</f>
        <v>115.85500000000002</v>
      </c>
      <c r="Y157" s="5">
        <f>IF(P157="DEL0",Table1[[#This Row],[Discount_Amount]],Table1[[#This Row],[Discount_Amount]]+Table1[[#This Row],[Delivery_Charge]])</f>
        <v>179.85500000000002</v>
      </c>
      <c r="Z157" s="7" t="str">
        <f>_xlfn.CONCAT(Table1[[#This Row],[First_Name]],"  ",Table1[[#This Row],[Last_Name]])</f>
        <v>Barbara  Fuller</v>
      </c>
      <c r="AA157" s="5" t="str" cm="1">
        <f t="array" ref="AA157">_xlfn.IFS( (S157-K157)&gt;Q157,"Late", (S157-K157)=Q157,"InTime", (S157-K157)&lt;Q157,"BeforeTime" )</f>
        <v>Late</v>
      </c>
      <c r="AB157" s="3">
        <f>MONTH(Table1[[#This Row],[Order_Date]])</f>
        <v>12</v>
      </c>
    </row>
    <row r="158" spans="1:28" x14ac:dyDescent="0.3">
      <c r="A158" s="3" t="s">
        <v>435</v>
      </c>
      <c r="B158" s="3" t="s">
        <v>436</v>
      </c>
      <c r="C158" s="3" t="s">
        <v>437</v>
      </c>
      <c r="D158" s="3" t="str">
        <f>_xlfn.CONCAT(Table1[[#This Row],[First_Name]],Table1[[#This Row],[Last_Name]])</f>
        <v>MaryKnight</v>
      </c>
      <c r="E158" s="3">
        <v>28</v>
      </c>
      <c r="F158" s="3" t="s">
        <v>52</v>
      </c>
      <c r="G158" s="3" t="s">
        <v>76</v>
      </c>
      <c r="H158" s="3" t="s">
        <v>438</v>
      </c>
      <c r="I158" s="3" t="s">
        <v>439</v>
      </c>
      <c r="J158" s="3" t="s">
        <v>916</v>
      </c>
      <c r="K158" s="4">
        <v>45482</v>
      </c>
      <c r="L158" s="3" t="s">
        <v>917</v>
      </c>
      <c r="M158" s="3" t="s">
        <v>473</v>
      </c>
      <c r="N158" s="3">
        <v>286.07</v>
      </c>
      <c r="O158" s="3">
        <v>2</v>
      </c>
      <c r="P158" s="3" t="s">
        <v>36</v>
      </c>
      <c r="Q158" s="3">
        <v>3</v>
      </c>
      <c r="R158" s="3">
        <v>54</v>
      </c>
      <c r="S158" s="4">
        <v>45485</v>
      </c>
      <c r="T158" s="3" t="s">
        <v>918</v>
      </c>
      <c r="U158" s="5">
        <f>Table1[[#This Row],[Delivery_Date]]-Table1[[#This Row],[Order_Date]]</f>
        <v>3</v>
      </c>
      <c r="V158" s="5">
        <f>Table1[[#This Row],[Price]]*Table1[[#This Row],[Quantity]]</f>
        <v>572.14</v>
      </c>
      <c r="W158" s="6" cm="1">
        <f t="array" ref="W158">_xlfn.IFS(
P158="FLAT8",8%,
P158="FLAT10",10%,
P158="FLAT15",15%,P158="FLAT20",20%,P158="DEL0",0%,
TRUE,0%
)</f>
        <v>0.08</v>
      </c>
      <c r="X158" s="5">
        <f>Table1[[#This Row],[Amount]]-(Table1[[#This Row],[Amount]]*Table1[[#This Row],[Discount_Percentage]])</f>
        <v>526.36879999999996</v>
      </c>
      <c r="Y158" s="5">
        <f>IF(P158="DEL0",Table1[[#This Row],[Discount_Amount]],Table1[[#This Row],[Discount_Amount]]+Table1[[#This Row],[Delivery_Charge]])</f>
        <v>580.36879999999996</v>
      </c>
      <c r="Z158" s="7" t="str">
        <f>_xlfn.CONCAT(Table1[[#This Row],[First_Name]],"  ",Table1[[#This Row],[Last_Name]])</f>
        <v>Mary  Knight</v>
      </c>
      <c r="AA158" s="5" t="str" cm="1">
        <f t="array" ref="AA158">_xlfn.IFS( (S158-K158)&gt;Q158,"Late", (S158-K158)=Q158,"InTime", (S158-K158)&lt;Q158,"BeforeTime" )</f>
        <v>InTime</v>
      </c>
      <c r="AB158" s="3">
        <f>MONTH(Table1[[#This Row],[Order_Date]])</f>
        <v>7</v>
      </c>
    </row>
    <row r="159" spans="1:28" x14ac:dyDescent="0.3">
      <c r="A159" s="3" t="s">
        <v>507</v>
      </c>
      <c r="B159" s="3" t="s">
        <v>508</v>
      </c>
      <c r="C159" s="3" t="s">
        <v>509</v>
      </c>
      <c r="D159" s="3" t="str">
        <f>_xlfn.CONCAT(Table1[[#This Row],[First_Name]],Table1[[#This Row],[Last_Name]])</f>
        <v>SarahButler</v>
      </c>
      <c r="E159" s="3">
        <v>64</v>
      </c>
      <c r="F159" s="3" t="s">
        <v>29</v>
      </c>
      <c r="G159" s="3" t="s">
        <v>30</v>
      </c>
      <c r="H159" s="3" t="s">
        <v>510</v>
      </c>
      <c r="I159" s="3" t="s">
        <v>511</v>
      </c>
      <c r="J159" s="3" t="s">
        <v>919</v>
      </c>
      <c r="K159" s="4">
        <v>45089</v>
      </c>
      <c r="L159" s="3" t="s">
        <v>920</v>
      </c>
      <c r="M159" s="3" t="s">
        <v>95</v>
      </c>
      <c r="N159" s="3">
        <v>363.64</v>
      </c>
      <c r="O159" s="3">
        <v>2</v>
      </c>
      <c r="P159" s="3" t="s">
        <v>63</v>
      </c>
      <c r="Q159" s="3">
        <v>4</v>
      </c>
      <c r="R159" s="3">
        <v>40</v>
      </c>
      <c r="S159" s="4">
        <v>45091</v>
      </c>
      <c r="T159" s="3" t="s">
        <v>921</v>
      </c>
      <c r="U159" s="5">
        <f>Table1[[#This Row],[Delivery_Date]]-Table1[[#This Row],[Order_Date]]</f>
        <v>2</v>
      </c>
      <c r="V159" s="5">
        <f>Table1[[#This Row],[Price]]*Table1[[#This Row],[Quantity]]</f>
        <v>727.28</v>
      </c>
      <c r="W159" s="6" cm="1">
        <f t="array" ref="W159">_xlfn.IFS(
P159="FLAT8",8%,
P159="FLAT10",10%,
P159="FLAT15",15%,P159="FLAT20",20%,P159="DEL0",0%,
TRUE,0%
)</f>
        <v>0</v>
      </c>
      <c r="X159" s="5">
        <f>Table1[[#This Row],[Amount]]-(Table1[[#This Row],[Amount]]*Table1[[#This Row],[Discount_Percentage]])</f>
        <v>727.28</v>
      </c>
      <c r="Y159" s="5">
        <f>IF(P159="DEL0",Table1[[#This Row],[Discount_Amount]],Table1[[#This Row],[Discount_Amount]]+Table1[[#This Row],[Delivery_Charge]])</f>
        <v>727.28</v>
      </c>
      <c r="Z159" s="7" t="str">
        <f>_xlfn.CONCAT(Table1[[#This Row],[First_Name]],"  ",Table1[[#This Row],[Last_Name]])</f>
        <v>Sarah  Butler</v>
      </c>
      <c r="AA159" s="5" t="str" cm="1">
        <f t="array" ref="AA159">_xlfn.IFS( (S159-K159)&gt;Q159,"Late", (S159-K159)=Q159,"InTime", (S159-K159)&lt;Q159,"BeforeTime" )</f>
        <v>BeforeTime</v>
      </c>
      <c r="AB159" s="3">
        <f>MONTH(Table1[[#This Row],[Order_Date]])</f>
        <v>6</v>
      </c>
    </row>
    <row r="160" spans="1:28" x14ac:dyDescent="0.3">
      <c r="A160" s="3" t="s">
        <v>435</v>
      </c>
      <c r="B160" s="3" t="s">
        <v>436</v>
      </c>
      <c r="C160" s="3" t="s">
        <v>437</v>
      </c>
      <c r="D160" s="3" t="str">
        <f>_xlfn.CONCAT(Table1[[#This Row],[First_Name]],Table1[[#This Row],[Last_Name]])</f>
        <v>MaryKnight</v>
      </c>
      <c r="E160" s="3">
        <v>28</v>
      </c>
      <c r="F160" s="3" t="s">
        <v>52</v>
      </c>
      <c r="G160" s="3" t="s">
        <v>76</v>
      </c>
      <c r="H160" s="3" t="s">
        <v>438</v>
      </c>
      <c r="I160" s="3" t="s">
        <v>439</v>
      </c>
      <c r="J160" s="3" t="s">
        <v>922</v>
      </c>
      <c r="K160" s="4">
        <v>45610</v>
      </c>
      <c r="L160" s="3" t="s">
        <v>923</v>
      </c>
      <c r="M160" s="3" t="s">
        <v>637</v>
      </c>
      <c r="N160" s="3">
        <v>445.81</v>
      </c>
      <c r="O160" s="3">
        <v>5</v>
      </c>
      <c r="P160" s="3" t="s">
        <v>36</v>
      </c>
      <c r="Q160" s="3">
        <v>6</v>
      </c>
      <c r="R160" s="3">
        <v>70</v>
      </c>
      <c r="S160" s="4">
        <v>45613</v>
      </c>
      <c r="T160" s="3" t="s">
        <v>924</v>
      </c>
      <c r="U160" s="5">
        <f>Table1[[#This Row],[Delivery_Date]]-Table1[[#This Row],[Order_Date]]</f>
        <v>3</v>
      </c>
      <c r="V160" s="5">
        <f>Table1[[#This Row],[Price]]*Table1[[#This Row],[Quantity]]</f>
        <v>2229.0500000000002</v>
      </c>
      <c r="W160" s="6" cm="1">
        <f t="array" ref="W160">_xlfn.IFS(
P160="FLAT8",8%,
P160="FLAT10",10%,
P160="FLAT15",15%,P160="FLAT20",20%,P160="DEL0",0%,
TRUE,0%
)</f>
        <v>0.08</v>
      </c>
      <c r="X160" s="5">
        <f>Table1[[#This Row],[Amount]]-(Table1[[#This Row],[Amount]]*Table1[[#This Row],[Discount_Percentage]])</f>
        <v>2050.7260000000001</v>
      </c>
      <c r="Y160" s="5">
        <f>IF(P160="DEL0",Table1[[#This Row],[Discount_Amount]],Table1[[#This Row],[Discount_Amount]]+Table1[[#This Row],[Delivery_Charge]])</f>
        <v>2120.7260000000001</v>
      </c>
      <c r="Z160" s="7" t="str">
        <f>_xlfn.CONCAT(Table1[[#This Row],[First_Name]],"  ",Table1[[#This Row],[Last_Name]])</f>
        <v>Mary  Knight</v>
      </c>
      <c r="AA160" s="5" t="str" cm="1">
        <f t="array" ref="AA160">_xlfn.IFS( (S160-K160)&gt;Q160,"Late", (S160-K160)=Q160,"InTime", (S160-K160)&lt;Q160,"BeforeTime" )</f>
        <v>BeforeTime</v>
      </c>
      <c r="AB160" s="3">
        <f>MONTH(Table1[[#This Row],[Order_Date]])</f>
        <v>11</v>
      </c>
    </row>
    <row r="161" spans="1:28" x14ac:dyDescent="0.3">
      <c r="A161" s="3" t="s">
        <v>925</v>
      </c>
      <c r="B161" s="3" t="s">
        <v>926</v>
      </c>
      <c r="C161" s="3" t="s">
        <v>927</v>
      </c>
      <c r="D161" s="3" t="str">
        <f>_xlfn.CONCAT(Table1[[#This Row],[First_Name]],Table1[[#This Row],[Last_Name]])</f>
        <v>RachaelRobinson</v>
      </c>
      <c r="E161" s="3">
        <v>24</v>
      </c>
      <c r="F161" s="3" t="s">
        <v>52</v>
      </c>
      <c r="G161" s="3" t="s">
        <v>220</v>
      </c>
      <c r="H161" s="3" t="s">
        <v>928</v>
      </c>
      <c r="I161" s="3" t="s">
        <v>929</v>
      </c>
      <c r="J161" s="3" t="s">
        <v>930</v>
      </c>
      <c r="K161" s="4">
        <v>45045</v>
      </c>
      <c r="L161" s="3" t="s">
        <v>931</v>
      </c>
      <c r="M161" s="3" t="s">
        <v>738</v>
      </c>
      <c r="N161" s="3">
        <v>110.95</v>
      </c>
      <c r="O161" s="3">
        <v>5</v>
      </c>
      <c r="P161" s="3" t="s">
        <v>85</v>
      </c>
      <c r="Q161" s="3">
        <v>5</v>
      </c>
      <c r="R161" s="3">
        <v>62</v>
      </c>
      <c r="S161" s="4">
        <v>45047</v>
      </c>
      <c r="T161" s="3" t="s">
        <v>932</v>
      </c>
      <c r="U161" s="5">
        <f>Table1[[#This Row],[Delivery_Date]]-Table1[[#This Row],[Order_Date]]</f>
        <v>2</v>
      </c>
      <c r="V161" s="5">
        <f>Table1[[#This Row],[Price]]*Table1[[#This Row],[Quantity]]</f>
        <v>554.75</v>
      </c>
      <c r="W161" s="6" cm="1">
        <f t="array" ref="W161">_xlfn.IFS(
P161="FLAT8",8%,
P161="FLAT10",10%,
P161="FLAT15",15%,P161="FLAT20",20%,P161="DEL0",0%,
TRUE,0%
)</f>
        <v>0.2</v>
      </c>
      <c r="X161" s="5">
        <f>Table1[[#This Row],[Amount]]-(Table1[[#This Row],[Amount]]*Table1[[#This Row],[Discount_Percentage]])</f>
        <v>443.8</v>
      </c>
      <c r="Y161" s="5">
        <f>IF(P161="DEL0",Table1[[#This Row],[Discount_Amount]],Table1[[#This Row],[Discount_Amount]]+Table1[[#This Row],[Delivery_Charge]])</f>
        <v>505.8</v>
      </c>
      <c r="Z161" s="7" t="str">
        <f>_xlfn.CONCAT(Table1[[#This Row],[First_Name]],"  ",Table1[[#This Row],[Last_Name]])</f>
        <v>Rachael  Robinson</v>
      </c>
      <c r="AA161" s="5" t="str" cm="1">
        <f t="array" ref="AA161">_xlfn.IFS( (S161-K161)&gt;Q161,"Late", (S161-K161)=Q161,"InTime", (S161-K161)&lt;Q161,"BeforeTime" )</f>
        <v>BeforeTime</v>
      </c>
      <c r="AB161" s="3">
        <f>MONTH(Table1[[#This Row],[Order_Date]])</f>
        <v>4</v>
      </c>
    </row>
    <row r="162" spans="1:28" x14ac:dyDescent="0.3">
      <c r="A162" s="3" t="s">
        <v>483</v>
      </c>
      <c r="B162" s="3" t="s">
        <v>484</v>
      </c>
      <c r="C162" s="3" t="s">
        <v>130</v>
      </c>
      <c r="D162" s="3" t="str">
        <f>_xlfn.CONCAT(Table1[[#This Row],[First_Name]],Table1[[#This Row],[Last_Name]])</f>
        <v>BrittanyStewart</v>
      </c>
      <c r="E162" s="3">
        <v>68</v>
      </c>
      <c r="F162" s="3" t="s">
        <v>52</v>
      </c>
      <c r="G162" s="3" t="s">
        <v>220</v>
      </c>
      <c r="H162" s="3" t="s">
        <v>485</v>
      </c>
      <c r="I162" s="3" t="s">
        <v>486</v>
      </c>
      <c r="J162" s="3" t="s">
        <v>933</v>
      </c>
      <c r="K162" s="4">
        <v>45529</v>
      </c>
      <c r="L162" s="3" t="s">
        <v>934</v>
      </c>
      <c r="M162" s="3" t="s">
        <v>182</v>
      </c>
      <c r="N162" s="3">
        <v>104.18</v>
      </c>
      <c r="O162" s="3">
        <v>4</v>
      </c>
      <c r="P162" s="3" t="s">
        <v>36</v>
      </c>
      <c r="Q162" s="3">
        <v>4</v>
      </c>
      <c r="R162" s="3">
        <v>45</v>
      </c>
      <c r="S162" s="4">
        <v>45536</v>
      </c>
      <c r="T162" s="3" t="s">
        <v>935</v>
      </c>
      <c r="U162" s="5">
        <f>Table1[[#This Row],[Delivery_Date]]-Table1[[#This Row],[Order_Date]]</f>
        <v>7</v>
      </c>
      <c r="V162" s="5">
        <f>Table1[[#This Row],[Price]]*Table1[[#This Row],[Quantity]]</f>
        <v>416.72</v>
      </c>
      <c r="W162" s="6" cm="1">
        <f t="array" ref="W162">_xlfn.IFS(
P162="FLAT8",8%,
P162="FLAT10",10%,
P162="FLAT15",15%,P162="FLAT20",20%,P162="DEL0",0%,
TRUE,0%
)</f>
        <v>0.08</v>
      </c>
      <c r="X162" s="5">
        <f>Table1[[#This Row],[Amount]]-(Table1[[#This Row],[Amount]]*Table1[[#This Row],[Discount_Percentage]])</f>
        <v>383.38240000000002</v>
      </c>
      <c r="Y162" s="5">
        <f>IF(P162="DEL0",Table1[[#This Row],[Discount_Amount]],Table1[[#This Row],[Discount_Amount]]+Table1[[#This Row],[Delivery_Charge]])</f>
        <v>428.38240000000002</v>
      </c>
      <c r="Z162" s="7" t="str">
        <f>_xlfn.CONCAT(Table1[[#This Row],[First_Name]],"  ",Table1[[#This Row],[Last_Name]])</f>
        <v>Brittany  Stewart</v>
      </c>
      <c r="AA162" s="5" t="str" cm="1">
        <f t="array" ref="AA162">_xlfn.IFS( (S162-K162)&gt;Q162,"Late", (S162-K162)=Q162,"InTime", (S162-K162)&lt;Q162,"BeforeTime" )</f>
        <v>Late</v>
      </c>
      <c r="AB162" s="3">
        <f>MONTH(Table1[[#This Row],[Order_Date]])</f>
        <v>8</v>
      </c>
    </row>
    <row r="163" spans="1:28" x14ac:dyDescent="0.3">
      <c r="A163" s="3" t="s">
        <v>466</v>
      </c>
      <c r="B163" s="3" t="s">
        <v>467</v>
      </c>
      <c r="C163" s="3" t="s">
        <v>468</v>
      </c>
      <c r="D163" s="3" t="str">
        <f>_xlfn.CONCAT(Table1[[#This Row],[First_Name]],Table1[[#This Row],[Last_Name]])</f>
        <v>LoriCook</v>
      </c>
      <c r="E163" s="3">
        <v>18</v>
      </c>
      <c r="F163" s="3" t="s">
        <v>41</v>
      </c>
      <c r="G163" s="3" t="s">
        <v>42</v>
      </c>
      <c r="H163" s="3" t="s">
        <v>469</v>
      </c>
      <c r="I163" s="3" t="s">
        <v>470</v>
      </c>
      <c r="J163" s="3" t="s">
        <v>936</v>
      </c>
      <c r="K163" s="4">
        <v>45535</v>
      </c>
      <c r="L163" s="3" t="s">
        <v>937</v>
      </c>
      <c r="M163" s="3" t="s">
        <v>356</v>
      </c>
      <c r="N163" s="3">
        <v>496.59</v>
      </c>
      <c r="O163" s="3">
        <v>4</v>
      </c>
      <c r="P163" s="3" t="s">
        <v>85</v>
      </c>
      <c r="Q163" s="3">
        <v>1</v>
      </c>
      <c r="R163" s="3">
        <v>59</v>
      </c>
      <c r="S163" s="4">
        <v>45541</v>
      </c>
      <c r="T163" s="3" t="s">
        <v>938</v>
      </c>
      <c r="U163" s="5">
        <f>Table1[[#This Row],[Delivery_Date]]-Table1[[#This Row],[Order_Date]]</f>
        <v>6</v>
      </c>
      <c r="V163" s="5">
        <f>Table1[[#This Row],[Price]]*Table1[[#This Row],[Quantity]]</f>
        <v>1986.36</v>
      </c>
      <c r="W163" s="6" cm="1">
        <f t="array" ref="W163">_xlfn.IFS(
P163="FLAT8",8%,
P163="FLAT10",10%,
P163="FLAT15",15%,P163="FLAT20",20%,P163="DEL0",0%,
TRUE,0%
)</f>
        <v>0.2</v>
      </c>
      <c r="X163" s="5">
        <f>Table1[[#This Row],[Amount]]-(Table1[[#This Row],[Amount]]*Table1[[#This Row],[Discount_Percentage]])</f>
        <v>1589.088</v>
      </c>
      <c r="Y163" s="5">
        <f>IF(P163="DEL0",Table1[[#This Row],[Discount_Amount]],Table1[[#This Row],[Discount_Amount]]+Table1[[#This Row],[Delivery_Charge]])</f>
        <v>1648.088</v>
      </c>
      <c r="Z163" s="7" t="str">
        <f>_xlfn.CONCAT(Table1[[#This Row],[First_Name]],"  ",Table1[[#This Row],[Last_Name]])</f>
        <v>Lori  Cook</v>
      </c>
      <c r="AA163" s="5" t="str" cm="1">
        <f t="array" ref="AA163">_xlfn.IFS( (S163-K163)&gt;Q163,"Late", (S163-K163)=Q163,"InTime", (S163-K163)&lt;Q163,"BeforeTime" )</f>
        <v>Late</v>
      </c>
      <c r="AB163" s="3">
        <f>MONTH(Table1[[#This Row],[Order_Date]])</f>
        <v>8</v>
      </c>
    </row>
    <row r="164" spans="1:28" x14ac:dyDescent="0.3">
      <c r="A164" s="3" t="s">
        <v>119</v>
      </c>
      <c r="B164" s="3" t="s">
        <v>120</v>
      </c>
      <c r="C164" s="3" t="s">
        <v>121</v>
      </c>
      <c r="D164" s="3" t="str">
        <f>_xlfn.CONCAT(Table1[[#This Row],[First_Name]],Table1[[#This Row],[Last_Name]])</f>
        <v>BobbyForbes</v>
      </c>
      <c r="E164" s="3">
        <v>20</v>
      </c>
      <c r="F164" s="3" t="s">
        <v>29</v>
      </c>
      <c r="G164" s="3" t="s">
        <v>90</v>
      </c>
      <c r="H164" s="3" t="s">
        <v>122</v>
      </c>
      <c r="I164" s="3" t="s">
        <v>123</v>
      </c>
      <c r="J164" s="3" t="s">
        <v>939</v>
      </c>
      <c r="K164" s="4">
        <v>44981</v>
      </c>
      <c r="L164" s="3" t="s">
        <v>940</v>
      </c>
      <c r="M164" s="3" t="s">
        <v>941</v>
      </c>
      <c r="N164" s="3">
        <v>107.47</v>
      </c>
      <c r="O164" s="3">
        <v>5</v>
      </c>
      <c r="P164" s="3" t="s">
        <v>85</v>
      </c>
      <c r="Q164" s="3">
        <v>6</v>
      </c>
      <c r="R164" s="3">
        <v>48</v>
      </c>
      <c r="S164" s="4">
        <v>44987</v>
      </c>
      <c r="T164" s="3" t="s">
        <v>942</v>
      </c>
      <c r="U164" s="5">
        <f>Table1[[#This Row],[Delivery_Date]]-Table1[[#This Row],[Order_Date]]</f>
        <v>6</v>
      </c>
      <c r="V164" s="5">
        <f>Table1[[#This Row],[Price]]*Table1[[#This Row],[Quantity]]</f>
        <v>537.35</v>
      </c>
      <c r="W164" s="6" cm="1">
        <f t="array" ref="W164">_xlfn.IFS(
P164="FLAT8",8%,
P164="FLAT10",10%,
P164="FLAT15",15%,P164="FLAT20",20%,P164="DEL0",0%,
TRUE,0%
)</f>
        <v>0.2</v>
      </c>
      <c r="X164" s="5">
        <f>Table1[[#This Row],[Amount]]-(Table1[[#This Row],[Amount]]*Table1[[#This Row],[Discount_Percentage]])</f>
        <v>429.88</v>
      </c>
      <c r="Y164" s="5">
        <f>IF(P164="DEL0",Table1[[#This Row],[Discount_Amount]],Table1[[#This Row],[Discount_Amount]]+Table1[[#This Row],[Delivery_Charge]])</f>
        <v>477.88</v>
      </c>
      <c r="Z164" s="7" t="str">
        <f>_xlfn.CONCAT(Table1[[#This Row],[First_Name]],"  ",Table1[[#This Row],[Last_Name]])</f>
        <v>Bobby  Forbes</v>
      </c>
      <c r="AA164" s="5" t="str" cm="1">
        <f t="array" ref="AA164">_xlfn.IFS( (S164-K164)&gt;Q164,"Late", (S164-K164)=Q164,"InTime", (S164-K164)&lt;Q164,"BeforeTime" )</f>
        <v>InTime</v>
      </c>
      <c r="AB164" s="3">
        <f>MONTH(Table1[[#This Row],[Order_Date]])</f>
        <v>2</v>
      </c>
    </row>
    <row r="165" spans="1:28" x14ac:dyDescent="0.3">
      <c r="A165" s="3" t="s">
        <v>925</v>
      </c>
      <c r="B165" s="3" t="s">
        <v>926</v>
      </c>
      <c r="C165" s="3" t="s">
        <v>927</v>
      </c>
      <c r="D165" s="3" t="str">
        <f>_xlfn.CONCAT(Table1[[#This Row],[First_Name]],Table1[[#This Row],[Last_Name]])</f>
        <v>RachaelRobinson</v>
      </c>
      <c r="E165" s="3">
        <v>24</v>
      </c>
      <c r="F165" s="3" t="s">
        <v>52</v>
      </c>
      <c r="G165" s="3" t="s">
        <v>220</v>
      </c>
      <c r="H165" s="3" t="s">
        <v>928</v>
      </c>
      <c r="I165" s="3" t="s">
        <v>929</v>
      </c>
      <c r="J165" s="3" t="s">
        <v>943</v>
      </c>
      <c r="K165" s="4">
        <v>45207</v>
      </c>
      <c r="L165" s="3" t="s">
        <v>944</v>
      </c>
      <c r="M165" s="3" t="s">
        <v>246</v>
      </c>
      <c r="N165" s="3">
        <v>282.63</v>
      </c>
      <c r="O165" s="3">
        <v>1</v>
      </c>
      <c r="P165" s="3" t="s">
        <v>63</v>
      </c>
      <c r="Q165" s="3">
        <v>5</v>
      </c>
      <c r="R165" s="3">
        <v>45</v>
      </c>
      <c r="S165" s="4">
        <v>45214</v>
      </c>
      <c r="T165" s="3" t="s">
        <v>945</v>
      </c>
      <c r="U165" s="5">
        <f>Table1[[#This Row],[Delivery_Date]]-Table1[[#This Row],[Order_Date]]</f>
        <v>7</v>
      </c>
      <c r="V165" s="5">
        <f>Table1[[#This Row],[Price]]*Table1[[#This Row],[Quantity]]</f>
        <v>282.63</v>
      </c>
      <c r="W165" s="6" cm="1">
        <f t="array" ref="W165">_xlfn.IFS(
P165="FLAT8",8%,
P165="FLAT10",10%,
P165="FLAT15",15%,P165="FLAT20",20%,P165="DEL0",0%,
TRUE,0%
)</f>
        <v>0</v>
      </c>
      <c r="X165" s="5">
        <f>Table1[[#This Row],[Amount]]-(Table1[[#This Row],[Amount]]*Table1[[#This Row],[Discount_Percentage]])</f>
        <v>282.63</v>
      </c>
      <c r="Y165" s="5">
        <f>IF(P165="DEL0",Table1[[#This Row],[Discount_Amount]],Table1[[#This Row],[Discount_Amount]]+Table1[[#This Row],[Delivery_Charge]])</f>
        <v>282.63</v>
      </c>
      <c r="Z165" s="7" t="str">
        <f>_xlfn.CONCAT(Table1[[#This Row],[First_Name]],"  ",Table1[[#This Row],[Last_Name]])</f>
        <v>Rachael  Robinson</v>
      </c>
      <c r="AA165" s="5" t="str" cm="1">
        <f t="array" ref="AA165">_xlfn.IFS( (S165-K165)&gt;Q165,"Late", (S165-K165)=Q165,"InTime", (S165-K165)&lt;Q165,"BeforeTime" )</f>
        <v>Late</v>
      </c>
      <c r="AB165" s="3">
        <f>MONTH(Table1[[#This Row],[Order_Date]])</f>
        <v>10</v>
      </c>
    </row>
    <row r="166" spans="1:28" x14ac:dyDescent="0.3">
      <c r="A166" s="3" t="s">
        <v>128</v>
      </c>
      <c r="B166" s="3" t="s">
        <v>129</v>
      </c>
      <c r="C166" s="3" t="s">
        <v>130</v>
      </c>
      <c r="D166" s="3" t="str">
        <f>_xlfn.CONCAT(Table1[[#This Row],[First_Name]],Table1[[#This Row],[Last_Name]])</f>
        <v>JosephStewart</v>
      </c>
      <c r="E166" s="3">
        <v>30</v>
      </c>
      <c r="F166" s="3" t="s">
        <v>41</v>
      </c>
      <c r="G166" s="3" t="s">
        <v>42</v>
      </c>
      <c r="H166" s="3" t="s">
        <v>131</v>
      </c>
      <c r="I166" s="3" t="s">
        <v>132</v>
      </c>
      <c r="J166" s="3" t="s">
        <v>946</v>
      </c>
      <c r="K166" s="4">
        <v>45185</v>
      </c>
      <c r="L166" s="3" t="s">
        <v>947</v>
      </c>
      <c r="M166" s="3" t="s">
        <v>430</v>
      </c>
      <c r="N166" s="3">
        <v>369.03</v>
      </c>
      <c r="O166" s="3">
        <v>1</v>
      </c>
      <c r="P166" s="3" t="s">
        <v>85</v>
      </c>
      <c r="Q166" s="3">
        <v>1</v>
      </c>
      <c r="R166" s="3">
        <v>48</v>
      </c>
      <c r="S166" s="4">
        <v>45192</v>
      </c>
      <c r="T166" s="3" t="s">
        <v>948</v>
      </c>
      <c r="U166" s="5">
        <f>Table1[[#This Row],[Delivery_Date]]-Table1[[#This Row],[Order_Date]]</f>
        <v>7</v>
      </c>
      <c r="V166" s="5">
        <f>Table1[[#This Row],[Price]]*Table1[[#This Row],[Quantity]]</f>
        <v>369.03</v>
      </c>
      <c r="W166" s="6" cm="1">
        <f t="array" ref="W166">_xlfn.IFS(
P166="FLAT8",8%,
P166="FLAT10",10%,
P166="FLAT15",15%,P166="FLAT20",20%,P166="DEL0",0%,
TRUE,0%
)</f>
        <v>0.2</v>
      </c>
      <c r="X166" s="5">
        <f>Table1[[#This Row],[Amount]]-(Table1[[#This Row],[Amount]]*Table1[[#This Row],[Discount_Percentage]])</f>
        <v>295.22399999999999</v>
      </c>
      <c r="Y166" s="5">
        <f>IF(P166="DEL0",Table1[[#This Row],[Discount_Amount]],Table1[[#This Row],[Discount_Amount]]+Table1[[#This Row],[Delivery_Charge]])</f>
        <v>343.22399999999999</v>
      </c>
      <c r="Z166" s="7" t="str">
        <f>_xlfn.CONCAT(Table1[[#This Row],[First_Name]],"  ",Table1[[#This Row],[Last_Name]])</f>
        <v>Joseph  Stewart</v>
      </c>
      <c r="AA166" s="5" t="str" cm="1">
        <f t="array" ref="AA166">_xlfn.IFS( (S166-K166)&gt;Q166,"Late", (S166-K166)=Q166,"InTime", (S166-K166)&lt;Q166,"BeforeTime" )</f>
        <v>Late</v>
      </c>
      <c r="AB166" s="3">
        <f>MONTH(Table1[[#This Row],[Order_Date]])</f>
        <v>9</v>
      </c>
    </row>
    <row r="167" spans="1:28" x14ac:dyDescent="0.3">
      <c r="A167" s="3" t="s">
        <v>147</v>
      </c>
      <c r="B167" s="3" t="s">
        <v>148</v>
      </c>
      <c r="C167" s="3" t="s">
        <v>149</v>
      </c>
      <c r="D167" s="3" t="str">
        <f>_xlfn.CONCAT(Table1[[#This Row],[First_Name]],Table1[[#This Row],[Last_Name]])</f>
        <v>AmyReid</v>
      </c>
      <c r="E167" s="3">
        <v>44</v>
      </c>
      <c r="F167" s="3" t="s">
        <v>41</v>
      </c>
      <c r="G167" s="3" t="s">
        <v>90</v>
      </c>
      <c r="H167" s="3" t="s">
        <v>150</v>
      </c>
      <c r="I167" s="3" t="s">
        <v>151</v>
      </c>
      <c r="J167" s="3" t="s">
        <v>949</v>
      </c>
      <c r="K167" s="4">
        <v>45513</v>
      </c>
      <c r="L167" s="3" t="s">
        <v>950</v>
      </c>
      <c r="M167" s="3" t="s">
        <v>182</v>
      </c>
      <c r="N167" s="3">
        <v>104.18</v>
      </c>
      <c r="O167" s="3">
        <v>2</v>
      </c>
      <c r="P167" s="3" t="s">
        <v>63</v>
      </c>
      <c r="Q167" s="3">
        <v>2</v>
      </c>
      <c r="R167" s="3">
        <v>57</v>
      </c>
      <c r="S167" s="4">
        <v>45515</v>
      </c>
      <c r="T167" s="3" t="s">
        <v>951</v>
      </c>
      <c r="U167" s="5">
        <f>Table1[[#This Row],[Delivery_Date]]-Table1[[#This Row],[Order_Date]]</f>
        <v>2</v>
      </c>
      <c r="V167" s="5">
        <f>Table1[[#This Row],[Price]]*Table1[[#This Row],[Quantity]]</f>
        <v>208.36</v>
      </c>
      <c r="W167" s="6" cm="1">
        <f t="array" ref="W167">_xlfn.IFS(
P167="FLAT8",8%,
P167="FLAT10",10%,
P167="FLAT15",15%,P167="FLAT20",20%,P167="DEL0",0%,
TRUE,0%
)</f>
        <v>0</v>
      </c>
      <c r="X167" s="5">
        <f>Table1[[#This Row],[Amount]]-(Table1[[#This Row],[Amount]]*Table1[[#This Row],[Discount_Percentage]])</f>
        <v>208.36</v>
      </c>
      <c r="Y167" s="5">
        <f>IF(P167="DEL0",Table1[[#This Row],[Discount_Amount]],Table1[[#This Row],[Discount_Amount]]+Table1[[#This Row],[Delivery_Charge]])</f>
        <v>208.36</v>
      </c>
      <c r="Z167" s="7" t="str">
        <f>_xlfn.CONCAT(Table1[[#This Row],[First_Name]],"  ",Table1[[#This Row],[Last_Name]])</f>
        <v>Amy  Reid</v>
      </c>
      <c r="AA167" s="5" t="str" cm="1">
        <f t="array" ref="AA167">_xlfn.IFS( (S167-K167)&gt;Q167,"Late", (S167-K167)=Q167,"InTime", (S167-K167)&lt;Q167,"BeforeTime" )</f>
        <v>InTime</v>
      </c>
      <c r="AB167" s="3">
        <f>MONTH(Table1[[#This Row],[Order_Date]])</f>
        <v>8</v>
      </c>
    </row>
    <row r="168" spans="1:28" x14ac:dyDescent="0.3">
      <c r="A168" s="3" t="s">
        <v>412</v>
      </c>
      <c r="B168" s="3" t="s">
        <v>228</v>
      </c>
      <c r="C168" s="3" t="s">
        <v>413</v>
      </c>
      <c r="D168" s="3" t="str">
        <f>_xlfn.CONCAT(Table1[[#This Row],[First_Name]],Table1[[#This Row],[Last_Name]])</f>
        <v>JohnRamirez</v>
      </c>
      <c r="E168" s="3">
        <v>28</v>
      </c>
      <c r="F168" s="3" t="s">
        <v>52</v>
      </c>
      <c r="G168" s="3" t="s">
        <v>140</v>
      </c>
      <c r="H168" s="3" t="s">
        <v>414</v>
      </c>
      <c r="I168" s="3" t="s">
        <v>415</v>
      </c>
      <c r="J168" s="3" t="s">
        <v>952</v>
      </c>
      <c r="K168" s="4">
        <v>45550</v>
      </c>
      <c r="L168" s="3" t="s">
        <v>953</v>
      </c>
      <c r="M168" s="3" t="s">
        <v>154</v>
      </c>
      <c r="N168" s="3">
        <v>220.27</v>
      </c>
      <c r="O168" s="3">
        <v>2</v>
      </c>
      <c r="P168" s="3" t="s">
        <v>85</v>
      </c>
      <c r="Q168" s="3">
        <v>1</v>
      </c>
      <c r="R168" s="3">
        <v>42</v>
      </c>
      <c r="S168" s="4">
        <v>45552</v>
      </c>
      <c r="T168" s="3" t="s">
        <v>954</v>
      </c>
      <c r="U168" s="5">
        <f>Table1[[#This Row],[Delivery_Date]]-Table1[[#This Row],[Order_Date]]</f>
        <v>2</v>
      </c>
      <c r="V168" s="5">
        <f>Table1[[#This Row],[Price]]*Table1[[#This Row],[Quantity]]</f>
        <v>440.54</v>
      </c>
      <c r="W168" s="6" cm="1">
        <f t="array" ref="W168">_xlfn.IFS(
P168="FLAT8",8%,
P168="FLAT10",10%,
P168="FLAT15",15%,P168="FLAT20",20%,P168="DEL0",0%,
TRUE,0%
)</f>
        <v>0.2</v>
      </c>
      <c r="X168" s="5">
        <f>Table1[[#This Row],[Amount]]-(Table1[[#This Row],[Amount]]*Table1[[#This Row],[Discount_Percentage]])</f>
        <v>352.43200000000002</v>
      </c>
      <c r="Y168" s="5">
        <f>IF(P168="DEL0",Table1[[#This Row],[Discount_Amount]],Table1[[#This Row],[Discount_Amount]]+Table1[[#This Row],[Delivery_Charge]])</f>
        <v>394.43200000000002</v>
      </c>
      <c r="Z168" s="7" t="str">
        <f>_xlfn.CONCAT(Table1[[#This Row],[First_Name]],"  ",Table1[[#This Row],[Last_Name]])</f>
        <v>John  Ramirez</v>
      </c>
      <c r="AA168" s="5" t="str" cm="1">
        <f t="array" ref="AA168">_xlfn.IFS( (S168-K168)&gt;Q168,"Late", (S168-K168)=Q168,"InTime", (S168-K168)&lt;Q168,"BeforeTime" )</f>
        <v>Late</v>
      </c>
      <c r="AB168" s="3">
        <f>MONTH(Table1[[#This Row],[Order_Date]])</f>
        <v>9</v>
      </c>
    </row>
    <row r="169" spans="1:28" x14ac:dyDescent="0.3">
      <c r="A169" s="3" t="s">
        <v>535</v>
      </c>
      <c r="B169" s="3" t="s">
        <v>536</v>
      </c>
      <c r="C169" s="3" t="s">
        <v>537</v>
      </c>
      <c r="D169" s="3" t="str">
        <f>_xlfn.CONCAT(Table1[[#This Row],[First_Name]],Table1[[#This Row],[Last_Name]])</f>
        <v>BrandonCruz</v>
      </c>
      <c r="E169" s="3">
        <v>32</v>
      </c>
      <c r="F169" s="3" t="s">
        <v>52</v>
      </c>
      <c r="G169" s="3" t="s">
        <v>90</v>
      </c>
      <c r="H169" s="3" t="s">
        <v>538</v>
      </c>
      <c r="I169" s="3" t="s">
        <v>539</v>
      </c>
      <c r="J169" s="3" t="s">
        <v>955</v>
      </c>
      <c r="K169" s="4">
        <v>45125</v>
      </c>
      <c r="L169" s="3" t="s">
        <v>956</v>
      </c>
      <c r="M169" s="3" t="s">
        <v>657</v>
      </c>
      <c r="N169" s="3">
        <v>235.63</v>
      </c>
      <c r="O169" s="3">
        <v>5</v>
      </c>
      <c r="P169" s="3" t="s">
        <v>36</v>
      </c>
      <c r="Q169" s="3">
        <v>4</v>
      </c>
      <c r="R169" s="3">
        <v>52</v>
      </c>
      <c r="S169" s="4">
        <v>45129</v>
      </c>
      <c r="T169" s="3" t="s">
        <v>957</v>
      </c>
      <c r="U169" s="5">
        <f>Table1[[#This Row],[Delivery_Date]]-Table1[[#This Row],[Order_Date]]</f>
        <v>4</v>
      </c>
      <c r="V169" s="5">
        <f>Table1[[#This Row],[Price]]*Table1[[#This Row],[Quantity]]</f>
        <v>1178.1500000000001</v>
      </c>
      <c r="W169" s="6" cm="1">
        <f t="array" ref="W169">_xlfn.IFS(
P169="FLAT8",8%,
P169="FLAT10",10%,
P169="FLAT15",15%,P169="FLAT20",20%,P169="DEL0",0%,
TRUE,0%
)</f>
        <v>0.08</v>
      </c>
      <c r="X169" s="5">
        <f>Table1[[#This Row],[Amount]]-(Table1[[#This Row],[Amount]]*Table1[[#This Row],[Discount_Percentage]])</f>
        <v>1083.8980000000001</v>
      </c>
      <c r="Y169" s="5">
        <f>IF(P169="DEL0",Table1[[#This Row],[Discount_Amount]],Table1[[#This Row],[Discount_Amount]]+Table1[[#This Row],[Delivery_Charge]])</f>
        <v>1135.8980000000001</v>
      </c>
      <c r="Z169" s="7" t="str">
        <f>_xlfn.CONCAT(Table1[[#This Row],[First_Name]],"  ",Table1[[#This Row],[Last_Name]])</f>
        <v>Brandon  Cruz</v>
      </c>
      <c r="AA169" s="5" t="str" cm="1">
        <f t="array" ref="AA169">_xlfn.IFS( (S169-K169)&gt;Q169,"Late", (S169-K169)=Q169,"InTime", (S169-K169)&lt;Q169,"BeforeTime" )</f>
        <v>InTime</v>
      </c>
      <c r="AB169" s="3">
        <f>MONTH(Table1[[#This Row],[Order_Date]])</f>
        <v>7</v>
      </c>
    </row>
    <row r="170" spans="1:28" x14ac:dyDescent="0.3">
      <c r="A170" s="3" t="s">
        <v>639</v>
      </c>
      <c r="B170" s="3" t="s">
        <v>148</v>
      </c>
      <c r="C170" s="3" t="s">
        <v>640</v>
      </c>
      <c r="D170" s="3" t="str">
        <f>_xlfn.CONCAT(Table1[[#This Row],[First_Name]],Table1[[#This Row],[Last_Name]])</f>
        <v>AmyEllis</v>
      </c>
      <c r="E170" s="3">
        <v>44</v>
      </c>
      <c r="F170" s="3" t="s">
        <v>52</v>
      </c>
      <c r="G170" s="3" t="s">
        <v>90</v>
      </c>
      <c r="H170" s="3" t="s">
        <v>641</v>
      </c>
      <c r="I170" s="3" t="s">
        <v>642</v>
      </c>
      <c r="J170" s="3" t="s">
        <v>958</v>
      </c>
      <c r="K170" s="4">
        <v>45186</v>
      </c>
      <c r="L170" s="3" t="s">
        <v>959</v>
      </c>
      <c r="M170" s="3" t="s">
        <v>47</v>
      </c>
      <c r="N170" s="3">
        <v>166.28</v>
      </c>
      <c r="O170" s="3">
        <v>4</v>
      </c>
      <c r="P170" s="3" t="s">
        <v>85</v>
      </c>
      <c r="Q170" s="3">
        <v>6</v>
      </c>
      <c r="R170" s="3">
        <v>36</v>
      </c>
      <c r="S170" s="4">
        <v>45193</v>
      </c>
      <c r="T170" s="3" t="s">
        <v>960</v>
      </c>
      <c r="U170" s="5">
        <f>Table1[[#This Row],[Delivery_Date]]-Table1[[#This Row],[Order_Date]]</f>
        <v>7</v>
      </c>
      <c r="V170" s="5">
        <f>Table1[[#This Row],[Price]]*Table1[[#This Row],[Quantity]]</f>
        <v>665.12</v>
      </c>
      <c r="W170" s="6" cm="1">
        <f t="array" ref="W170">_xlfn.IFS(
P170="FLAT8",8%,
P170="FLAT10",10%,
P170="FLAT15",15%,P170="FLAT20",20%,P170="DEL0",0%,
TRUE,0%
)</f>
        <v>0.2</v>
      </c>
      <c r="X170" s="5">
        <f>Table1[[#This Row],[Amount]]-(Table1[[#This Row],[Amount]]*Table1[[#This Row],[Discount_Percentage]])</f>
        <v>532.096</v>
      </c>
      <c r="Y170" s="5">
        <f>IF(P170="DEL0",Table1[[#This Row],[Discount_Amount]],Table1[[#This Row],[Discount_Amount]]+Table1[[#This Row],[Delivery_Charge]])</f>
        <v>568.096</v>
      </c>
      <c r="Z170" s="7" t="str">
        <f>_xlfn.CONCAT(Table1[[#This Row],[First_Name]],"  ",Table1[[#This Row],[Last_Name]])</f>
        <v>Amy  Ellis</v>
      </c>
      <c r="AA170" s="5" t="str" cm="1">
        <f t="array" ref="AA170">_xlfn.IFS( (S170-K170)&gt;Q170,"Late", (S170-K170)=Q170,"InTime", (S170-K170)&lt;Q170,"BeforeTime" )</f>
        <v>Late</v>
      </c>
      <c r="AB170" s="3">
        <f>MONTH(Table1[[#This Row],[Order_Date]])</f>
        <v>9</v>
      </c>
    </row>
    <row r="171" spans="1:28" x14ac:dyDescent="0.3">
      <c r="A171" s="3" t="s">
        <v>128</v>
      </c>
      <c r="B171" s="3" t="s">
        <v>129</v>
      </c>
      <c r="C171" s="3" t="s">
        <v>130</v>
      </c>
      <c r="D171" s="3" t="str">
        <f>_xlfn.CONCAT(Table1[[#This Row],[First_Name]],Table1[[#This Row],[Last_Name]])</f>
        <v>JosephStewart</v>
      </c>
      <c r="E171" s="3">
        <v>30</v>
      </c>
      <c r="F171" s="3" t="s">
        <v>41</v>
      </c>
      <c r="G171" s="3" t="s">
        <v>42</v>
      </c>
      <c r="H171" s="3" t="s">
        <v>131</v>
      </c>
      <c r="I171" s="3" t="s">
        <v>132</v>
      </c>
      <c r="J171" s="3" t="s">
        <v>961</v>
      </c>
      <c r="K171" s="4">
        <v>45120</v>
      </c>
      <c r="L171" s="3" t="s">
        <v>962</v>
      </c>
      <c r="M171" s="3" t="s">
        <v>62</v>
      </c>
      <c r="N171" s="3">
        <v>405</v>
      </c>
      <c r="O171" s="3">
        <v>5</v>
      </c>
      <c r="P171" s="3" t="s">
        <v>96</v>
      </c>
      <c r="Q171" s="3">
        <v>6</v>
      </c>
      <c r="R171" s="3">
        <v>36</v>
      </c>
      <c r="S171" s="4">
        <v>45127</v>
      </c>
      <c r="T171" s="3" t="s">
        <v>963</v>
      </c>
      <c r="U171" s="5">
        <f>Table1[[#This Row],[Delivery_Date]]-Table1[[#This Row],[Order_Date]]</f>
        <v>7</v>
      </c>
      <c r="V171" s="5">
        <f>Table1[[#This Row],[Price]]*Table1[[#This Row],[Quantity]]</f>
        <v>2025</v>
      </c>
      <c r="W171" s="6" cm="1">
        <f t="array" ref="W171">_xlfn.IFS(
P171="FLAT8",8%,
P171="FLAT10",10%,
P171="FLAT15",15%,P171="FLAT20",20%,P171="DEL0",0%,
TRUE,0%
)</f>
        <v>0.1</v>
      </c>
      <c r="X171" s="5">
        <f>Table1[[#This Row],[Amount]]-(Table1[[#This Row],[Amount]]*Table1[[#This Row],[Discount_Percentage]])</f>
        <v>1822.5</v>
      </c>
      <c r="Y171" s="5">
        <f>IF(P171="DEL0",Table1[[#This Row],[Discount_Amount]],Table1[[#This Row],[Discount_Amount]]+Table1[[#This Row],[Delivery_Charge]])</f>
        <v>1858.5</v>
      </c>
      <c r="Z171" s="7" t="str">
        <f>_xlfn.CONCAT(Table1[[#This Row],[First_Name]],"  ",Table1[[#This Row],[Last_Name]])</f>
        <v>Joseph  Stewart</v>
      </c>
      <c r="AA171" s="5" t="str" cm="1">
        <f t="array" ref="AA171">_xlfn.IFS( (S171-K171)&gt;Q171,"Late", (S171-K171)=Q171,"InTime", (S171-K171)&lt;Q171,"BeforeTime" )</f>
        <v>Late</v>
      </c>
      <c r="AB171" s="3">
        <f>MONTH(Table1[[#This Row],[Order_Date]])</f>
        <v>7</v>
      </c>
    </row>
    <row r="172" spans="1:28" x14ac:dyDescent="0.3">
      <c r="A172" s="3" t="s">
        <v>165</v>
      </c>
      <c r="B172" s="3" t="s">
        <v>166</v>
      </c>
      <c r="C172" s="3" t="s">
        <v>167</v>
      </c>
      <c r="D172" s="3" t="str">
        <f>_xlfn.CONCAT(Table1[[#This Row],[First_Name]],Table1[[#This Row],[Last_Name]])</f>
        <v>ErinMiller</v>
      </c>
      <c r="E172" s="3">
        <v>46</v>
      </c>
      <c r="F172" s="3" t="s">
        <v>29</v>
      </c>
      <c r="G172" s="3" t="s">
        <v>168</v>
      </c>
      <c r="H172" s="3" t="s">
        <v>169</v>
      </c>
      <c r="I172" s="3" t="s">
        <v>170</v>
      </c>
      <c r="J172" s="3" t="s">
        <v>964</v>
      </c>
      <c r="K172" s="4">
        <v>45591</v>
      </c>
      <c r="L172" s="3" t="s">
        <v>965</v>
      </c>
      <c r="M172" s="3" t="s">
        <v>126</v>
      </c>
      <c r="N172" s="3">
        <v>257.06</v>
      </c>
      <c r="O172" s="3">
        <v>2</v>
      </c>
      <c r="P172" s="3" t="s">
        <v>58</v>
      </c>
      <c r="Q172" s="3">
        <v>7</v>
      </c>
      <c r="R172" s="3">
        <v>59</v>
      </c>
      <c r="S172" s="4">
        <v>45592</v>
      </c>
      <c r="T172" s="3" t="s">
        <v>966</v>
      </c>
      <c r="U172" s="5">
        <f>Table1[[#This Row],[Delivery_Date]]-Table1[[#This Row],[Order_Date]]</f>
        <v>1</v>
      </c>
      <c r="V172" s="5">
        <f>Table1[[#This Row],[Price]]*Table1[[#This Row],[Quantity]]</f>
        <v>514.12</v>
      </c>
      <c r="W172" s="6" cm="1">
        <f t="array" ref="W172">_xlfn.IFS(
P172="FLAT8",8%,
P172="FLAT10",10%,
P172="FLAT15",15%,P172="FLAT20",20%,P172="DEL0",0%,
TRUE,0%
)</f>
        <v>0.15</v>
      </c>
      <c r="X172" s="5">
        <f>Table1[[#This Row],[Amount]]-(Table1[[#This Row],[Amount]]*Table1[[#This Row],[Discount_Percentage]])</f>
        <v>437.00200000000001</v>
      </c>
      <c r="Y172" s="5">
        <f>IF(P172="DEL0",Table1[[#This Row],[Discount_Amount]],Table1[[#This Row],[Discount_Amount]]+Table1[[#This Row],[Delivery_Charge]])</f>
        <v>496.00200000000001</v>
      </c>
      <c r="Z172" s="7" t="str">
        <f>_xlfn.CONCAT(Table1[[#This Row],[First_Name]],"  ",Table1[[#This Row],[Last_Name]])</f>
        <v>Erin  Miller</v>
      </c>
      <c r="AA172" s="5" t="str" cm="1">
        <f t="array" ref="AA172">_xlfn.IFS( (S172-K172)&gt;Q172,"Late", (S172-K172)=Q172,"InTime", (S172-K172)&lt;Q172,"BeforeTime" )</f>
        <v>BeforeTime</v>
      </c>
      <c r="AB172" s="3">
        <f>MONTH(Table1[[#This Row],[Order_Date]])</f>
        <v>10</v>
      </c>
    </row>
    <row r="173" spans="1:28" x14ac:dyDescent="0.3">
      <c r="A173" s="3" t="s">
        <v>925</v>
      </c>
      <c r="B173" s="3" t="s">
        <v>926</v>
      </c>
      <c r="C173" s="3" t="s">
        <v>927</v>
      </c>
      <c r="D173" s="3" t="str">
        <f>_xlfn.CONCAT(Table1[[#This Row],[First_Name]],Table1[[#This Row],[Last_Name]])</f>
        <v>RachaelRobinson</v>
      </c>
      <c r="E173" s="3">
        <v>24</v>
      </c>
      <c r="F173" s="3" t="s">
        <v>52</v>
      </c>
      <c r="G173" s="3" t="s">
        <v>220</v>
      </c>
      <c r="H173" s="3" t="s">
        <v>928</v>
      </c>
      <c r="I173" s="3" t="s">
        <v>929</v>
      </c>
      <c r="J173" s="3" t="s">
        <v>967</v>
      </c>
      <c r="K173" s="4">
        <v>45525</v>
      </c>
      <c r="L173" s="3" t="s">
        <v>968</v>
      </c>
      <c r="M173" s="3" t="s">
        <v>418</v>
      </c>
      <c r="N173" s="3">
        <v>44.5</v>
      </c>
      <c r="O173" s="3">
        <v>4</v>
      </c>
      <c r="P173" s="3" t="s">
        <v>36</v>
      </c>
      <c r="Q173" s="3">
        <v>5</v>
      </c>
      <c r="R173" s="3">
        <v>40</v>
      </c>
      <c r="S173" s="4">
        <v>45531</v>
      </c>
      <c r="T173" s="3" t="s">
        <v>969</v>
      </c>
      <c r="U173" s="5">
        <f>Table1[[#This Row],[Delivery_Date]]-Table1[[#This Row],[Order_Date]]</f>
        <v>6</v>
      </c>
      <c r="V173" s="5">
        <f>Table1[[#This Row],[Price]]*Table1[[#This Row],[Quantity]]</f>
        <v>178</v>
      </c>
      <c r="W173" s="6" cm="1">
        <f t="array" ref="W173">_xlfn.IFS(
P173="FLAT8",8%,
P173="FLAT10",10%,
P173="FLAT15",15%,P173="FLAT20",20%,P173="DEL0",0%,
TRUE,0%
)</f>
        <v>0.08</v>
      </c>
      <c r="X173" s="5">
        <f>Table1[[#This Row],[Amount]]-(Table1[[#This Row],[Amount]]*Table1[[#This Row],[Discount_Percentage]])</f>
        <v>163.76</v>
      </c>
      <c r="Y173" s="5">
        <f>IF(P173="DEL0",Table1[[#This Row],[Discount_Amount]],Table1[[#This Row],[Discount_Amount]]+Table1[[#This Row],[Delivery_Charge]])</f>
        <v>203.76</v>
      </c>
      <c r="Z173" s="7" t="str">
        <f>_xlfn.CONCAT(Table1[[#This Row],[First_Name]],"  ",Table1[[#This Row],[Last_Name]])</f>
        <v>Rachael  Robinson</v>
      </c>
      <c r="AA173" s="5" t="str" cm="1">
        <f t="array" ref="AA173">_xlfn.IFS( (S173-K173)&gt;Q173,"Late", (S173-K173)=Q173,"InTime", (S173-K173)&lt;Q173,"BeforeTime" )</f>
        <v>Late</v>
      </c>
      <c r="AB173" s="3">
        <f>MONTH(Table1[[#This Row],[Order_Date]])</f>
        <v>8</v>
      </c>
    </row>
    <row r="174" spans="1:28" x14ac:dyDescent="0.3">
      <c r="A174" s="3" t="s">
        <v>639</v>
      </c>
      <c r="B174" s="3" t="s">
        <v>148</v>
      </c>
      <c r="C174" s="3" t="s">
        <v>640</v>
      </c>
      <c r="D174" s="3" t="str">
        <f>_xlfn.CONCAT(Table1[[#This Row],[First_Name]],Table1[[#This Row],[Last_Name]])</f>
        <v>AmyEllis</v>
      </c>
      <c r="E174" s="3">
        <v>44</v>
      </c>
      <c r="F174" s="3" t="s">
        <v>52</v>
      </c>
      <c r="G174" s="3" t="s">
        <v>90</v>
      </c>
      <c r="H174" s="3" t="s">
        <v>641</v>
      </c>
      <c r="I174" s="3" t="s">
        <v>642</v>
      </c>
      <c r="J174" s="3" t="s">
        <v>970</v>
      </c>
      <c r="K174" s="4">
        <v>45561</v>
      </c>
      <c r="L174" s="3" t="s">
        <v>971</v>
      </c>
      <c r="M174" s="3" t="s">
        <v>418</v>
      </c>
      <c r="N174" s="3">
        <v>44.5</v>
      </c>
      <c r="O174" s="3">
        <v>2</v>
      </c>
      <c r="P174" s="3" t="s">
        <v>58</v>
      </c>
      <c r="Q174" s="3">
        <v>5</v>
      </c>
      <c r="R174" s="3">
        <v>52</v>
      </c>
      <c r="S174" s="4">
        <v>45563</v>
      </c>
      <c r="T174" s="3" t="s">
        <v>972</v>
      </c>
      <c r="U174" s="5">
        <f>Table1[[#This Row],[Delivery_Date]]-Table1[[#This Row],[Order_Date]]</f>
        <v>2</v>
      </c>
      <c r="V174" s="5">
        <f>Table1[[#This Row],[Price]]*Table1[[#This Row],[Quantity]]</f>
        <v>89</v>
      </c>
      <c r="W174" s="6" cm="1">
        <f t="array" ref="W174">_xlfn.IFS(
P174="FLAT8",8%,
P174="FLAT10",10%,
P174="FLAT15",15%,P174="FLAT20",20%,P174="DEL0",0%,
TRUE,0%
)</f>
        <v>0.15</v>
      </c>
      <c r="X174" s="5">
        <f>Table1[[#This Row],[Amount]]-(Table1[[#This Row],[Amount]]*Table1[[#This Row],[Discount_Percentage]])</f>
        <v>75.650000000000006</v>
      </c>
      <c r="Y174" s="5">
        <f>IF(P174="DEL0",Table1[[#This Row],[Discount_Amount]],Table1[[#This Row],[Discount_Amount]]+Table1[[#This Row],[Delivery_Charge]])</f>
        <v>127.65</v>
      </c>
      <c r="Z174" s="7" t="str">
        <f>_xlfn.CONCAT(Table1[[#This Row],[First_Name]],"  ",Table1[[#This Row],[Last_Name]])</f>
        <v>Amy  Ellis</v>
      </c>
      <c r="AA174" s="5" t="str" cm="1">
        <f t="array" ref="AA174">_xlfn.IFS( (S174-K174)&gt;Q174,"Late", (S174-K174)=Q174,"InTime", (S174-K174)&lt;Q174,"BeforeTime" )</f>
        <v>BeforeTime</v>
      </c>
      <c r="AB174" s="3">
        <f>MONTH(Table1[[#This Row],[Order_Date]])</f>
        <v>9</v>
      </c>
    </row>
    <row r="175" spans="1:28" x14ac:dyDescent="0.3">
      <c r="A175" s="3" t="s">
        <v>622</v>
      </c>
      <c r="B175" s="3" t="s">
        <v>129</v>
      </c>
      <c r="C175" s="3" t="s">
        <v>623</v>
      </c>
      <c r="D175" s="3" t="str">
        <f>_xlfn.CONCAT(Table1[[#This Row],[First_Name]],Table1[[#This Row],[Last_Name]])</f>
        <v>JosephGaines</v>
      </c>
      <c r="E175" s="3">
        <v>47</v>
      </c>
      <c r="F175" s="3" t="s">
        <v>52</v>
      </c>
      <c r="G175" s="3" t="s">
        <v>76</v>
      </c>
      <c r="H175" s="3" t="s">
        <v>624</v>
      </c>
      <c r="I175" s="3" t="s">
        <v>625</v>
      </c>
      <c r="J175" s="3" t="s">
        <v>973</v>
      </c>
      <c r="K175" s="4">
        <v>45051</v>
      </c>
      <c r="L175" s="3" t="s">
        <v>974</v>
      </c>
      <c r="M175" s="3" t="s">
        <v>308</v>
      </c>
      <c r="N175" s="3">
        <v>129.75</v>
      </c>
      <c r="O175" s="3">
        <v>5</v>
      </c>
      <c r="P175" s="3" t="s">
        <v>63</v>
      </c>
      <c r="Q175" s="3">
        <v>3</v>
      </c>
      <c r="R175" s="3">
        <v>43</v>
      </c>
      <c r="S175" s="4">
        <v>45057</v>
      </c>
      <c r="T175" s="3" t="s">
        <v>975</v>
      </c>
      <c r="U175" s="5">
        <f>Table1[[#This Row],[Delivery_Date]]-Table1[[#This Row],[Order_Date]]</f>
        <v>6</v>
      </c>
      <c r="V175" s="5">
        <f>Table1[[#This Row],[Price]]*Table1[[#This Row],[Quantity]]</f>
        <v>648.75</v>
      </c>
      <c r="W175" s="6" cm="1">
        <f t="array" ref="W175">_xlfn.IFS(
P175="FLAT8",8%,
P175="FLAT10",10%,
P175="FLAT15",15%,P175="FLAT20",20%,P175="DEL0",0%,
TRUE,0%
)</f>
        <v>0</v>
      </c>
      <c r="X175" s="5">
        <f>Table1[[#This Row],[Amount]]-(Table1[[#This Row],[Amount]]*Table1[[#This Row],[Discount_Percentage]])</f>
        <v>648.75</v>
      </c>
      <c r="Y175" s="5">
        <f>IF(P175="DEL0",Table1[[#This Row],[Discount_Amount]],Table1[[#This Row],[Discount_Amount]]+Table1[[#This Row],[Delivery_Charge]])</f>
        <v>648.75</v>
      </c>
      <c r="Z175" s="7" t="str">
        <f>_xlfn.CONCAT(Table1[[#This Row],[First_Name]],"  ",Table1[[#This Row],[Last_Name]])</f>
        <v>Joseph  Gaines</v>
      </c>
      <c r="AA175" s="5" t="str" cm="1">
        <f t="array" ref="AA175">_xlfn.IFS( (S175-K175)&gt;Q175,"Late", (S175-K175)=Q175,"InTime", (S175-K175)&lt;Q175,"BeforeTime" )</f>
        <v>Late</v>
      </c>
      <c r="AB175" s="3">
        <f>MONTH(Table1[[#This Row],[Order_Date]])</f>
        <v>5</v>
      </c>
    </row>
    <row r="176" spans="1:28" x14ac:dyDescent="0.3">
      <c r="A176" s="3" t="s">
        <v>671</v>
      </c>
      <c r="B176" s="3" t="s">
        <v>672</v>
      </c>
      <c r="C176" s="3" t="s">
        <v>673</v>
      </c>
      <c r="D176" s="3" t="str">
        <f>_xlfn.CONCAT(Table1[[#This Row],[First_Name]],Table1[[#This Row],[Last_Name]])</f>
        <v>ChristyChang</v>
      </c>
      <c r="E176" s="3">
        <v>38</v>
      </c>
      <c r="F176" s="3" t="s">
        <v>41</v>
      </c>
      <c r="G176" s="3" t="s">
        <v>220</v>
      </c>
      <c r="H176" s="3" t="s">
        <v>674</v>
      </c>
      <c r="I176" s="3" t="s">
        <v>675</v>
      </c>
      <c r="J176" s="3" t="s">
        <v>976</v>
      </c>
      <c r="K176" s="4">
        <v>45318</v>
      </c>
      <c r="L176" s="3" t="s">
        <v>977</v>
      </c>
      <c r="M176" s="3" t="s">
        <v>270</v>
      </c>
      <c r="N176" s="3">
        <v>62.42</v>
      </c>
      <c r="O176" s="3">
        <v>4</v>
      </c>
      <c r="P176" s="3" t="s">
        <v>85</v>
      </c>
      <c r="Q176" s="3">
        <v>4</v>
      </c>
      <c r="R176" s="3">
        <v>37</v>
      </c>
      <c r="S176" s="4">
        <v>45321</v>
      </c>
      <c r="T176" s="3" t="s">
        <v>978</v>
      </c>
      <c r="U176" s="5">
        <f>Table1[[#This Row],[Delivery_Date]]-Table1[[#This Row],[Order_Date]]</f>
        <v>3</v>
      </c>
      <c r="V176" s="5">
        <f>Table1[[#This Row],[Price]]*Table1[[#This Row],[Quantity]]</f>
        <v>249.68</v>
      </c>
      <c r="W176" s="6" cm="1">
        <f t="array" ref="W176">_xlfn.IFS(
P176="FLAT8",8%,
P176="FLAT10",10%,
P176="FLAT15",15%,P176="FLAT20",20%,P176="DEL0",0%,
TRUE,0%
)</f>
        <v>0.2</v>
      </c>
      <c r="X176" s="5">
        <f>Table1[[#This Row],[Amount]]-(Table1[[#This Row],[Amount]]*Table1[[#This Row],[Discount_Percentage]])</f>
        <v>199.744</v>
      </c>
      <c r="Y176" s="5">
        <f>IF(P176="DEL0",Table1[[#This Row],[Discount_Amount]],Table1[[#This Row],[Discount_Amount]]+Table1[[#This Row],[Delivery_Charge]])</f>
        <v>236.744</v>
      </c>
      <c r="Z176" s="7" t="str">
        <f>_xlfn.CONCAT(Table1[[#This Row],[First_Name]],"  ",Table1[[#This Row],[Last_Name]])</f>
        <v>Christy  Chang</v>
      </c>
      <c r="AA176" s="5" t="str" cm="1">
        <f t="array" ref="AA176">_xlfn.IFS( (S176-K176)&gt;Q176,"Late", (S176-K176)=Q176,"InTime", (S176-K176)&lt;Q176,"BeforeTime" )</f>
        <v>BeforeTime</v>
      </c>
      <c r="AB176" s="3">
        <f>MONTH(Table1[[#This Row],[Order_Date]])</f>
        <v>1</v>
      </c>
    </row>
    <row r="177" spans="1:28" x14ac:dyDescent="0.3">
      <c r="A177" s="3" t="s">
        <v>724</v>
      </c>
      <c r="B177" s="3" t="s">
        <v>725</v>
      </c>
      <c r="C177" s="3" t="s">
        <v>167</v>
      </c>
      <c r="D177" s="3" t="str">
        <f>_xlfn.CONCAT(Table1[[#This Row],[First_Name]],Table1[[#This Row],[Last_Name]])</f>
        <v>LisaMiller</v>
      </c>
      <c r="E177" s="3">
        <v>70</v>
      </c>
      <c r="F177" s="3" t="s">
        <v>41</v>
      </c>
      <c r="G177" s="3" t="s">
        <v>90</v>
      </c>
      <c r="H177" s="3" t="s">
        <v>726</v>
      </c>
      <c r="I177" s="3" t="s">
        <v>727</v>
      </c>
      <c r="J177" s="3" t="s">
        <v>979</v>
      </c>
      <c r="K177" s="4">
        <v>45508</v>
      </c>
      <c r="L177" s="3" t="s">
        <v>980</v>
      </c>
      <c r="M177" s="3" t="s">
        <v>495</v>
      </c>
      <c r="N177" s="3">
        <v>421.7</v>
      </c>
      <c r="O177" s="3">
        <v>4</v>
      </c>
      <c r="P177" s="3" t="s">
        <v>36</v>
      </c>
      <c r="Q177" s="3">
        <v>7</v>
      </c>
      <c r="R177" s="3">
        <v>69</v>
      </c>
      <c r="S177" s="4">
        <v>45514</v>
      </c>
      <c r="T177" s="3" t="s">
        <v>981</v>
      </c>
      <c r="U177" s="5">
        <f>Table1[[#This Row],[Delivery_Date]]-Table1[[#This Row],[Order_Date]]</f>
        <v>6</v>
      </c>
      <c r="V177" s="5">
        <f>Table1[[#This Row],[Price]]*Table1[[#This Row],[Quantity]]</f>
        <v>1686.8</v>
      </c>
      <c r="W177" s="6" cm="1">
        <f t="array" ref="W177">_xlfn.IFS(
P177="FLAT8",8%,
P177="FLAT10",10%,
P177="FLAT15",15%,P177="FLAT20",20%,P177="DEL0",0%,
TRUE,0%
)</f>
        <v>0.08</v>
      </c>
      <c r="X177" s="5">
        <f>Table1[[#This Row],[Amount]]-(Table1[[#This Row],[Amount]]*Table1[[#This Row],[Discount_Percentage]])</f>
        <v>1551.856</v>
      </c>
      <c r="Y177" s="5">
        <f>IF(P177="DEL0",Table1[[#This Row],[Discount_Amount]],Table1[[#This Row],[Discount_Amount]]+Table1[[#This Row],[Delivery_Charge]])</f>
        <v>1620.856</v>
      </c>
      <c r="Z177" s="7" t="str">
        <f>_xlfn.CONCAT(Table1[[#This Row],[First_Name]],"  ",Table1[[#This Row],[Last_Name]])</f>
        <v>Lisa  Miller</v>
      </c>
      <c r="AA177" s="5" t="str" cm="1">
        <f t="array" ref="AA177">_xlfn.IFS( (S177-K177)&gt;Q177,"Late", (S177-K177)=Q177,"InTime", (S177-K177)&lt;Q177,"BeforeTime" )</f>
        <v>BeforeTime</v>
      </c>
      <c r="AB177" s="3">
        <f>MONTH(Table1[[#This Row],[Order_Date]])</f>
        <v>8</v>
      </c>
    </row>
    <row r="178" spans="1:28" x14ac:dyDescent="0.3">
      <c r="A178" s="3" t="s">
        <v>137</v>
      </c>
      <c r="B178" s="3" t="s">
        <v>138</v>
      </c>
      <c r="C178" s="3" t="s">
        <v>139</v>
      </c>
      <c r="D178" s="3" t="str">
        <f>_xlfn.CONCAT(Table1[[#This Row],[First_Name]],Table1[[#This Row],[Last_Name]])</f>
        <v>KaraBrennan</v>
      </c>
      <c r="E178" s="3">
        <v>25</v>
      </c>
      <c r="F178" s="3" t="s">
        <v>52</v>
      </c>
      <c r="G178" s="3" t="s">
        <v>140</v>
      </c>
      <c r="H178" s="3" t="s">
        <v>141</v>
      </c>
      <c r="I178" s="3" t="s">
        <v>142</v>
      </c>
      <c r="J178" s="3" t="s">
        <v>982</v>
      </c>
      <c r="K178" s="4">
        <v>45580</v>
      </c>
      <c r="L178" s="3" t="s">
        <v>983</v>
      </c>
      <c r="M178" s="3" t="s">
        <v>984</v>
      </c>
      <c r="N178" s="3">
        <v>33.49</v>
      </c>
      <c r="O178" s="3">
        <v>1</v>
      </c>
      <c r="P178" s="3" t="s">
        <v>63</v>
      </c>
      <c r="Q178" s="3">
        <v>1</v>
      </c>
      <c r="R178" s="3">
        <v>59</v>
      </c>
      <c r="S178" s="4">
        <v>45585</v>
      </c>
      <c r="T178" s="3" t="s">
        <v>985</v>
      </c>
      <c r="U178" s="5">
        <f>Table1[[#This Row],[Delivery_Date]]-Table1[[#This Row],[Order_Date]]</f>
        <v>5</v>
      </c>
      <c r="V178" s="5">
        <f>Table1[[#This Row],[Price]]*Table1[[#This Row],[Quantity]]</f>
        <v>33.49</v>
      </c>
      <c r="W178" s="6" cm="1">
        <f t="array" ref="W178">_xlfn.IFS(
P178="FLAT8",8%,
P178="FLAT10",10%,
P178="FLAT15",15%,P178="FLAT20",20%,P178="DEL0",0%,
TRUE,0%
)</f>
        <v>0</v>
      </c>
      <c r="X178" s="5">
        <f>Table1[[#This Row],[Amount]]-(Table1[[#This Row],[Amount]]*Table1[[#This Row],[Discount_Percentage]])</f>
        <v>33.49</v>
      </c>
      <c r="Y178" s="5">
        <f>IF(P178="DEL0",Table1[[#This Row],[Discount_Amount]],Table1[[#This Row],[Discount_Amount]]+Table1[[#This Row],[Delivery_Charge]])</f>
        <v>33.49</v>
      </c>
      <c r="Z178" s="7" t="str">
        <f>_xlfn.CONCAT(Table1[[#This Row],[First_Name]],"  ",Table1[[#This Row],[Last_Name]])</f>
        <v>Kara  Brennan</v>
      </c>
      <c r="AA178" s="5" t="str" cm="1">
        <f t="array" ref="AA178">_xlfn.IFS( (S178-K178)&gt;Q178,"Late", (S178-K178)=Q178,"InTime", (S178-K178)&lt;Q178,"BeforeTime" )</f>
        <v>Late</v>
      </c>
      <c r="AB178" s="3">
        <f>MONTH(Table1[[#This Row],[Order_Date]])</f>
        <v>10</v>
      </c>
    </row>
    <row r="179" spans="1:28" x14ac:dyDescent="0.3">
      <c r="A179" s="3" t="s">
        <v>986</v>
      </c>
      <c r="B179" s="3" t="s">
        <v>987</v>
      </c>
      <c r="C179" s="3" t="s">
        <v>988</v>
      </c>
      <c r="D179" s="3" t="str">
        <f>_xlfn.CONCAT(Table1[[#This Row],[First_Name]],Table1[[#This Row],[Last_Name]])</f>
        <v>NatashaMichael</v>
      </c>
      <c r="E179" s="3">
        <v>49</v>
      </c>
      <c r="F179" s="3" t="s">
        <v>29</v>
      </c>
      <c r="G179" s="3" t="s">
        <v>42</v>
      </c>
      <c r="H179" s="3" t="s">
        <v>989</v>
      </c>
      <c r="I179" s="3" t="s">
        <v>990</v>
      </c>
      <c r="J179" s="3" t="s">
        <v>991</v>
      </c>
      <c r="K179" s="4">
        <v>45478</v>
      </c>
      <c r="L179" s="3" t="s">
        <v>992</v>
      </c>
      <c r="M179" s="3" t="s">
        <v>173</v>
      </c>
      <c r="N179" s="3">
        <v>272.51</v>
      </c>
      <c r="O179" s="3">
        <v>4</v>
      </c>
      <c r="P179" s="3" t="s">
        <v>63</v>
      </c>
      <c r="Q179" s="3">
        <v>1</v>
      </c>
      <c r="R179" s="3">
        <v>51</v>
      </c>
      <c r="S179" s="4">
        <v>45480</v>
      </c>
      <c r="T179" s="3" t="s">
        <v>993</v>
      </c>
      <c r="U179" s="5">
        <f>Table1[[#This Row],[Delivery_Date]]-Table1[[#This Row],[Order_Date]]</f>
        <v>2</v>
      </c>
      <c r="V179" s="5">
        <f>Table1[[#This Row],[Price]]*Table1[[#This Row],[Quantity]]</f>
        <v>1090.04</v>
      </c>
      <c r="W179" s="6" cm="1">
        <f t="array" ref="W179">_xlfn.IFS(
P179="FLAT8",8%,
P179="FLAT10",10%,
P179="FLAT15",15%,P179="FLAT20",20%,P179="DEL0",0%,
TRUE,0%
)</f>
        <v>0</v>
      </c>
      <c r="X179" s="5">
        <f>Table1[[#This Row],[Amount]]-(Table1[[#This Row],[Amount]]*Table1[[#This Row],[Discount_Percentage]])</f>
        <v>1090.04</v>
      </c>
      <c r="Y179" s="5">
        <f>IF(P179="DEL0",Table1[[#This Row],[Discount_Amount]],Table1[[#This Row],[Discount_Amount]]+Table1[[#This Row],[Delivery_Charge]])</f>
        <v>1090.04</v>
      </c>
      <c r="Z179" s="7" t="str">
        <f>_xlfn.CONCAT(Table1[[#This Row],[First_Name]],"  ",Table1[[#This Row],[Last_Name]])</f>
        <v>Natasha  Michael</v>
      </c>
      <c r="AA179" s="5" t="str" cm="1">
        <f t="array" ref="AA179">_xlfn.IFS( (S179-K179)&gt;Q179,"Late", (S179-K179)=Q179,"InTime", (S179-K179)&lt;Q179,"BeforeTime" )</f>
        <v>Late</v>
      </c>
      <c r="AB179" s="3">
        <f>MONTH(Table1[[#This Row],[Order_Date]])</f>
        <v>7</v>
      </c>
    </row>
    <row r="180" spans="1:28" x14ac:dyDescent="0.3">
      <c r="A180" s="3" t="s">
        <v>528</v>
      </c>
      <c r="B180" s="3" t="s">
        <v>394</v>
      </c>
      <c r="C180" s="3" t="s">
        <v>529</v>
      </c>
      <c r="D180" s="3" t="str">
        <f>_xlfn.CONCAT(Table1[[#This Row],[First_Name]],Table1[[#This Row],[Last_Name]])</f>
        <v>JasonNguyen</v>
      </c>
      <c r="E180" s="3">
        <v>51</v>
      </c>
      <c r="F180" s="3" t="s">
        <v>52</v>
      </c>
      <c r="G180" s="3" t="s">
        <v>140</v>
      </c>
      <c r="H180" s="3" t="s">
        <v>530</v>
      </c>
      <c r="I180" s="3" t="s">
        <v>531</v>
      </c>
      <c r="J180" s="3" t="s">
        <v>994</v>
      </c>
      <c r="K180" s="4">
        <v>45010</v>
      </c>
      <c r="L180" s="3" t="s">
        <v>995</v>
      </c>
      <c r="M180" s="3" t="s">
        <v>563</v>
      </c>
      <c r="N180" s="3">
        <v>133.62</v>
      </c>
      <c r="O180" s="3">
        <v>2</v>
      </c>
      <c r="P180" s="3" t="s">
        <v>36</v>
      </c>
      <c r="Q180" s="3">
        <v>1</v>
      </c>
      <c r="R180" s="3">
        <v>48</v>
      </c>
      <c r="S180" s="4">
        <v>45015</v>
      </c>
      <c r="T180" s="3" t="s">
        <v>996</v>
      </c>
      <c r="U180" s="5">
        <f>Table1[[#This Row],[Delivery_Date]]-Table1[[#This Row],[Order_Date]]</f>
        <v>5</v>
      </c>
      <c r="V180" s="5">
        <f>Table1[[#This Row],[Price]]*Table1[[#This Row],[Quantity]]</f>
        <v>267.24</v>
      </c>
      <c r="W180" s="6" cm="1">
        <f t="array" ref="W180">_xlfn.IFS(
P180="FLAT8",8%,
P180="FLAT10",10%,
P180="FLAT15",15%,P180="FLAT20",20%,P180="DEL0",0%,
TRUE,0%
)</f>
        <v>0.08</v>
      </c>
      <c r="X180" s="5">
        <f>Table1[[#This Row],[Amount]]-(Table1[[#This Row],[Amount]]*Table1[[#This Row],[Discount_Percentage]])</f>
        <v>245.86080000000001</v>
      </c>
      <c r="Y180" s="5">
        <f>IF(P180="DEL0",Table1[[#This Row],[Discount_Amount]],Table1[[#This Row],[Discount_Amount]]+Table1[[#This Row],[Delivery_Charge]])</f>
        <v>293.86080000000004</v>
      </c>
      <c r="Z180" s="7" t="str">
        <f>_xlfn.CONCAT(Table1[[#This Row],[First_Name]],"  ",Table1[[#This Row],[Last_Name]])</f>
        <v>Jason  Nguyen</v>
      </c>
      <c r="AA180" s="5" t="str" cm="1">
        <f t="array" ref="AA180">_xlfn.IFS( (S180-K180)&gt;Q180,"Late", (S180-K180)=Q180,"InTime", (S180-K180)&lt;Q180,"BeforeTime" )</f>
        <v>Late</v>
      </c>
      <c r="AB180" s="3">
        <f>MONTH(Table1[[#This Row],[Order_Date]])</f>
        <v>3</v>
      </c>
    </row>
    <row r="181" spans="1:28" x14ac:dyDescent="0.3">
      <c r="A181" s="3" t="s">
        <v>767</v>
      </c>
      <c r="B181" s="3" t="s">
        <v>768</v>
      </c>
      <c r="C181" s="3" t="s">
        <v>769</v>
      </c>
      <c r="D181" s="3" t="str">
        <f>_xlfn.CONCAT(Table1[[#This Row],[First_Name]],Table1[[#This Row],[Last_Name]])</f>
        <v>KristinaHaynes</v>
      </c>
      <c r="E181" s="3">
        <v>27</v>
      </c>
      <c r="F181" s="3" t="s">
        <v>29</v>
      </c>
      <c r="G181" s="3" t="s">
        <v>42</v>
      </c>
      <c r="H181" s="3" t="s">
        <v>770</v>
      </c>
      <c r="I181" s="3" t="s">
        <v>771</v>
      </c>
      <c r="J181" s="3" t="s">
        <v>997</v>
      </c>
      <c r="K181" s="4">
        <v>45132</v>
      </c>
      <c r="L181" s="3" t="s">
        <v>998</v>
      </c>
      <c r="M181" s="3" t="s">
        <v>126</v>
      </c>
      <c r="N181" s="3">
        <v>257.06</v>
      </c>
      <c r="O181" s="3">
        <v>4</v>
      </c>
      <c r="P181" s="3" t="s">
        <v>63</v>
      </c>
      <c r="Q181" s="3">
        <v>5</v>
      </c>
      <c r="R181" s="3">
        <v>52</v>
      </c>
      <c r="S181" s="4">
        <v>45136</v>
      </c>
      <c r="T181" s="3" t="s">
        <v>999</v>
      </c>
      <c r="U181" s="5">
        <f>Table1[[#This Row],[Delivery_Date]]-Table1[[#This Row],[Order_Date]]</f>
        <v>4</v>
      </c>
      <c r="V181" s="5">
        <f>Table1[[#This Row],[Price]]*Table1[[#This Row],[Quantity]]</f>
        <v>1028.24</v>
      </c>
      <c r="W181" s="6" cm="1">
        <f t="array" ref="W181">_xlfn.IFS(
P181="FLAT8",8%,
P181="FLAT10",10%,
P181="FLAT15",15%,P181="FLAT20",20%,P181="DEL0",0%,
TRUE,0%
)</f>
        <v>0</v>
      </c>
      <c r="X181" s="5">
        <f>Table1[[#This Row],[Amount]]-(Table1[[#This Row],[Amount]]*Table1[[#This Row],[Discount_Percentage]])</f>
        <v>1028.24</v>
      </c>
      <c r="Y181" s="5">
        <f>IF(P181="DEL0",Table1[[#This Row],[Discount_Amount]],Table1[[#This Row],[Discount_Amount]]+Table1[[#This Row],[Delivery_Charge]])</f>
        <v>1028.24</v>
      </c>
      <c r="Z181" s="7" t="str">
        <f>_xlfn.CONCAT(Table1[[#This Row],[First_Name]],"  ",Table1[[#This Row],[Last_Name]])</f>
        <v>Kristina  Haynes</v>
      </c>
      <c r="AA181" s="5" t="str" cm="1">
        <f t="array" ref="AA181">_xlfn.IFS( (S181-K181)&gt;Q181,"Late", (S181-K181)=Q181,"InTime", (S181-K181)&lt;Q181,"BeforeTime" )</f>
        <v>BeforeTime</v>
      </c>
      <c r="AB181" s="3">
        <f>MONTH(Table1[[#This Row],[Order_Date]])</f>
        <v>7</v>
      </c>
    </row>
    <row r="182" spans="1:28" x14ac:dyDescent="0.3">
      <c r="A182" s="3" t="s">
        <v>137</v>
      </c>
      <c r="B182" s="3" t="s">
        <v>138</v>
      </c>
      <c r="C182" s="3" t="s">
        <v>139</v>
      </c>
      <c r="D182" s="3" t="str">
        <f>_xlfn.CONCAT(Table1[[#This Row],[First_Name]],Table1[[#This Row],[Last_Name]])</f>
        <v>KaraBrennan</v>
      </c>
      <c r="E182" s="3">
        <v>25</v>
      </c>
      <c r="F182" s="3" t="s">
        <v>52</v>
      </c>
      <c r="G182" s="3" t="s">
        <v>140</v>
      </c>
      <c r="H182" s="3" t="s">
        <v>141</v>
      </c>
      <c r="I182" s="3" t="s">
        <v>142</v>
      </c>
      <c r="J182" s="3" t="s">
        <v>1000</v>
      </c>
      <c r="K182" s="4">
        <v>45457</v>
      </c>
      <c r="L182" s="3" t="s">
        <v>1001</v>
      </c>
      <c r="M182" s="3" t="s">
        <v>774</v>
      </c>
      <c r="N182" s="3">
        <v>20</v>
      </c>
      <c r="O182" s="3">
        <v>5</v>
      </c>
      <c r="P182" s="3" t="s">
        <v>58</v>
      </c>
      <c r="Q182" s="3">
        <v>6</v>
      </c>
      <c r="R182" s="3">
        <v>36</v>
      </c>
      <c r="S182" s="4">
        <v>45463</v>
      </c>
      <c r="T182" s="3" t="s">
        <v>1002</v>
      </c>
      <c r="U182" s="5">
        <f>Table1[[#This Row],[Delivery_Date]]-Table1[[#This Row],[Order_Date]]</f>
        <v>6</v>
      </c>
      <c r="V182" s="5">
        <f>Table1[[#This Row],[Price]]*Table1[[#This Row],[Quantity]]</f>
        <v>100</v>
      </c>
      <c r="W182" s="6" cm="1">
        <f t="array" ref="W182">_xlfn.IFS(
P182="FLAT8",8%,
P182="FLAT10",10%,
P182="FLAT15",15%,P182="FLAT20",20%,P182="DEL0",0%,
TRUE,0%
)</f>
        <v>0.15</v>
      </c>
      <c r="X182" s="5">
        <f>Table1[[#This Row],[Amount]]-(Table1[[#This Row],[Amount]]*Table1[[#This Row],[Discount_Percentage]])</f>
        <v>85</v>
      </c>
      <c r="Y182" s="5">
        <f>IF(P182="DEL0",Table1[[#This Row],[Discount_Amount]],Table1[[#This Row],[Discount_Amount]]+Table1[[#This Row],[Delivery_Charge]])</f>
        <v>121</v>
      </c>
      <c r="Z182" s="7" t="str">
        <f>_xlfn.CONCAT(Table1[[#This Row],[First_Name]],"  ",Table1[[#This Row],[Last_Name]])</f>
        <v>Kara  Brennan</v>
      </c>
      <c r="AA182" s="5" t="str" cm="1">
        <f t="array" ref="AA182">_xlfn.IFS( (S182-K182)&gt;Q182,"Late", (S182-K182)=Q182,"InTime", (S182-K182)&lt;Q182,"BeforeTime" )</f>
        <v>InTime</v>
      </c>
      <c r="AB182" s="3">
        <f>MONTH(Table1[[#This Row],[Order_Date]])</f>
        <v>6</v>
      </c>
    </row>
    <row r="183" spans="1:28" x14ac:dyDescent="0.3">
      <c r="A183" s="3" t="s">
        <v>716</v>
      </c>
      <c r="B183" s="3" t="s">
        <v>717</v>
      </c>
      <c r="C183" s="3" t="s">
        <v>718</v>
      </c>
      <c r="D183" s="3" t="str">
        <f>_xlfn.CONCAT(Table1[[#This Row],[First_Name]],Table1[[#This Row],[Last_Name]])</f>
        <v>BruceAllen</v>
      </c>
      <c r="E183" s="3">
        <v>32</v>
      </c>
      <c r="F183" s="3" t="s">
        <v>41</v>
      </c>
      <c r="G183" s="3" t="s">
        <v>30</v>
      </c>
      <c r="H183" s="3" t="s">
        <v>719</v>
      </c>
      <c r="I183" s="3" t="s">
        <v>720</v>
      </c>
      <c r="J183" s="3" t="s">
        <v>1003</v>
      </c>
      <c r="K183" s="4">
        <v>45343</v>
      </c>
      <c r="L183" s="3" t="s">
        <v>1004</v>
      </c>
      <c r="M183" s="3" t="s">
        <v>657</v>
      </c>
      <c r="N183" s="3">
        <v>235.63</v>
      </c>
      <c r="O183" s="3">
        <v>3</v>
      </c>
      <c r="P183" s="3" t="s">
        <v>96</v>
      </c>
      <c r="Q183" s="3">
        <v>5</v>
      </c>
      <c r="R183" s="3">
        <v>44</v>
      </c>
      <c r="S183" s="4">
        <v>45347</v>
      </c>
      <c r="T183" s="3" t="s">
        <v>1005</v>
      </c>
      <c r="U183" s="5">
        <f>Table1[[#This Row],[Delivery_Date]]-Table1[[#This Row],[Order_Date]]</f>
        <v>4</v>
      </c>
      <c r="V183" s="5">
        <f>Table1[[#This Row],[Price]]*Table1[[#This Row],[Quantity]]</f>
        <v>706.89</v>
      </c>
      <c r="W183" s="6" cm="1">
        <f t="array" ref="W183">_xlfn.IFS(
P183="FLAT8",8%,
P183="FLAT10",10%,
P183="FLAT15",15%,P183="FLAT20",20%,P183="DEL0",0%,
TRUE,0%
)</f>
        <v>0.1</v>
      </c>
      <c r="X183" s="5">
        <f>Table1[[#This Row],[Amount]]-(Table1[[#This Row],[Amount]]*Table1[[#This Row],[Discount_Percentage]])</f>
        <v>636.20100000000002</v>
      </c>
      <c r="Y183" s="5">
        <f>IF(P183="DEL0",Table1[[#This Row],[Discount_Amount]],Table1[[#This Row],[Discount_Amount]]+Table1[[#This Row],[Delivery_Charge]])</f>
        <v>680.20100000000002</v>
      </c>
      <c r="Z183" s="7" t="str">
        <f>_xlfn.CONCAT(Table1[[#This Row],[First_Name]],"  ",Table1[[#This Row],[Last_Name]])</f>
        <v>Bruce  Allen</v>
      </c>
      <c r="AA183" s="5" t="str" cm="1">
        <f t="array" ref="AA183">_xlfn.IFS( (S183-K183)&gt;Q183,"Late", (S183-K183)=Q183,"InTime", (S183-K183)&lt;Q183,"BeforeTime" )</f>
        <v>BeforeTime</v>
      </c>
      <c r="AB183" s="3">
        <f>MONTH(Table1[[#This Row],[Order_Date]])</f>
        <v>2</v>
      </c>
    </row>
    <row r="184" spans="1:28" x14ac:dyDescent="0.3">
      <c r="A184" s="3" t="s">
        <v>26</v>
      </c>
      <c r="B184" s="3" t="s">
        <v>27</v>
      </c>
      <c r="C184" s="3" t="s">
        <v>28</v>
      </c>
      <c r="D184" s="3" t="str">
        <f>_xlfn.CONCAT(Table1[[#This Row],[First_Name]],Table1[[#This Row],[Last_Name]])</f>
        <v>AnneOconnell</v>
      </c>
      <c r="E184" s="3">
        <v>37</v>
      </c>
      <c r="F184" s="3" t="s">
        <v>29</v>
      </c>
      <c r="G184" s="3" t="s">
        <v>30</v>
      </c>
      <c r="H184" s="3" t="s">
        <v>31</v>
      </c>
      <c r="I184" s="3" t="s">
        <v>32</v>
      </c>
      <c r="J184" s="3" t="s">
        <v>1006</v>
      </c>
      <c r="K184" s="4">
        <v>45095</v>
      </c>
      <c r="L184" s="3" t="s">
        <v>1007</v>
      </c>
      <c r="M184" s="3" t="s">
        <v>563</v>
      </c>
      <c r="N184" s="3">
        <v>133.62</v>
      </c>
      <c r="O184" s="3">
        <v>5</v>
      </c>
      <c r="P184" s="3" t="s">
        <v>63</v>
      </c>
      <c r="Q184" s="3">
        <v>7</v>
      </c>
      <c r="R184" s="3">
        <v>58</v>
      </c>
      <c r="S184" s="4">
        <v>45098</v>
      </c>
      <c r="T184" s="3" t="s">
        <v>1008</v>
      </c>
      <c r="U184" s="5">
        <f>Table1[[#This Row],[Delivery_Date]]-Table1[[#This Row],[Order_Date]]</f>
        <v>3</v>
      </c>
      <c r="V184" s="5">
        <f>Table1[[#This Row],[Price]]*Table1[[#This Row],[Quantity]]</f>
        <v>668.1</v>
      </c>
      <c r="W184" s="6" cm="1">
        <f t="array" ref="W184">_xlfn.IFS(
P184="FLAT8",8%,
P184="FLAT10",10%,
P184="FLAT15",15%,P184="FLAT20",20%,P184="DEL0",0%,
TRUE,0%
)</f>
        <v>0</v>
      </c>
      <c r="X184" s="5">
        <f>Table1[[#This Row],[Amount]]-(Table1[[#This Row],[Amount]]*Table1[[#This Row],[Discount_Percentage]])</f>
        <v>668.1</v>
      </c>
      <c r="Y184" s="5">
        <f>IF(P184="DEL0",Table1[[#This Row],[Discount_Amount]],Table1[[#This Row],[Discount_Amount]]+Table1[[#This Row],[Delivery_Charge]])</f>
        <v>668.1</v>
      </c>
      <c r="Z184" s="7" t="str">
        <f>_xlfn.CONCAT(Table1[[#This Row],[First_Name]],"  ",Table1[[#This Row],[Last_Name]])</f>
        <v>Anne  Oconnell</v>
      </c>
      <c r="AA184" s="5" t="str" cm="1">
        <f t="array" ref="AA184">_xlfn.IFS( (S184-K184)&gt;Q184,"Late", (S184-K184)=Q184,"InTime", (S184-K184)&lt;Q184,"BeforeTime" )</f>
        <v>BeforeTime</v>
      </c>
      <c r="AB184" s="3">
        <f>MONTH(Table1[[#This Row],[Order_Date]])</f>
        <v>6</v>
      </c>
    </row>
    <row r="185" spans="1:28" x14ac:dyDescent="0.3">
      <c r="A185" s="3" t="s">
        <v>490</v>
      </c>
      <c r="B185" s="3" t="s">
        <v>186</v>
      </c>
      <c r="C185" s="3" t="s">
        <v>327</v>
      </c>
      <c r="D185" s="3" t="str">
        <f>_xlfn.CONCAT(Table1[[#This Row],[First_Name]],Table1[[#This Row],[Last_Name]])</f>
        <v>MitchellParker</v>
      </c>
      <c r="E185" s="3">
        <v>39</v>
      </c>
      <c r="F185" s="3" t="s">
        <v>52</v>
      </c>
      <c r="G185" s="3" t="s">
        <v>42</v>
      </c>
      <c r="H185" s="3" t="s">
        <v>491</v>
      </c>
      <c r="I185" s="3" t="s">
        <v>492</v>
      </c>
      <c r="J185" s="3" t="s">
        <v>1009</v>
      </c>
      <c r="K185" s="4">
        <v>45651</v>
      </c>
      <c r="L185" s="3" t="s">
        <v>1010</v>
      </c>
      <c r="M185" s="3" t="s">
        <v>495</v>
      </c>
      <c r="N185" s="3">
        <v>421.7</v>
      </c>
      <c r="O185" s="3">
        <v>2</v>
      </c>
      <c r="P185" s="3" t="s">
        <v>36</v>
      </c>
      <c r="Q185" s="3">
        <v>5</v>
      </c>
      <c r="R185" s="3">
        <v>45</v>
      </c>
      <c r="S185" s="4">
        <v>45653</v>
      </c>
      <c r="T185" s="3" t="s">
        <v>1011</v>
      </c>
      <c r="U185" s="5">
        <f>Table1[[#This Row],[Delivery_Date]]-Table1[[#This Row],[Order_Date]]</f>
        <v>2</v>
      </c>
      <c r="V185" s="5">
        <f>Table1[[#This Row],[Price]]*Table1[[#This Row],[Quantity]]</f>
        <v>843.4</v>
      </c>
      <c r="W185" s="6" cm="1">
        <f t="array" ref="W185">_xlfn.IFS(
P185="FLAT8",8%,
P185="FLAT10",10%,
P185="FLAT15",15%,P185="FLAT20",20%,P185="DEL0",0%,
TRUE,0%
)</f>
        <v>0.08</v>
      </c>
      <c r="X185" s="5">
        <f>Table1[[#This Row],[Amount]]-(Table1[[#This Row],[Amount]]*Table1[[#This Row],[Discount_Percentage]])</f>
        <v>775.928</v>
      </c>
      <c r="Y185" s="5">
        <f>IF(P185="DEL0",Table1[[#This Row],[Discount_Amount]],Table1[[#This Row],[Discount_Amount]]+Table1[[#This Row],[Delivery_Charge]])</f>
        <v>820.928</v>
      </c>
      <c r="Z185" s="7" t="str">
        <f>_xlfn.CONCAT(Table1[[#This Row],[First_Name]],"  ",Table1[[#This Row],[Last_Name]])</f>
        <v>Mitchell  Parker</v>
      </c>
      <c r="AA185" s="5" t="str" cm="1">
        <f t="array" ref="AA185">_xlfn.IFS( (S185-K185)&gt;Q185,"Late", (S185-K185)=Q185,"InTime", (S185-K185)&lt;Q185,"BeforeTime" )</f>
        <v>BeforeTime</v>
      </c>
      <c r="AB185" s="3">
        <f>MONTH(Table1[[#This Row],[Order_Date]])</f>
        <v>12</v>
      </c>
    </row>
    <row r="186" spans="1:28" x14ac:dyDescent="0.3">
      <c r="A186" s="3" t="s">
        <v>184</v>
      </c>
      <c r="B186" s="3" t="s">
        <v>185</v>
      </c>
      <c r="C186" s="3" t="s">
        <v>186</v>
      </c>
      <c r="D186" s="3" t="str">
        <f>_xlfn.CONCAT(Table1[[#This Row],[First_Name]],Table1[[#This Row],[Last_Name]])</f>
        <v>MalloryMitchell</v>
      </c>
      <c r="E186" s="3">
        <v>42</v>
      </c>
      <c r="F186" s="3" t="s">
        <v>41</v>
      </c>
      <c r="G186" s="3" t="s">
        <v>168</v>
      </c>
      <c r="H186" s="3" t="s">
        <v>187</v>
      </c>
      <c r="I186" s="3" t="s">
        <v>188</v>
      </c>
      <c r="J186" s="3" t="s">
        <v>1012</v>
      </c>
      <c r="K186" s="4">
        <v>45455</v>
      </c>
      <c r="L186" s="3" t="s">
        <v>1013</v>
      </c>
      <c r="M186" s="3" t="s">
        <v>344</v>
      </c>
      <c r="N186" s="3">
        <v>372.62</v>
      </c>
      <c r="O186" s="3">
        <v>1</v>
      </c>
      <c r="P186" s="3" t="s">
        <v>58</v>
      </c>
      <c r="Q186" s="3">
        <v>3</v>
      </c>
      <c r="R186" s="3">
        <v>35</v>
      </c>
      <c r="S186" s="4">
        <v>45458</v>
      </c>
      <c r="T186" s="3" t="s">
        <v>1014</v>
      </c>
      <c r="U186" s="5">
        <f>Table1[[#This Row],[Delivery_Date]]-Table1[[#This Row],[Order_Date]]</f>
        <v>3</v>
      </c>
      <c r="V186" s="5">
        <f>Table1[[#This Row],[Price]]*Table1[[#This Row],[Quantity]]</f>
        <v>372.62</v>
      </c>
      <c r="W186" s="6" cm="1">
        <f t="array" ref="W186">_xlfn.IFS(
P186="FLAT8",8%,
P186="FLAT10",10%,
P186="FLAT15",15%,P186="FLAT20",20%,P186="DEL0",0%,
TRUE,0%
)</f>
        <v>0.15</v>
      </c>
      <c r="X186" s="5">
        <f>Table1[[#This Row],[Amount]]-(Table1[[#This Row],[Amount]]*Table1[[#This Row],[Discount_Percentage]])</f>
        <v>316.72699999999998</v>
      </c>
      <c r="Y186" s="5">
        <f>IF(P186="DEL0",Table1[[#This Row],[Discount_Amount]],Table1[[#This Row],[Discount_Amount]]+Table1[[#This Row],[Delivery_Charge]])</f>
        <v>351.72699999999998</v>
      </c>
      <c r="Z186" s="7" t="str">
        <f>_xlfn.CONCAT(Table1[[#This Row],[First_Name]],"  ",Table1[[#This Row],[Last_Name]])</f>
        <v>Mallory  Mitchell</v>
      </c>
      <c r="AA186" s="5" t="str" cm="1">
        <f t="array" ref="AA186">_xlfn.IFS( (S186-K186)&gt;Q186,"Late", (S186-K186)=Q186,"InTime", (S186-K186)&lt;Q186,"BeforeTime" )</f>
        <v>InTime</v>
      </c>
      <c r="AB186" s="3">
        <f>MONTH(Table1[[#This Row],[Order_Date]])</f>
        <v>6</v>
      </c>
    </row>
    <row r="187" spans="1:28" x14ac:dyDescent="0.3">
      <c r="A187" s="3" t="s">
        <v>535</v>
      </c>
      <c r="B187" s="3" t="s">
        <v>536</v>
      </c>
      <c r="C187" s="3" t="s">
        <v>537</v>
      </c>
      <c r="D187" s="3" t="str">
        <f>_xlfn.CONCAT(Table1[[#This Row],[First_Name]],Table1[[#This Row],[Last_Name]])</f>
        <v>BrandonCruz</v>
      </c>
      <c r="E187" s="3">
        <v>32</v>
      </c>
      <c r="F187" s="3" t="s">
        <v>52</v>
      </c>
      <c r="G187" s="3" t="s">
        <v>90</v>
      </c>
      <c r="H187" s="3" t="s">
        <v>538</v>
      </c>
      <c r="I187" s="3" t="s">
        <v>539</v>
      </c>
      <c r="J187" s="3" t="s">
        <v>1015</v>
      </c>
      <c r="K187" s="4">
        <v>45455</v>
      </c>
      <c r="L187" s="3" t="s">
        <v>1016</v>
      </c>
      <c r="M187" s="3" t="s">
        <v>95</v>
      </c>
      <c r="N187" s="3">
        <v>363.64</v>
      </c>
      <c r="O187" s="3">
        <v>3</v>
      </c>
      <c r="P187" s="3" t="s">
        <v>63</v>
      </c>
      <c r="Q187" s="3">
        <v>3</v>
      </c>
      <c r="R187" s="3">
        <v>70</v>
      </c>
      <c r="S187" s="4">
        <v>45461</v>
      </c>
      <c r="T187" s="3" t="s">
        <v>1017</v>
      </c>
      <c r="U187" s="5">
        <f>Table1[[#This Row],[Delivery_Date]]-Table1[[#This Row],[Order_Date]]</f>
        <v>6</v>
      </c>
      <c r="V187" s="5">
        <f>Table1[[#This Row],[Price]]*Table1[[#This Row],[Quantity]]</f>
        <v>1090.92</v>
      </c>
      <c r="W187" s="6" cm="1">
        <f t="array" ref="W187">_xlfn.IFS(
P187="FLAT8",8%,
P187="FLAT10",10%,
P187="FLAT15",15%,P187="FLAT20",20%,P187="DEL0",0%,
TRUE,0%
)</f>
        <v>0</v>
      </c>
      <c r="X187" s="5">
        <f>Table1[[#This Row],[Amount]]-(Table1[[#This Row],[Amount]]*Table1[[#This Row],[Discount_Percentage]])</f>
        <v>1090.92</v>
      </c>
      <c r="Y187" s="5">
        <f>IF(P187="DEL0",Table1[[#This Row],[Discount_Amount]],Table1[[#This Row],[Discount_Amount]]+Table1[[#This Row],[Delivery_Charge]])</f>
        <v>1090.92</v>
      </c>
      <c r="Z187" s="7" t="str">
        <f>_xlfn.CONCAT(Table1[[#This Row],[First_Name]],"  ",Table1[[#This Row],[Last_Name]])</f>
        <v>Brandon  Cruz</v>
      </c>
      <c r="AA187" s="5" t="str" cm="1">
        <f t="array" ref="AA187">_xlfn.IFS( (S187-K187)&gt;Q187,"Late", (S187-K187)=Q187,"InTime", (S187-K187)&lt;Q187,"BeforeTime" )</f>
        <v>Late</v>
      </c>
      <c r="AB187" s="3">
        <f>MONTH(Table1[[#This Row],[Order_Date]])</f>
        <v>6</v>
      </c>
    </row>
    <row r="188" spans="1:28" x14ac:dyDescent="0.3">
      <c r="A188" s="3" t="s">
        <v>73</v>
      </c>
      <c r="B188" s="3" t="s">
        <v>74</v>
      </c>
      <c r="C188" s="3" t="s">
        <v>75</v>
      </c>
      <c r="D188" s="3" t="str">
        <f>_xlfn.CONCAT(Table1[[#This Row],[First_Name]],Table1[[#This Row],[Last_Name]])</f>
        <v>ChristineWest</v>
      </c>
      <c r="E188" s="3">
        <v>53</v>
      </c>
      <c r="F188" s="3" t="s">
        <v>52</v>
      </c>
      <c r="G188" s="3" t="s">
        <v>76</v>
      </c>
      <c r="H188" s="3" t="s">
        <v>77</v>
      </c>
      <c r="I188" s="3" t="s">
        <v>78</v>
      </c>
      <c r="J188" s="3" t="s">
        <v>1018</v>
      </c>
      <c r="K188" s="4">
        <v>45561</v>
      </c>
      <c r="L188" s="3" t="s">
        <v>1019</v>
      </c>
      <c r="M188" s="3" t="s">
        <v>81</v>
      </c>
      <c r="N188" s="3">
        <v>330.11</v>
      </c>
      <c r="O188" s="3">
        <v>4</v>
      </c>
      <c r="P188" s="3" t="s">
        <v>85</v>
      </c>
      <c r="Q188" s="3">
        <v>4</v>
      </c>
      <c r="R188" s="3">
        <v>47</v>
      </c>
      <c r="S188" s="4">
        <v>45566</v>
      </c>
      <c r="T188" s="3" t="s">
        <v>1020</v>
      </c>
      <c r="U188" s="5">
        <f>Table1[[#This Row],[Delivery_Date]]-Table1[[#This Row],[Order_Date]]</f>
        <v>5</v>
      </c>
      <c r="V188" s="5">
        <f>Table1[[#This Row],[Price]]*Table1[[#This Row],[Quantity]]</f>
        <v>1320.44</v>
      </c>
      <c r="W188" s="6" cm="1">
        <f t="array" ref="W188">_xlfn.IFS(
P188="FLAT8",8%,
P188="FLAT10",10%,
P188="FLAT15",15%,P188="FLAT20",20%,P188="DEL0",0%,
TRUE,0%
)</f>
        <v>0.2</v>
      </c>
      <c r="X188" s="5">
        <f>Table1[[#This Row],[Amount]]-(Table1[[#This Row],[Amount]]*Table1[[#This Row],[Discount_Percentage]])</f>
        <v>1056.3520000000001</v>
      </c>
      <c r="Y188" s="5">
        <f>IF(P188="DEL0",Table1[[#This Row],[Discount_Amount]],Table1[[#This Row],[Discount_Amount]]+Table1[[#This Row],[Delivery_Charge]])</f>
        <v>1103.3520000000001</v>
      </c>
      <c r="Z188" s="7" t="str">
        <f>_xlfn.CONCAT(Table1[[#This Row],[First_Name]],"  ",Table1[[#This Row],[Last_Name]])</f>
        <v>Christine  West</v>
      </c>
      <c r="AA188" s="5" t="str" cm="1">
        <f t="array" ref="AA188">_xlfn.IFS( (S188-K188)&gt;Q188,"Late", (S188-K188)=Q188,"InTime", (S188-K188)&lt;Q188,"BeforeTime" )</f>
        <v>Late</v>
      </c>
      <c r="AB188" s="3">
        <f>MONTH(Table1[[#This Row],[Order_Date]])</f>
        <v>9</v>
      </c>
    </row>
    <row r="189" spans="1:28" x14ac:dyDescent="0.3">
      <c r="A189" s="3" t="s">
        <v>316</v>
      </c>
      <c r="B189" s="3" t="s">
        <v>317</v>
      </c>
      <c r="C189" s="3" t="s">
        <v>318</v>
      </c>
      <c r="D189" s="3" t="str">
        <f>_xlfn.CONCAT(Table1[[#This Row],[First_Name]],Table1[[#This Row],[Last_Name]])</f>
        <v>JennyEstrada</v>
      </c>
      <c r="E189" s="3">
        <v>45</v>
      </c>
      <c r="F189" s="3" t="s">
        <v>29</v>
      </c>
      <c r="G189" s="3" t="s">
        <v>42</v>
      </c>
      <c r="H189" s="3" t="s">
        <v>319</v>
      </c>
      <c r="I189" s="3" t="s">
        <v>320</v>
      </c>
      <c r="J189" s="3" t="s">
        <v>1021</v>
      </c>
      <c r="K189" s="4">
        <v>45099</v>
      </c>
      <c r="L189" s="3" t="s">
        <v>1022</v>
      </c>
      <c r="M189" s="3" t="s">
        <v>941</v>
      </c>
      <c r="N189" s="3">
        <v>107.47</v>
      </c>
      <c r="O189" s="3">
        <v>1</v>
      </c>
      <c r="P189" s="3" t="s">
        <v>96</v>
      </c>
      <c r="Q189" s="3">
        <v>5</v>
      </c>
      <c r="R189" s="3">
        <v>56</v>
      </c>
      <c r="S189" s="4">
        <v>45104</v>
      </c>
      <c r="T189" s="3" t="s">
        <v>1023</v>
      </c>
      <c r="U189" s="5">
        <f>Table1[[#This Row],[Delivery_Date]]-Table1[[#This Row],[Order_Date]]</f>
        <v>5</v>
      </c>
      <c r="V189" s="5">
        <f>Table1[[#This Row],[Price]]*Table1[[#This Row],[Quantity]]</f>
        <v>107.47</v>
      </c>
      <c r="W189" s="6" cm="1">
        <f t="array" ref="W189">_xlfn.IFS(
P189="FLAT8",8%,
P189="FLAT10",10%,
P189="FLAT15",15%,P189="FLAT20",20%,P189="DEL0",0%,
TRUE,0%
)</f>
        <v>0.1</v>
      </c>
      <c r="X189" s="5">
        <f>Table1[[#This Row],[Amount]]-(Table1[[#This Row],[Amount]]*Table1[[#This Row],[Discount_Percentage]])</f>
        <v>96.722999999999999</v>
      </c>
      <c r="Y189" s="5">
        <f>IF(P189="DEL0",Table1[[#This Row],[Discount_Amount]],Table1[[#This Row],[Discount_Amount]]+Table1[[#This Row],[Delivery_Charge]])</f>
        <v>152.72300000000001</v>
      </c>
      <c r="Z189" s="7" t="str">
        <f>_xlfn.CONCAT(Table1[[#This Row],[First_Name]],"  ",Table1[[#This Row],[Last_Name]])</f>
        <v>Jenny  Estrada</v>
      </c>
      <c r="AA189" s="5" t="str" cm="1">
        <f t="array" ref="AA189">_xlfn.IFS( (S189-K189)&gt;Q189,"Late", (S189-K189)=Q189,"InTime", (S189-K189)&lt;Q189,"BeforeTime" )</f>
        <v>InTime</v>
      </c>
      <c r="AB189" s="3">
        <f>MONTH(Table1[[#This Row],[Order_Date]])</f>
        <v>6</v>
      </c>
    </row>
    <row r="190" spans="1:28" x14ac:dyDescent="0.3">
      <c r="A190" s="3" t="s">
        <v>165</v>
      </c>
      <c r="B190" s="3" t="s">
        <v>166</v>
      </c>
      <c r="C190" s="3" t="s">
        <v>167</v>
      </c>
      <c r="D190" s="3" t="str">
        <f>_xlfn.CONCAT(Table1[[#This Row],[First_Name]],Table1[[#This Row],[Last_Name]])</f>
        <v>ErinMiller</v>
      </c>
      <c r="E190" s="3">
        <v>46</v>
      </c>
      <c r="F190" s="3" t="s">
        <v>29</v>
      </c>
      <c r="G190" s="3" t="s">
        <v>168</v>
      </c>
      <c r="H190" s="3" t="s">
        <v>169</v>
      </c>
      <c r="I190" s="3" t="s">
        <v>170</v>
      </c>
      <c r="J190" s="3" t="s">
        <v>1024</v>
      </c>
      <c r="K190" s="4">
        <v>45586</v>
      </c>
      <c r="L190" s="3" t="s">
        <v>1025</v>
      </c>
      <c r="M190" s="3" t="s">
        <v>242</v>
      </c>
      <c r="N190" s="3">
        <v>126.19</v>
      </c>
      <c r="O190" s="3">
        <v>1</v>
      </c>
      <c r="P190" s="3" t="s">
        <v>85</v>
      </c>
      <c r="Q190" s="3">
        <v>5</v>
      </c>
      <c r="R190" s="3">
        <v>68</v>
      </c>
      <c r="S190" s="4">
        <v>45588</v>
      </c>
      <c r="T190" s="3" t="s">
        <v>1026</v>
      </c>
      <c r="U190" s="5">
        <f>Table1[[#This Row],[Delivery_Date]]-Table1[[#This Row],[Order_Date]]</f>
        <v>2</v>
      </c>
      <c r="V190" s="5">
        <f>Table1[[#This Row],[Price]]*Table1[[#This Row],[Quantity]]</f>
        <v>126.19</v>
      </c>
      <c r="W190" s="6" cm="1">
        <f t="array" ref="W190">_xlfn.IFS(
P190="FLAT8",8%,
P190="FLAT10",10%,
P190="FLAT15",15%,P190="FLAT20",20%,P190="DEL0",0%,
TRUE,0%
)</f>
        <v>0.2</v>
      </c>
      <c r="X190" s="5">
        <f>Table1[[#This Row],[Amount]]-(Table1[[#This Row],[Amount]]*Table1[[#This Row],[Discount_Percentage]])</f>
        <v>100.952</v>
      </c>
      <c r="Y190" s="5">
        <f>IF(P190="DEL0",Table1[[#This Row],[Discount_Amount]],Table1[[#This Row],[Discount_Amount]]+Table1[[#This Row],[Delivery_Charge]])</f>
        <v>168.952</v>
      </c>
      <c r="Z190" s="7" t="str">
        <f>_xlfn.CONCAT(Table1[[#This Row],[First_Name]],"  ",Table1[[#This Row],[Last_Name]])</f>
        <v>Erin  Miller</v>
      </c>
      <c r="AA190" s="5" t="str" cm="1">
        <f t="array" ref="AA190">_xlfn.IFS( (S190-K190)&gt;Q190,"Late", (S190-K190)=Q190,"InTime", (S190-K190)&lt;Q190,"BeforeTime" )</f>
        <v>BeforeTime</v>
      </c>
      <c r="AB190" s="3">
        <f>MONTH(Table1[[#This Row],[Order_Date]])</f>
        <v>10</v>
      </c>
    </row>
    <row r="191" spans="1:28" x14ac:dyDescent="0.3">
      <c r="A191" s="3" t="s">
        <v>646</v>
      </c>
      <c r="B191" s="3" t="s">
        <v>647</v>
      </c>
      <c r="C191" s="3" t="s">
        <v>648</v>
      </c>
      <c r="D191" s="3" t="str">
        <f>_xlfn.CONCAT(Table1[[#This Row],[First_Name]],Table1[[#This Row],[Last_Name]])</f>
        <v>BethMason</v>
      </c>
      <c r="E191" s="3">
        <v>45</v>
      </c>
      <c r="F191" s="3" t="s">
        <v>52</v>
      </c>
      <c r="G191" s="3" t="s">
        <v>90</v>
      </c>
      <c r="H191" s="3" t="s">
        <v>649</v>
      </c>
      <c r="I191" s="3" t="s">
        <v>650</v>
      </c>
      <c r="J191" s="3" t="s">
        <v>1027</v>
      </c>
      <c r="K191" s="4">
        <v>45060</v>
      </c>
      <c r="L191" s="3" t="s">
        <v>1028</v>
      </c>
      <c r="M191" s="3" t="s">
        <v>748</v>
      </c>
      <c r="N191" s="3">
        <v>381.73</v>
      </c>
      <c r="O191" s="3">
        <v>2</v>
      </c>
      <c r="P191" s="3" t="s">
        <v>63</v>
      </c>
      <c r="Q191" s="3">
        <v>5</v>
      </c>
      <c r="R191" s="3">
        <v>38</v>
      </c>
      <c r="S191" s="4">
        <v>45066</v>
      </c>
      <c r="T191" s="3" t="s">
        <v>1029</v>
      </c>
      <c r="U191" s="5">
        <f>Table1[[#This Row],[Delivery_Date]]-Table1[[#This Row],[Order_Date]]</f>
        <v>6</v>
      </c>
      <c r="V191" s="5">
        <f>Table1[[#This Row],[Price]]*Table1[[#This Row],[Quantity]]</f>
        <v>763.46</v>
      </c>
      <c r="W191" s="6" cm="1">
        <f t="array" ref="W191">_xlfn.IFS(
P191="FLAT8",8%,
P191="FLAT10",10%,
P191="FLAT15",15%,P191="FLAT20",20%,P191="DEL0",0%,
TRUE,0%
)</f>
        <v>0</v>
      </c>
      <c r="X191" s="5">
        <f>Table1[[#This Row],[Amount]]-(Table1[[#This Row],[Amount]]*Table1[[#This Row],[Discount_Percentage]])</f>
        <v>763.46</v>
      </c>
      <c r="Y191" s="5">
        <f>IF(P191="DEL0",Table1[[#This Row],[Discount_Amount]],Table1[[#This Row],[Discount_Amount]]+Table1[[#This Row],[Delivery_Charge]])</f>
        <v>763.46</v>
      </c>
      <c r="Z191" s="7" t="str">
        <f>_xlfn.CONCAT(Table1[[#This Row],[First_Name]],"  ",Table1[[#This Row],[Last_Name]])</f>
        <v>Beth  Mason</v>
      </c>
      <c r="AA191" s="5" t="str" cm="1">
        <f t="array" ref="AA191">_xlfn.IFS( (S191-K191)&gt;Q191,"Late", (S191-K191)=Q191,"InTime", (S191-K191)&lt;Q191,"BeforeTime" )</f>
        <v>Late</v>
      </c>
      <c r="AB191" s="3">
        <f>MONTH(Table1[[#This Row],[Order_Date]])</f>
        <v>5</v>
      </c>
    </row>
    <row r="192" spans="1:28" x14ac:dyDescent="0.3">
      <c r="A192" s="3" t="s">
        <v>475</v>
      </c>
      <c r="B192" s="3" t="s">
        <v>108</v>
      </c>
      <c r="C192" s="3" t="s">
        <v>476</v>
      </c>
      <c r="D192" s="3" t="str">
        <f>_xlfn.CONCAT(Table1[[#This Row],[First_Name]],Table1[[#This Row],[Last_Name]])</f>
        <v>DebraHayes</v>
      </c>
      <c r="E192" s="3">
        <v>33</v>
      </c>
      <c r="F192" s="3" t="s">
        <v>29</v>
      </c>
      <c r="G192" s="3" t="s">
        <v>168</v>
      </c>
      <c r="H192" s="3" t="s">
        <v>477</v>
      </c>
      <c r="I192" s="3" t="s">
        <v>478</v>
      </c>
      <c r="J192" s="3" t="s">
        <v>1030</v>
      </c>
      <c r="K192" s="4">
        <v>45069</v>
      </c>
      <c r="L192" s="3" t="s">
        <v>1031</v>
      </c>
      <c r="M192" s="3" t="s">
        <v>871</v>
      </c>
      <c r="N192" s="3">
        <v>292.14999999999998</v>
      </c>
      <c r="O192" s="3">
        <v>5</v>
      </c>
      <c r="P192" s="3" t="s">
        <v>96</v>
      </c>
      <c r="Q192" s="3">
        <v>6</v>
      </c>
      <c r="R192" s="3">
        <v>68</v>
      </c>
      <c r="S192" s="4">
        <v>45071</v>
      </c>
      <c r="T192" s="3" t="s">
        <v>1032</v>
      </c>
      <c r="U192" s="5">
        <f>Table1[[#This Row],[Delivery_Date]]-Table1[[#This Row],[Order_Date]]</f>
        <v>2</v>
      </c>
      <c r="V192" s="5">
        <f>Table1[[#This Row],[Price]]*Table1[[#This Row],[Quantity]]</f>
        <v>1460.75</v>
      </c>
      <c r="W192" s="6" cm="1">
        <f t="array" ref="W192">_xlfn.IFS(
P192="FLAT8",8%,
P192="FLAT10",10%,
P192="FLAT15",15%,P192="FLAT20",20%,P192="DEL0",0%,
TRUE,0%
)</f>
        <v>0.1</v>
      </c>
      <c r="X192" s="5">
        <f>Table1[[#This Row],[Amount]]-(Table1[[#This Row],[Amount]]*Table1[[#This Row],[Discount_Percentage]])</f>
        <v>1314.675</v>
      </c>
      <c r="Y192" s="5">
        <f>IF(P192="DEL0",Table1[[#This Row],[Discount_Amount]],Table1[[#This Row],[Discount_Amount]]+Table1[[#This Row],[Delivery_Charge]])</f>
        <v>1382.675</v>
      </c>
      <c r="Z192" s="7" t="str">
        <f>_xlfn.CONCAT(Table1[[#This Row],[First_Name]],"  ",Table1[[#This Row],[Last_Name]])</f>
        <v>Debra  Hayes</v>
      </c>
      <c r="AA192" s="5" t="str" cm="1">
        <f t="array" ref="AA192">_xlfn.IFS( (S192-K192)&gt;Q192,"Late", (S192-K192)=Q192,"InTime", (S192-K192)&lt;Q192,"BeforeTime" )</f>
        <v>BeforeTime</v>
      </c>
      <c r="AB192" s="3">
        <f>MONTH(Table1[[#This Row],[Order_Date]])</f>
        <v>5</v>
      </c>
    </row>
    <row r="193" spans="1:28" x14ac:dyDescent="0.3">
      <c r="A193" s="3" t="s">
        <v>490</v>
      </c>
      <c r="B193" s="3" t="s">
        <v>186</v>
      </c>
      <c r="C193" s="3" t="s">
        <v>327</v>
      </c>
      <c r="D193" s="3" t="str">
        <f>_xlfn.CONCAT(Table1[[#This Row],[First_Name]],Table1[[#This Row],[Last_Name]])</f>
        <v>MitchellParker</v>
      </c>
      <c r="E193" s="3">
        <v>39</v>
      </c>
      <c r="F193" s="3" t="s">
        <v>52</v>
      </c>
      <c r="G193" s="3" t="s">
        <v>42</v>
      </c>
      <c r="H193" s="3" t="s">
        <v>491</v>
      </c>
      <c r="I193" s="3" t="s">
        <v>492</v>
      </c>
      <c r="J193" s="3" t="s">
        <v>1033</v>
      </c>
      <c r="K193" s="4">
        <v>45036</v>
      </c>
      <c r="L193" s="3" t="s">
        <v>1034</v>
      </c>
      <c r="M193" s="3" t="s">
        <v>514</v>
      </c>
      <c r="N193" s="3">
        <v>136.30000000000001</v>
      </c>
      <c r="O193" s="3">
        <v>3</v>
      </c>
      <c r="P193" s="3" t="s">
        <v>58</v>
      </c>
      <c r="Q193" s="3">
        <v>6</v>
      </c>
      <c r="R193" s="3">
        <v>42</v>
      </c>
      <c r="S193" s="4">
        <v>45043</v>
      </c>
      <c r="T193" s="3" t="s">
        <v>1035</v>
      </c>
      <c r="U193" s="5">
        <f>Table1[[#This Row],[Delivery_Date]]-Table1[[#This Row],[Order_Date]]</f>
        <v>7</v>
      </c>
      <c r="V193" s="5">
        <f>Table1[[#This Row],[Price]]*Table1[[#This Row],[Quantity]]</f>
        <v>408.90000000000003</v>
      </c>
      <c r="W193" s="6" cm="1">
        <f t="array" ref="W193">_xlfn.IFS(
P193="FLAT8",8%,
P193="FLAT10",10%,
P193="FLAT15",15%,P193="FLAT20",20%,P193="DEL0",0%,
TRUE,0%
)</f>
        <v>0.15</v>
      </c>
      <c r="X193" s="5">
        <f>Table1[[#This Row],[Amount]]-(Table1[[#This Row],[Amount]]*Table1[[#This Row],[Discount_Percentage]])</f>
        <v>347.56500000000005</v>
      </c>
      <c r="Y193" s="5">
        <f>IF(P193="DEL0",Table1[[#This Row],[Discount_Amount]],Table1[[#This Row],[Discount_Amount]]+Table1[[#This Row],[Delivery_Charge]])</f>
        <v>389.56500000000005</v>
      </c>
      <c r="Z193" s="7" t="str">
        <f>_xlfn.CONCAT(Table1[[#This Row],[First_Name]],"  ",Table1[[#This Row],[Last_Name]])</f>
        <v>Mitchell  Parker</v>
      </c>
      <c r="AA193" s="5" t="str" cm="1">
        <f t="array" ref="AA193">_xlfn.IFS( (S193-K193)&gt;Q193,"Late", (S193-K193)=Q193,"InTime", (S193-K193)&lt;Q193,"BeforeTime" )</f>
        <v>Late</v>
      </c>
      <c r="AB193" s="3">
        <f>MONTH(Table1[[#This Row],[Order_Date]])</f>
        <v>4</v>
      </c>
    </row>
    <row r="194" spans="1:28" x14ac:dyDescent="0.3">
      <c r="A194" s="3" t="s">
        <v>639</v>
      </c>
      <c r="B194" s="3" t="s">
        <v>148</v>
      </c>
      <c r="C194" s="3" t="s">
        <v>640</v>
      </c>
      <c r="D194" s="3" t="str">
        <f>_xlfn.CONCAT(Table1[[#This Row],[First_Name]],Table1[[#This Row],[Last_Name]])</f>
        <v>AmyEllis</v>
      </c>
      <c r="E194" s="3">
        <v>44</v>
      </c>
      <c r="F194" s="3" t="s">
        <v>52</v>
      </c>
      <c r="G194" s="3" t="s">
        <v>90</v>
      </c>
      <c r="H194" s="3" t="s">
        <v>641</v>
      </c>
      <c r="I194" s="3" t="s">
        <v>642</v>
      </c>
      <c r="J194" s="3" t="s">
        <v>1036</v>
      </c>
      <c r="K194" s="4">
        <v>45208</v>
      </c>
      <c r="L194" s="3" t="s">
        <v>1037</v>
      </c>
      <c r="M194" s="3" t="s">
        <v>590</v>
      </c>
      <c r="N194" s="3">
        <v>403.03</v>
      </c>
      <c r="O194" s="3">
        <v>3</v>
      </c>
      <c r="P194" s="3" t="s">
        <v>58</v>
      </c>
      <c r="Q194" s="3">
        <v>4</v>
      </c>
      <c r="R194" s="3">
        <v>67</v>
      </c>
      <c r="S194" s="4">
        <v>45213</v>
      </c>
      <c r="T194" s="3" t="s">
        <v>1038</v>
      </c>
      <c r="U194" s="5">
        <f>Table1[[#This Row],[Delivery_Date]]-Table1[[#This Row],[Order_Date]]</f>
        <v>5</v>
      </c>
      <c r="V194" s="5">
        <f>Table1[[#This Row],[Price]]*Table1[[#This Row],[Quantity]]</f>
        <v>1209.0899999999999</v>
      </c>
      <c r="W194" s="6" cm="1">
        <f t="array" ref="W194">_xlfn.IFS(
P194="FLAT8",8%,
P194="FLAT10",10%,
P194="FLAT15",15%,P194="FLAT20",20%,P194="DEL0",0%,
TRUE,0%
)</f>
        <v>0.15</v>
      </c>
      <c r="X194" s="5">
        <f>Table1[[#This Row],[Amount]]-(Table1[[#This Row],[Amount]]*Table1[[#This Row],[Discount_Percentage]])</f>
        <v>1027.7265</v>
      </c>
      <c r="Y194" s="5">
        <f>IF(P194="DEL0",Table1[[#This Row],[Discount_Amount]],Table1[[#This Row],[Discount_Amount]]+Table1[[#This Row],[Delivery_Charge]])</f>
        <v>1094.7265</v>
      </c>
      <c r="Z194" s="7" t="str">
        <f>_xlfn.CONCAT(Table1[[#This Row],[First_Name]],"  ",Table1[[#This Row],[Last_Name]])</f>
        <v>Amy  Ellis</v>
      </c>
      <c r="AA194" s="5" t="str" cm="1">
        <f t="array" ref="AA194">_xlfn.IFS( (S194-K194)&gt;Q194,"Late", (S194-K194)=Q194,"InTime", (S194-K194)&lt;Q194,"BeforeTime" )</f>
        <v>Late</v>
      </c>
      <c r="AB194" s="3">
        <f>MONTH(Table1[[#This Row],[Order_Date]])</f>
        <v>10</v>
      </c>
    </row>
    <row r="195" spans="1:28" x14ac:dyDescent="0.3">
      <c r="A195" s="3" t="s">
        <v>435</v>
      </c>
      <c r="B195" s="3" t="s">
        <v>436</v>
      </c>
      <c r="C195" s="3" t="s">
        <v>437</v>
      </c>
      <c r="D195" s="3" t="str">
        <f>_xlfn.CONCAT(Table1[[#This Row],[First_Name]],Table1[[#This Row],[Last_Name]])</f>
        <v>MaryKnight</v>
      </c>
      <c r="E195" s="3">
        <v>28</v>
      </c>
      <c r="F195" s="3" t="s">
        <v>52</v>
      </c>
      <c r="G195" s="3" t="s">
        <v>76</v>
      </c>
      <c r="H195" s="3" t="s">
        <v>438</v>
      </c>
      <c r="I195" s="3" t="s">
        <v>439</v>
      </c>
      <c r="J195" s="3" t="s">
        <v>1039</v>
      </c>
      <c r="K195" s="4">
        <v>45241</v>
      </c>
      <c r="L195" s="3" t="s">
        <v>1040</v>
      </c>
      <c r="M195" s="3" t="s">
        <v>637</v>
      </c>
      <c r="N195" s="3">
        <v>445.81</v>
      </c>
      <c r="O195" s="3">
        <v>2</v>
      </c>
      <c r="P195" s="3" t="s">
        <v>63</v>
      </c>
      <c r="Q195" s="3">
        <v>7</v>
      </c>
      <c r="R195" s="3">
        <v>67</v>
      </c>
      <c r="S195" s="4">
        <v>45242</v>
      </c>
      <c r="T195" s="3" t="s">
        <v>1041</v>
      </c>
      <c r="U195" s="5">
        <f>Table1[[#This Row],[Delivery_Date]]-Table1[[#This Row],[Order_Date]]</f>
        <v>1</v>
      </c>
      <c r="V195" s="5">
        <f>Table1[[#This Row],[Price]]*Table1[[#This Row],[Quantity]]</f>
        <v>891.62</v>
      </c>
      <c r="W195" s="6" cm="1">
        <f t="array" ref="W195">_xlfn.IFS(
P195="FLAT8",8%,
P195="FLAT10",10%,
P195="FLAT15",15%,P195="FLAT20",20%,P195="DEL0",0%,
TRUE,0%
)</f>
        <v>0</v>
      </c>
      <c r="X195" s="5">
        <f>Table1[[#This Row],[Amount]]-(Table1[[#This Row],[Amount]]*Table1[[#This Row],[Discount_Percentage]])</f>
        <v>891.62</v>
      </c>
      <c r="Y195" s="5">
        <f>IF(P195="DEL0",Table1[[#This Row],[Discount_Amount]],Table1[[#This Row],[Discount_Amount]]+Table1[[#This Row],[Delivery_Charge]])</f>
        <v>891.62</v>
      </c>
      <c r="Z195" s="7" t="str">
        <f>_xlfn.CONCAT(Table1[[#This Row],[First_Name]],"  ",Table1[[#This Row],[Last_Name]])</f>
        <v>Mary  Knight</v>
      </c>
      <c r="AA195" s="5" t="str" cm="1">
        <f t="array" ref="AA195">_xlfn.IFS( (S195-K195)&gt;Q195,"Late", (S195-K195)=Q195,"InTime", (S195-K195)&lt;Q195,"BeforeTime" )</f>
        <v>BeforeTime</v>
      </c>
      <c r="AB195" s="3">
        <f>MONTH(Table1[[#This Row],[Order_Date]])</f>
        <v>11</v>
      </c>
    </row>
    <row r="196" spans="1:28" x14ac:dyDescent="0.3">
      <c r="A196" s="3" t="s">
        <v>1042</v>
      </c>
      <c r="B196" s="3" t="s">
        <v>74</v>
      </c>
      <c r="C196" s="3" t="s">
        <v>1043</v>
      </c>
      <c r="D196" s="3" t="str">
        <f>_xlfn.CONCAT(Table1[[#This Row],[First_Name]],Table1[[#This Row],[Last_Name]])</f>
        <v>ChristineAguilar</v>
      </c>
      <c r="E196" s="3">
        <v>46</v>
      </c>
      <c r="F196" s="3" t="s">
        <v>29</v>
      </c>
      <c r="G196" s="3" t="s">
        <v>30</v>
      </c>
      <c r="H196" s="3" t="s">
        <v>1044</v>
      </c>
      <c r="I196" s="3" t="s">
        <v>1045</v>
      </c>
      <c r="J196" s="3" t="s">
        <v>1046</v>
      </c>
      <c r="K196" s="4">
        <v>45051</v>
      </c>
      <c r="L196" s="3" t="s">
        <v>1047</v>
      </c>
      <c r="M196" s="3" t="s">
        <v>308</v>
      </c>
      <c r="N196" s="3">
        <v>129.75</v>
      </c>
      <c r="O196" s="3">
        <v>5</v>
      </c>
      <c r="P196" s="3" t="s">
        <v>85</v>
      </c>
      <c r="Q196" s="3">
        <v>6</v>
      </c>
      <c r="R196" s="3">
        <v>38</v>
      </c>
      <c r="S196" s="4">
        <v>45057</v>
      </c>
      <c r="T196" s="3" t="s">
        <v>1048</v>
      </c>
      <c r="U196" s="5">
        <f>Table1[[#This Row],[Delivery_Date]]-Table1[[#This Row],[Order_Date]]</f>
        <v>6</v>
      </c>
      <c r="V196" s="5">
        <f>Table1[[#This Row],[Price]]*Table1[[#This Row],[Quantity]]</f>
        <v>648.75</v>
      </c>
      <c r="W196" s="6" cm="1">
        <f t="array" ref="W196">_xlfn.IFS(
P196="FLAT8",8%,
P196="FLAT10",10%,
P196="FLAT15",15%,P196="FLAT20",20%,P196="DEL0",0%,
TRUE,0%
)</f>
        <v>0.2</v>
      </c>
      <c r="X196" s="5">
        <f>Table1[[#This Row],[Amount]]-(Table1[[#This Row],[Amount]]*Table1[[#This Row],[Discount_Percentage]])</f>
        <v>519</v>
      </c>
      <c r="Y196" s="5">
        <f>IF(P196="DEL0",Table1[[#This Row],[Discount_Amount]],Table1[[#This Row],[Discount_Amount]]+Table1[[#This Row],[Delivery_Charge]])</f>
        <v>557</v>
      </c>
      <c r="Z196" s="7" t="str">
        <f>_xlfn.CONCAT(Table1[[#This Row],[First_Name]],"  ",Table1[[#This Row],[Last_Name]])</f>
        <v>Christine  Aguilar</v>
      </c>
      <c r="AA196" s="5" t="str" cm="1">
        <f t="array" ref="AA196">_xlfn.IFS( (S196-K196)&gt;Q196,"Late", (S196-K196)=Q196,"InTime", (S196-K196)&lt;Q196,"BeforeTime" )</f>
        <v>InTime</v>
      </c>
      <c r="AB196" s="3">
        <f>MONTH(Table1[[#This Row],[Order_Date]])</f>
        <v>5</v>
      </c>
    </row>
    <row r="197" spans="1:28" x14ac:dyDescent="0.3">
      <c r="A197" s="3" t="s">
        <v>507</v>
      </c>
      <c r="B197" s="3" t="s">
        <v>508</v>
      </c>
      <c r="C197" s="3" t="s">
        <v>509</v>
      </c>
      <c r="D197" s="3" t="str">
        <f>_xlfn.CONCAT(Table1[[#This Row],[First_Name]],Table1[[#This Row],[Last_Name]])</f>
        <v>SarahButler</v>
      </c>
      <c r="E197" s="3">
        <v>64</v>
      </c>
      <c r="F197" s="3" t="s">
        <v>29</v>
      </c>
      <c r="G197" s="3" t="s">
        <v>30</v>
      </c>
      <c r="H197" s="3" t="s">
        <v>510</v>
      </c>
      <c r="I197" s="3" t="s">
        <v>511</v>
      </c>
      <c r="J197" s="3" t="s">
        <v>1049</v>
      </c>
      <c r="K197" s="4">
        <v>45282</v>
      </c>
      <c r="L197" s="3" t="s">
        <v>1050</v>
      </c>
      <c r="M197" s="3" t="s">
        <v>984</v>
      </c>
      <c r="N197" s="3">
        <v>33.49</v>
      </c>
      <c r="O197" s="3">
        <v>3</v>
      </c>
      <c r="P197" s="3" t="s">
        <v>58</v>
      </c>
      <c r="Q197" s="3">
        <v>2</v>
      </c>
      <c r="R197" s="3">
        <v>62</v>
      </c>
      <c r="S197" s="4">
        <v>45284</v>
      </c>
      <c r="T197" s="3" t="s">
        <v>1051</v>
      </c>
      <c r="U197" s="5">
        <f>Table1[[#This Row],[Delivery_Date]]-Table1[[#This Row],[Order_Date]]</f>
        <v>2</v>
      </c>
      <c r="V197" s="5">
        <f>Table1[[#This Row],[Price]]*Table1[[#This Row],[Quantity]]</f>
        <v>100.47</v>
      </c>
      <c r="W197" s="6" cm="1">
        <f t="array" ref="W197">_xlfn.IFS(
P197="FLAT8",8%,
P197="FLAT10",10%,
P197="FLAT15",15%,P197="FLAT20",20%,P197="DEL0",0%,
TRUE,0%
)</f>
        <v>0.15</v>
      </c>
      <c r="X197" s="5">
        <f>Table1[[#This Row],[Amount]]-(Table1[[#This Row],[Amount]]*Table1[[#This Row],[Discount_Percentage]])</f>
        <v>85.399500000000003</v>
      </c>
      <c r="Y197" s="5">
        <f>IF(P197="DEL0",Table1[[#This Row],[Discount_Amount]],Table1[[#This Row],[Discount_Amount]]+Table1[[#This Row],[Delivery_Charge]])</f>
        <v>147.39949999999999</v>
      </c>
      <c r="Z197" s="7" t="str">
        <f>_xlfn.CONCAT(Table1[[#This Row],[First_Name]],"  ",Table1[[#This Row],[Last_Name]])</f>
        <v>Sarah  Butler</v>
      </c>
      <c r="AA197" s="5" t="str" cm="1">
        <f t="array" ref="AA197">_xlfn.IFS( (S197-K197)&gt;Q197,"Late", (S197-K197)=Q197,"InTime", (S197-K197)&lt;Q197,"BeforeTime" )</f>
        <v>InTime</v>
      </c>
      <c r="AB197" s="3">
        <f>MONTH(Table1[[#This Row],[Order_Date]])</f>
        <v>12</v>
      </c>
    </row>
    <row r="198" spans="1:28" x14ac:dyDescent="0.3">
      <c r="A198" s="3" t="s">
        <v>535</v>
      </c>
      <c r="B198" s="3" t="s">
        <v>536</v>
      </c>
      <c r="C198" s="3" t="s">
        <v>537</v>
      </c>
      <c r="D198" s="3" t="str">
        <f>_xlfn.CONCAT(Table1[[#This Row],[First_Name]],Table1[[#This Row],[Last_Name]])</f>
        <v>BrandonCruz</v>
      </c>
      <c r="E198" s="3">
        <v>32</v>
      </c>
      <c r="F198" s="3" t="s">
        <v>52</v>
      </c>
      <c r="G198" s="3" t="s">
        <v>90</v>
      </c>
      <c r="H198" s="3" t="s">
        <v>538</v>
      </c>
      <c r="I198" s="3" t="s">
        <v>539</v>
      </c>
      <c r="J198" s="3" t="s">
        <v>1052</v>
      </c>
      <c r="K198" s="4">
        <v>45689</v>
      </c>
      <c r="L198" s="3" t="s">
        <v>1053</v>
      </c>
      <c r="M198" s="3" t="s">
        <v>81</v>
      </c>
      <c r="N198" s="3">
        <v>330.11</v>
      </c>
      <c r="O198" s="3">
        <v>4</v>
      </c>
      <c r="P198" s="3" t="s">
        <v>85</v>
      </c>
      <c r="Q198" s="3">
        <v>2</v>
      </c>
      <c r="R198" s="3">
        <v>69</v>
      </c>
      <c r="S198" s="4">
        <v>45695</v>
      </c>
      <c r="T198" s="3" t="s">
        <v>1054</v>
      </c>
      <c r="U198" s="5">
        <f>Table1[[#This Row],[Delivery_Date]]-Table1[[#This Row],[Order_Date]]</f>
        <v>6</v>
      </c>
      <c r="V198" s="5">
        <f>Table1[[#This Row],[Price]]*Table1[[#This Row],[Quantity]]</f>
        <v>1320.44</v>
      </c>
      <c r="W198" s="6" cm="1">
        <f t="array" ref="W198">_xlfn.IFS(
P198="FLAT8",8%,
P198="FLAT10",10%,
P198="FLAT15",15%,P198="FLAT20",20%,P198="DEL0",0%,
TRUE,0%
)</f>
        <v>0.2</v>
      </c>
      <c r="X198" s="5">
        <f>Table1[[#This Row],[Amount]]-(Table1[[#This Row],[Amount]]*Table1[[#This Row],[Discount_Percentage]])</f>
        <v>1056.3520000000001</v>
      </c>
      <c r="Y198" s="5">
        <f>IF(P198="DEL0",Table1[[#This Row],[Discount_Amount]],Table1[[#This Row],[Discount_Amount]]+Table1[[#This Row],[Delivery_Charge]])</f>
        <v>1125.3520000000001</v>
      </c>
      <c r="Z198" s="7" t="str">
        <f>_xlfn.CONCAT(Table1[[#This Row],[First_Name]],"  ",Table1[[#This Row],[Last_Name]])</f>
        <v>Brandon  Cruz</v>
      </c>
      <c r="AA198" s="5" t="str" cm="1">
        <f t="array" ref="AA198">_xlfn.IFS( (S198-K198)&gt;Q198,"Late", (S198-K198)=Q198,"InTime", (S198-K198)&lt;Q198,"BeforeTime" )</f>
        <v>Late</v>
      </c>
      <c r="AB198" s="3">
        <f>MONTH(Table1[[#This Row],[Order_Date]])</f>
        <v>2</v>
      </c>
    </row>
    <row r="199" spans="1:28" x14ac:dyDescent="0.3">
      <c r="A199" s="3" t="s">
        <v>401</v>
      </c>
      <c r="B199" s="3" t="s">
        <v>402</v>
      </c>
      <c r="C199" s="3" t="s">
        <v>403</v>
      </c>
      <c r="D199" s="3" t="str">
        <f>_xlfn.CONCAT(Table1[[#This Row],[First_Name]],Table1[[#This Row],[Last_Name]])</f>
        <v>AlexandraSmith</v>
      </c>
      <c r="E199" s="3">
        <v>70</v>
      </c>
      <c r="F199" s="3" t="s">
        <v>29</v>
      </c>
      <c r="G199" s="3" t="s">
        <v>30</v>
      </c>
      <c r="H199" s="3" t="s">
        <v>404</v>
      </c>
      <c r="I199" s="3" t="s">
        <v>405</v>
      </c>
      <c r="J199" s="3" t="s">
        <v>1055</v>
      </c>
      <c r="K199" s="4">
        <v>45045</v>
      </c>
      <c r="L199" s="3" t="s">
        <v>1056</v>
      </c>
      <c r="M199" s="3" t="s">
        <v>57</v>
      </c>
      <c r="N199" s="3">
        <v>202.54</v>
      </c>
      <c r="O199" s="3">
        <v>5</v>
      </c>
      <c r="P199" s="3" t="s">
        <v>58</v>
      </c>
      <c r="Q199" s="3">
        <v>1</v>
      </c>
      <c r="R199" s="3">
        <v>47</v>
      </c>
      <c r="S199" s="4">
        <v>45051</v>
      </c>
      <c r="T199" s="3" t="s">
        <v>1057</v>
      </c>
      <c r="U199" s="5">
        <f>Table1[[#This Row],[Delivery_Date]]-Table1[[#This Row],[Order_Date]]</f>
        <v>6</v>
      </c>
      <c r="V199" s="5">
        <f>Table1[[#This Row],[Price]]*Table1[[#This Row],[Quantity]]</f>
        <v>1012.6999999999999</v>
      </c>
      <c r="W199" s="6" cm="1">
        <f t="array" ref="W199">_xlfn.IFS(
P199="FLAT8",8%,
P199="FLAT10",10%,
P199="FLAT15",15%,P199="FLAT20",20%,P199="DEL0",0%,
TRUE,0%
)</f>
        <v>0.15</v>
      </c>
      <c r="X199" s="5">
        <f>Table1[[#This Row],[Amount]]-(Table1[[#This Row],[Amount]]*Table1[[#This Row],[Discount_Percentage]])</f>
        <v>860.79499999999996</v>
      </c>
      <c r="Y199" s="5">
        <f>IF(P199="DEL0",Table1[[#This Row],[Discount_Amount]],Table1[[#This Row],[Discount_Amount]]+Table1[[#This Row],[Delivery_Charge]])</f>
        <v>907.79499999999996</v>
      </c>
      <c r="Z199" s="7" t="str">
        <f>_xlfn.CONCAT(Table1[[#This Row],[First_Name]],"  ",Table1[[#This Row],[Last_Name]])</f>
        <v>Alexandra  Smith</v>
      </c>
      <c r="AA199" s="5" t="str" cm="1">
        <f t="array" ref="AA199">_xlfn.IFS( (S199-K199)&gt;Q199,"Late", (S199-K199)=Q199,"InTime", (S199-K199)&lt;Q199,"BeforeTime" )</f>
        <v>Late</v>
      </c>
      <c r="AB199" s="3">
        <f>MONTH(Table1[[#This Row],[Order_Date]])</f>
        <v>4</v>
      </c>
    </row>
    <row r="200" spans="1:28" x14ac:dyDescent="0.3">
      <c r="A200" s="3" t="s">
        <v>575</v>
      </c>
      <c r="B200" s="3" t="s">
        <v>256</v>
      </c>
      <c r="C200" s="3" t="s">
        <v>576</v>
      </c>
      <c r="D200" s="3" t="str">
        <f>_xlfn.CONCAT(Table1[[#This Row],[First_Name]],Table1[[#This Row],[Last_Name]])</f>
        <v>AshleyRomero</v>
      </c>
      <c r="E200" s="3">
        <v>35</v>
      </c>
      <c r="F200" s="3" t="s">
        <v>29</v>
      </c>
      <c r="G200" s="3" t="s">
        <v>30</v>
      </c>
      <c r="H200" s="3" t="s">
        <v>577</v>
      </c>
      <c r="I200" s="3" t="s">
        <v>578</v>
      </c>
      <c r="J200" s="3" t="s">
        <v>1058</v>
      </c>
      <c r="K200" s="4">
        <v>45253</v>
      </c>
      <c r="L200" s="3" t="s">
        <v>1059</v>
      </c>
      <c r="M200" s="3" t="s">
        <v>47</v>
      </c>
      <c r="N200" s="3">
        <v>166.28</v>
      </c>
      <c r="O200" s="3">
        <v>4</v>
      </c>
      <c r="P200" s="3" t="s">
        <v>96</v>
      </c>
      <c r="Q200" s="3">
        <v>4</v>
      </c>
      <c r="R200" s="3">
        <v>44</v>
      </c>
      <c r="S200" s="4">
        <v>45257</v>
      </c>
      <c r="T200" s="3" t="s">
        <v>1060</v>
      </c>
      <c r="U200" s="5">
        <f>Table1[[#This Row],[Delivery_Date]]-Table1[[#This Row],[Order_Date]]</f>
        <v>4</v>
      </c>
      <c r="V200" s="5">
        <f>Table1[[#This Row],[Price]]*Table1[[#This Row],[Quantity]]</f>
        <v>665.12</v>
      </c>
      <c r="W200" s="6" cm="1">
        <f t="array" ref="W200">_xlfn.IFS(
P200="FLAT8",8%,
P200="FLAT10",10%,
P200="FLAT15",15%,P200="FLAT20",20%,P200="DEL0",0%,
TRUE,0%
)</f>
        <v>0.1</v>
      </c>
      <c r="X200" s="5">
        <f>Table1[[#This Row],[Amount]]-(Table1[[#This Row],[Amount]]*Table1[[#This Row],[Discount_Percentage]])</f>
        <v>598.60799999999995</v>
      </c>
      <c r="Y200" s="5">
        <f>IF(P200="DEL0",Table1[[#This Row],[Discount_Amount]],Table1[[#This Row],[Discount_Amount]]+Table1[[#This Row],[Delivery_Charge]])</f>
        <v>642.60799999999995</v>
      </c>
      <c r="Z200" s="7" t="str">
        <f>_xlfn.CONCAT(Table1[[#This Row],[First_Name]],"  ",Table1[[#This Row],[Last_Name]])</f>
        <v>Ashley  Romero</v>
      </c>
      <c r="AA200" s="5" t="str" cm="1">
        <f t="array" ref="AA200">_xlfn.IFS( (S200-K200)&gt;Q200,"Late", (S200-K200)=Q200,"InTime", (S200-K200)&lt;Q200,"BeforeTime" )</f>
        <v>InTime</v>
      </c>
      <c r="AB200" s="3">
        <f>MONTH(Table1[[#This Row],[Order_Date]])</f>
        <v>11</v>
      </c>
    </row>
    <row r="201" spans="1:28" x14ac:dyDescent="0.3">
      <c r="A201" s="3" t="s">
        <v>435</v>
      </c>
      <c r="B201" s="3" t="s">
        <v>436</v>
      </c>
      <c r="C201" s="3" t="s">
        <v>437</v>
      </c>
      <c r="D201" s="3" t="str">
        <f>_xlfn.CONCAT(Table1[[#This Row],[First_Name]],Table1[[#This Row],[Last_Name]])</f>
        <v>MaryKnight</v>
      </c>
      <c r="E201" s="3">
        <v>28</v>
      </c>
      <c r="F201" s="3" t="s">
        <v>52</v>
      </c>
      <c r="G201" s="3" t="s">
        <v>76</v>
      </c>
      <c r="H201" s="3" t="s">
        <v>438</v>
      </c>
      <c r="I201" s="3" t="s">
        <v>439</v>
      </c>
      <c r="J201" s="3" t="s">
        <v>1061</v>
      </c>
      <c r="K201" s="4">
        <v>45523</v>
      </c>
      <c r="L201" s="3" t="s">
        <v>1062</v>
      </c>
      <c r="M201" s="3" t="s">
        <v>871</v>
      </c>
      <c r="N201" s="3">
        <v>292.14999999999998</v>
      </c>
      <c r="O201" s="3">
        <v>2</v>
      </c>
      <c r="P201" s="3" t="s">
        <v>58</v>
      </c>
      <c r="Q201" s="3">
        <v>4</v>
      </c>
      <c r="R201" s="3">
        <v>58</v>
      </c>
      <c r="S201" s="4">
        <v>45526</v>
      </c>
      <c r="T201" s="3" t="s">
        <v>1063</v>
      </c>
      <c r="U201" s="5">
        <f>Table1[[#This Row],[Delivery_Date]]-Table1[[#This Row],[Order_Date]]</f>
        <v>3</v>
      </c>
      <c r="V201" s="5">
        <f>Table1[[#This Row],[Price]]*Table1[[#This Row],[Quantity]]</f>
        <v>584.29999999999995</v>
      </c>
      <c r="W201" s="6" cm="1">
        <f t="array" ref="W201">_xlfn.IFS(
P201="FLAT8",8%,
P201="FLAT10",10%,
P201="FLAT15",15%,P201="FLAT20",20%,P201="DEL0",0%,
TRUE,0%
)</f>
        <v>0.15</v>
      </c>
      <c r="X201" s="5">
        <f>Table1[[#This Row],[Amount]]-(Table1[[#This Row],[Amount]]*Table1[[#This Row],[Discount_Percentage]])</f>
        <v>496.65499999999997</v>
      </c>
      <c r="Y201" s="5">
        <f>IF(P201="DEL0",Table1[[#This Row],[Discount_Amount]],Table1[[#This Row],[Discount_Amount]]+Table1[[#This Row],[Delivery_Charge]])</f>
        <v>554.65499999999997</v>
      </c>
      <c r="Z201" s="7" t="str">
        <f>_xlfn.CONCAT(Table1[[#This Row],[First_Name]],"  ",Table1[[#This Row],[Last_Name]])</f>
        <v>Mary  Knight</v>
      </c>
      <c r="AA201" s="5" t="str" cm="1">
        <f t="array" ref="AA201">_xlfn.IFS( (S201-K201)&gt;Q201,"Late", (S201-K201)=Q201,"InTime", (S201-K201)&lt;Q201,"BeforeTime" )</f>
        <v>BeforeTime</v>
      </c>
      <c r="AB201" s="3">
        <f>MONTH(Table1[[#This Row],[Order_Date]])</f>
        <v>8</v>
      </c>
    </row>
    <row r="202" spans="1:28" x14ac:dyDescent="0.3">
      <c r="A202" s="3" t="s">
        <v>1042</v>
      </c>
      <c r="B202" s="3" t="s">
        <v>74</v>
      </c>
      <c r="C202" s="3" t="s">
        <v>1043</v>
      </c>
      <c r="D202" s="3" t="str">
        <f>_xlfn.CONCAT(Table1[[#This Row],[First_Name]],Table1[[#This Row],[Last_Name]])</f>
        <v>ChristineAguilar</v>
      </c>
      <c r="E202" s="3">
        <v>46</v>
      </c>
      <c r="F202" s="3" t="s">
        <v>29</v>
      </c>
      <c r="G202" s="3" t="s">
        <v>30</v>
      </c>
      <c r="H202" s="3" t="s">
        <v>1044</v>
      </c>
      <c r="I202" s="3" t="s">
        <v>1045</v>
      </c>
      <c r="J202" s="3" t="s">
        <v>1064</v>
      </c>
      <c r="K202" s="4">
        <v>45481</v>
      </c>
      <c r="L202" s="3" t="s">
        <v>1065</v>
      </c>
      <c r="M202" s="3" t="s">
        <v>173</v>
      </c>
      <c r="N202" s="3">
        <v>272.51</v>
      </c>
      <c r="O202" s="3">
        <v>4</v>
      </c>
      <c r="P202" s="3" t="s">
        <v>63</v>
      </c>
      <c r="Q202" s="3">
        <v>7</v>
      </c>
      <c r="R202" s="3">
        <v>38</v>
      </c>
      <c r="S202" s="4">
        <v>45482</v>
      </c>
      <c r="T202" s="3" t="s">
        <v>1066</v>
      </c>
      <c r="U202" s="5">
        <f>Table1[[#This Row],[Delivery_Date]]-Table1[[#This Row],[Order_Date]]</f>
        <v>1</v>
      </c>
      <c r="V202" s="5">
        <f>Table1[[#This Row],[Price]]*Table1[[#This Row],[Quantity]]</f>
        <v>1090.04</v>
      </c>
      <c r="W202" s="6" cm="1">
        <f t="array" ref="W202">_xlfn.IFS(
P202="FLAT8",8%,
P202="FLAT10",10%,
P202="FLAT15",15%,P202="FLAT20",20%,P202="DEL0",0%,
TRUE,0%
)</f>
        <v>0</v>
      </c>
      <c r="X202" s="5">
        <f>Table1[[#This Row],[Amount]]-(Table1[[#This Row],[Amount]]*Table1[[#This Row],[Discount_Percentage]])</f>
        <v>1090.04</v>
      </c>
      <c r="Y202" s="5">
        <f>IF(P202="DEL0",Table1[[#This Row],[Discount_Amount]],Table1[[#This Row],[Discount_Amount]]+Table1[[#This Row],[Delivery_Charge]])</f>
        <v>1090.04</v>
      </c>
      <c r="Z202" s="7" t="str">
        <f>_xlfn.CONCAT(Table1[[#This Row],[First_Name]],"  ",Table1[[#This Row],[Last_Name]])</f>
        <v>Christine  Aguilar</v>
      </c>
      <c r="AA202" s="5" t="str" cm="1">
        <f t="array" ref="AA202">_xlfn.IFS( (S202-K202)&gt;Q202,"Late", (S202-K202)=Q202,"InTime", (S202-K202)&lt;Q202,"BeforeTime" )</f>
        <v>BeforeTime</v>
      </c>
      <c r="AB202" s="3">
        <f>MONTH(Table1[[#This Row],[Order_Date]])</f>
        <v>7</v>
      </c>
    </row>
    <row r="203" spans="1:28" x14ac:dyDescent="0.3">
      <c r="A203" s="3" t="s">
        <v>316</v>
      </c>
      <c r="B203" s="3" t="s">
        <v>317</v>
      </c>
      <c r="C203" s="3" t="s">
        <v>318</v>
      </c>
      <c r="D203" s="3" t="str">
        <f>_xlfn.CONCAT(Table1[[#This Row],[First_Name]],Table1[[#This Row],[Last_Name]])</f>
        <v>JennyEstrada</v>
      </c>
      <c r="E203" s="3">
        <v>45</v>
      </c>
      <c r="F203" s="3" t="s">
        <v>29</v>
      </c>
      <c r="G203" s="3" t="s">
        <v>42</v>
      </c>
      <c r="H203" s="3" t="s">
        <v>319</v>
      </c>
      <c r="I203" s="3" t="s">
        <v>320</v>
      </c>
      <c r="J203" s="3" t="s">
        <v>1067</v>
      </c>
      <c r="K203" s="4">
        <v>45079</v>
      </c>
      <c r="L203" s="3" t="s">
        <v>1068</v>
      </c>
      <c r="M203" s="3" t="s">
        <v>287</v>
      </c>
      <c r="N203" s="3">
        <v>157.63999999999999</v>
      </c>
      <c r="O203" s="3">
        <v>3</v>
      </c>
      <c r="P203" s="3" t="s">
        <v>85</v>
      </c>
      <c r="Q203" s="3">
        <v>2</v>
      </c>
      <c r="R203" s="3">
        <v>47</v>
      </c>
      <c r="S203" s="4">
        <v>45085</v>
      </c>
      <c r="T203" s="3" t="s">
        <v>1069</v>
      </c>
      <c r="U203" s="5">
        <f>Table1[[#This Row],[Delivery_Date]]-Table1[[#This Row],[Order_Date]]</f>
        <v>6</v>
      </c>
      <c r="V203" s="5">
        <f>Table1[[#This Row],[Price]]*Table1[[#This Row],[Quantity]]</f>
        <v>472.91999999999996</v>
      </c>
      <c r="W203" s="6" cm="1">
        <f t="array" ref="W203">_xlfn.IFS(
P203="FLAT8",8%,
P203="FLAT10",10%,
P203="FLAT15",15%,P203="FLAT20",20%,P203="DEL0",0%,
TRUE,0%
)</f>
        <v>0.2</v>
      </c>
      <c r="X203" s="5">
        <f>Table1[[#This Row],[Amount]]-(Table1[[#This Row],[Amount]]*Table1[[#This Row],[Discount_Percentage]])</f>
        <v>378.33599999999996</v>
      </c>
      <c r="Y203" s="5">
        <f>IF(P203="DEL0",Table1[[#This Row],[Discount_Amount]],Table1[[#This Row],[Discount_Amount]]+Table1[[#This Row],[Delivery_Charge]])</f>
        <v>425.33599999999996</v>
      </c>
      <c r="Z203" s="7" t="str">
        <f>_xlfn.CONCAT(Table1[[#This Row],[First_Name]],"  ",Table1[[#This Row],[Last_Name]])</f>
        <v>Jenny  Estrada</v>
      </c>
      <c r="AA203" s="5" t="str" cm="1">
        <f t="array" ref="AA203">_xlfn.IFS( (S203-K203)&gt;Q203,"Late", (S203-K203)=Q203,"InTime", (S203-K203)&lt;Q203,"BeforeTime" )</f>
        <v>Late</v>
      </c>
      <c r="AB203" s="3">
        <f>MONTH(Table1[[#This Row],[Order_Date]])</f>
        <v>6</v>
      </c>
    </row>
    <row r="204" spans="1:28" x14ac:dyDescent="0.3">
      <c r="A204" s="3" t="s">
        <v>301</v>
      </c>
      <c r="B204" s="3" t="s">
        <v>302</v>
      </c>
      <c r="C204" s="3" t="s">
        <v>303</v>
      </c>
      <c r="D204" s="3" t="str">
        <f>_xlfn.CONCAT(Table1[[#This Row],[First_Name]],Table1[[#This Row],[Last_Name]])</f>
        <v>ValerieCarr</v>
      </c>
      <c r="E204" s="3">
        <v>26</v>
      </c>
      <c r="F204" s="3" t="s">
        <v>52</v>
      </c>
      <c r="G204" s="3" t="s">
        <v>168</v>
      </c>
      <c r="H204" s="3" t="s">
        <v>304</v>
      </c>
      <c r="I204" s="3" t="s">
        <v>305</v>
      </c>
      <c r="J204" s="3" t="s">
        <v>1070</v>
      </c>
      <c r="K204" s="4">
        <v>45053</v>
      </c>
      <c r="L204" s="3" t="s">
        <v>1071</v>
      </c>
      <c r="M204" s="3" t="s">
        <v>270</v>
      </c>
      <c r="N204" s="3">
        <v>62.42</v>
      </c>
      <c r="O204" s="3">
        <v>3</v>
      </c>
      <c r="P204" s="3" t="s">
        <v>58</v>
      </c>
      <c r="Q204" s="3">
        <v>5</v>
      </c>
      <c r="R204" s="3">
        <v>62</v>
      </c>
      <c r="S204" s="4">
        <v>45058</v>
      </c>
      <c r="T204" s="3" t="s">
        <v>1072</v>
      </c>
      <c r="U204" s="5">
        <f>Table1[[#This Row],[Delivery_Date]]-Table1[[#This Row],[Order_Date]]</f>
        <v>5</v>
      </c>
      <c r="V204" s="5">
        <f>Table1[[#This Row],[Price]]*Table1[[#This Row],[Quantity]]</f>
        <v>187.26</v>
      </c>
      <c r="W204" s="6" cm="1">
        <f t="array" ref="W204">_xlfn.IFS(
P204="FLAT8",8%,
P204="FLAT10",10%,
P204="FLAT15",15%,P204="FLAT20",20%,P204="DEL0",0%,
TRUE,0%
)</f>
        <v>0.15</v>
      </c>
      <c r="X204" s="5">
        <f>Table1[[#This Row],[Amount]]-(Table1[[#This Row],[Amount]]*Table1[[#This Row],[Discount_Percentage]])</f>
        <v>159.17099999999999</v>
      </c>
      <c r="Y204" s="5">
        <f>IF(P204="DEL0",Table1[[#This Row],[Discount_Amount]],Table1[[#This Row],[Discount_Amount]]+Table1[[#This Row],[Delivery_Charge]])</f>
        <v>221.17099999999999</v>
      </c>
      <c r="Z204" s="7" t="str">
        <f>_xlfn.CONCAT(Table1[[#This Row],[First_Name]],"  ",Table1[[#This Row],[Last_Name]])</f>
        <v>Valerie  Carr</v>
      </c>
      <c r="AA204" s="5" t="str" cm="1">
        <f t="array" ref="AA204">_xlfn.IFS( (S204-K204)&gt;Q204,"Late", (S204-K204)=Q204,"InTime", (S204-K204)&lt;Q204,"BeforeTime" )</f>
        <v>InTime</v>
      </c>
      <c r="AB204" s="3">
        <f>MONTH(Table1[[#This Row],[Order_Date]])</f>
        <v>5</v>
      </c>
    </row>
    <row r="205" spans="1:28" x14ac:dyDescent="0.3">
      <c r="A205" s="3" t="s">
        <v>520</v>
      </c>
      <c r="B205" s="3" t="s">
        <v>521</v>
      </c>
      <c r="C205" s="3" t="s">
        <v>522</v>
      </c>
      <c r="D205" s="3" t="str">
        <f>_xlfn.CONCAT(Table1[[#This Row],[First_Name]],Table1[[#This Row],[Last_Name]])</f>
        <v>KatherineWeber</v>
      </c>
      <c r="E205" s="3">
        <v>42</v>
      </c>
      <c r="F205" s="3" t="s">
        <v>52</v>
      </c>
      <c r="G205" s="3" t="s">
        <v>76</v>
      </c>
      <c r="H205" s="3" t="s">
        <v>523</v>
      </c>
      <c r="I205" s="3" t="s">
        <v>524</v>
      </c>
      <c r="J205" s="3" t="s">
        <v>1073</v>
      </c>
      <c r="K205" s="4">
        <v>45495</v>
      </c>
      <c r="L205" s="3" t="s">
        <v>1074</v>
      </c>
      <c r="M205" s="3" t="s">
        <v>95</v>
      </c>
      <c r="N205" s="3">
        <v>363.64</v>
      </c>
      <c r="O205" s="3">
        <v>3</v>
      </c>
      <c r="P205" s="3" t="s">
        <v>36</v>
      </c>
      <c r="Q205" s="3">
        <v>5</v>
      </c>
      <c r="R205" s="3">
        <v>53</v>
      </c>
      <c r="S205" s="4">
        <v>45502</v>
      </c>
      <c r="T205" s="3" t="s">
        <v>1075</v>
      </c>
      <c r="U205" s="5">
        <f>Table1[[#This Row],[Delivery_Date]]-Table1[[#This Row],[Order_Date]]</f>
        <v>7</v>
      </c>
      <c r="V205" s="5">
        <f>Table1[[#This Row],[Price]]*Table1[[#This Row],[Quantity]]</f>
        <v>1090.92</v>
      </c>
      <c r="W205" s="6" cm="1">
        <f t="array" ref="W205">_xlfn.IFS(
P205="FLAT8",8%,
P205="FLAT10",10%,
P205="FLAT15",15%,P205="FLAT20",20%,P205="DEL0",0%,
TRUE,0%
)</f>
        <v>0.08</v>
      </c>
      <c r="X205" s="5">
        <f>Table1[[#This Row],[Amount]]-(Table1[[#This Row],[Amount]]*Table1[[#This Row],[Discount_Percentage]])</f>
        <v>1003.6464000000001</v>
      </c>
      <c r="Y205" s="5">
        <f>IF(P205="DEL0",Table1[[#This Row],[Discount_Amount]],Table1[[#This Row],[Discount_Amount]]+Table1[[#This Row],[Delivery_Charge]])</f>
        <v>1056.6464000000001</v>
      </c>
      <c r="Z205" s="7" t="str">
        <f>_xlfn.CONCAT(Table1[[#This Row],[First_Name]],"  ",Table1[[#This Row],[Last_Name]])</f>
        <v>Katherine  Weber</v>
      </c>
      <c r="AA205" s="5" t="str" cm="1">
        <f t="array" ref="AA205">_xlfn.IFS( (S205-K205)&gt;Q205,"Late", (S205-K205)=Q205,"InTime", (S205-K205)&lt;Q205,"BeforeTime" )</f>
        <v>Late</v>
      </c>
      <c r="AB205" s="3">
        <f>MONTH(Table1[[#This Row],[Order_Date]])</f>
        <v>7</v>
      </c>
    </row>
    <row r="206" spans="1:28" x14ac:dyDescent="0.3">
      <c r="A206" s="3" t="s">
        <v>546</v>
      </c>
      <c r="B206" s="3" t="s">
        <v>547</v>
      </c>
      <c r="C206" s="3" t="s">
        <v>548</v>
      </c>
      <c r="D206" s="3" t="str">
        <f>_xlfn.CONCAT(Table1[[#This Row],[First_Name]],Table1[[#This Row],[Last_Name]])</f>
        <v>JodiWhitney</v>
      </c>
      <c r="E206" s="3">
        <v>33</v>
      </c>
      <c r="F206" s="3" t="s">
        <v>52</v>
      </c>
      <c r="G206" s="3" t="s">
        <v>168</v>
      </c>
      <c r="H206" s="3" t="s">
        <v>549</v>
      </c>
      <c r="I206" s="3" t="s">
        <v>550</v>
      </c>
      <c r="J206" s="3" t="s">
        <v>1076</v>
      </c>
      <c r="K206" s="4">
        <v>45125</v>
      </c>
      <c r="L206" s="3" t="s">
        <v>1077</v>
      </c>
      <c r="M206" s="3" t="s">
        <v>573</v>
      </c>
      <c r="N206" s="3">
        <v>477.52</v>
      </c>
      <c r="O206" s="3">
        <v>4</v>
      </c>
      <c r="P206" s="3" t="s">
        <v>85</v>
      </c>
      <c r="Q206" s="3">
        <v>5</v>
      </c>
      <c r="R206" s="3">
        <v>55</v>
      </c>
      <c r="S206" s="4">
        <v>45127</v>
      </c>
      <c r="T206" s="3" t="s">
        <v>1078</v>
      </c>
      <c r="U206" s="5">
        <f>Table1[[#This Row],[Delivery_Date]]-Table1[[#This Row],[Order_Date]]</f>
        <v>2</v>
      </c>
      <c r="V206" s="5">
        <f>Table1[[#This Row],[Price]]*Table1[[#This Row],[Quantity]]</f>
        <v>1910.08</v>
      </c>
      <c r="W206" s="6" cm="1">
        <f t="array" ref="W206">_xlfn.IFS(
P206="FLAT8",8%,
P206="FLAT10",10%,
P206="FLAT15",15%,P206="FLAT20",20%,P206="DEL0",0%,
TRUE,0%
)</f>
        <v>0.2</v>
      </c>
      <c r="X206" s="5">
        <f>Table1[[#This Row],[Amount]]-(Table1[[#This Row],[Amount]]*Table1[[#This Row],[Discount_Percentage]])</f>
        <v>1528.0639999999999</v>
      </c>
      <c r="Y206" s="5">
        <f>IF(P206="DEL0",Table1[[#This Row],[Discount_Amount]],Table1[[#This Row],[Discount_Amount]]+Table1[[#This Row],[Delivery_Charge]])</f>
        <v>1583.0639999999999</v>
      </c>
      <c r="Z206" s="7" t="str">
        <f>_xlfn.CONCAT(Table1[[#This Row],[First_Name]],"  ",Table1[[#This Row],[Last_Name]])</f>
        <v>Jodi  Whitney</v>
      </c>
      <c r="AA206" s="5" t="str" cm="1">
        <f t="array" ref="AA206">_xlfn.IFS( (S206-K206)&gt;Q206,"Late", (S206-K206)=Q206,"InTime", (S206-K206)&lt;Q206,"BeforeTime" )</f>
        <v>BeforeTime</v>
      </c>
      <c r="AB206" s="3">
        <f>MONTH(Table1[[#This Row],[Order_Date]])</f>
        <v>7</v>
      </c>
    </row>
    <row r="207" spans="1:28" x14ac:dyDescent="0.3">
      <c r="A207" s="3" t="s">
        <v>1079</v>
      </c>
      <c r="B207" s="3" t="s">
        <v>218</v>
      </c>
      <c r="C207" s="3" t="s">
        <v>1080</v>
      </c>
      <c r="D207" s="3" t="str">
        <f>_xlfn.CONCAT(Table1[[#This Row],[First_Name]],Table1[[#This Row],[Last_Name]])</f>
        <v>MarkSummers</v>
      </c>
      <c r="E207" s="3">
        <v>55</v>
      </c>
      <c r="F207" s="3" t="s">
        <v>41</v>
      </c>
      <c r="G207" s="3" t="s">
        <v>159</v>
      </c>
      <c r="H207" s="3" t="s">
        <v>1081</v>
      </c>
      <c r="I207" s="3" t="s">
        <v>1082</v>
      </c>
      <c r="J207" s="3" t="s">
        <v>1083</v>
      </c>
      <c r="K207" s="4">
        <v>45168</v>
      </c>
      <c r="L207" s="3" t="s">
        <v>1084</v>
      </c>
      <c r="M207" s="3" t="s">
        <v>242</v>
      </c>
      <c r="N207" s="3">
        <v>126.19</v>
      </c>
      <c r="O207" s="3">
        <v>2</v>
      </c>
      <c r="P207" s="3" t="s">
        <v>63</v>
      </c>
      <c r="Q207" s="3">
        <v>5</v>
      </c>
      <c r="R207" s="3">
        <v>59</v>
      </c>
      <c r="S207" s="4">
        <v>45174</v>
      </c>
      <c r="T207" s="3" t="s">
        <v>1085</v>
      </c>
      <c r="U207" s="5">
        <f>Table1[[#This Row],[Delivery_Date]]-Table1[[#This Row],[Order_Date]]</f>
        <v>6</v>
      </c>
      <c r="V207" s="5">
        <f>Table1[[#This Row],[Price]]*Table1[[#This Row],[Quantity]]</f>
        <v>252.38</v>
      </c>
      <c r="W207" s="6" cm="1">
        <f t="array" ref="W207">_xlfn.IFS(
P207="FLAT8",8%,
P207="FLAT10",10%,
P207="FLAT15",15%,P207="FLAT20",20%,P207="DEL0",0%,
TRUE,0%
)</f>
        <v>0</v>
      </c>
      <c r="X207" s="5">
        <f>Table1[[#This Row],[Amount]]-(Table1[[#This Row],[Amount]]*Table1[[#This Row],[Discount_Percentage]])</f>
        <v>252.38</v>
      </c>
      <c r="Y207" s="5">
        <f>IF(P207="DEL0",Table1[[#This Row],[Discount_Amount]],Table1[[#This Row],[Discount_Amount]]+Table1[[#This Row],[Delivery_Charge]])</f>
        <v>252.38</v>
      </c>
      <c r="Z207" s="7" t="str">
        <f>_xlfn.CONCAT(Table1[[#This Row],[First_Name]],"  ",Table1[[#This Row],[Last_Name]])</f>
        <v>Mark  Summers</v>
      </c>
      <c r="AA207" s="5" t="str" cm="1">
        <f t="array" ref="AA207">_xlfn.IFS( (S207-K207)&gt;Q207,"Late", (S207-K207)=Q207,"InTime", (S207-K207)&lt;Q207,"BeforeTime" )</f>
        <v>Late</v>
      </c>
      <c r="AB207" s="3">
        <f>MONTH(Table1[[#This Row],[Order_Date]])</f>
        <v>8</v>
      </c>
    </row>
    <row r="208" spans="1:28" x14ac:dyDescent="0.3">
      <c r="A208" s="3" t="s">
        <v>731</v>
      </c>
      <c r="B208" s="3" t="s">
        <v>732</v>
      </c>
      <c r="C208" s="3" t="s">
        <v>733</v>
      </c>
      <c r="D208" s="3" t="str">
        <f>_xlfn.CONCAT(Table1[[#This Row],[First_Name]],Table1[[#This Row],[Last_Name]])</f>
        <v>MelissaLevy</v>
      </c>
      <c r="E208" s="3">
        <v>30</v>
      </c>
      <c r="F208" s="3" t="s">
        <v>29</v>
      </c>
      <c r="G208" s="3" t="s">
        <v>159</v>
      </c>
      <c r="H208" s="3" t="s">
        <v>734</v>
      </c>
      <c r="I208" s="3" t="s">
        <v>735</v>
      </c>
      <c r="J208" s="3" t="s">
        <v>1086</v>
      </c>
      <c r="K208" s="4">
        <v>45320</v>
      </c>
      <c r="L208" s="3" t="s">
        <v>1087</v>
      </c>
      <c r="M208" s="3" t="s">
        <v>481</v>
      </c>
      <c r="N208" s="3">
        <v>87.09</v>
      </c>
      <c r="O208" s="3">
        <v>1</v>
      </c>
      <c r="P208" s="3" t="s">
        <v>96</v>
      </c>
      <c r="Q208" s="3">
        <v>1</v>
      </c>
      <c r="R208" s="3">
        <v>61</v>
      </c>
      <c r="S208" s="4">
        <v>45321</v>
      </c>
      <c r="T208" s="3" t="s">
        <v>1088</v>
      </c>
      <c r="U208" s="5">
        <f>Table1[[#This Row],[Delivery_Date]]-Table1[[#This Row],[Order_Date]]</f>
        <v>1</v>
      </c>
      <c r="V208" s="5">
        <f>Table1[[#This Row],[Price]]*Table1[[#This Row],[Quantity]]</f>
        <v>87.09</v>
      </c>
      <c r="W208" s="6" cm="1">
        <f t="array" ref="W208">_xlfn.IFS(
P208="FLAT8",8%,
P208="FLAT10",10%,
P208="FLAT15",15%,P208="FLAT20",20%,P208="DEL0",0%,
TRUE,0%
)</f>
        <v>0.1</v>
      </c>
      <c r="X208" s="5">
        <f>Table1[[#This Row],[Amount]]-(Table1[[#This Row],[Amount]]*Table1[[#This Row],[Discount_Percentage]])</f>
        <v>78.381</v>
      </c>
      <c r="Y208" s="5">
        <f>IF(P208="DEL0",Table1[[#This Row],[Discount_Amount]],Table1[[#This Row],[Discount_Amount]]+Table1[[#This Row],[Delivery_Charge]])</f>
        <v>139.381</v>
      </c>
      <c r="Z208" s="7" t="str">
        <f>_xlfn.CONCAT(Table1[[#This Row],[First_Name]],"  ",Table1[[#This Row],[Last_Name]])</f>
        <v>Melissa  Levy</v>
      </c>
      <c r="AA208" s="5" t="str" cm="1">
        <f t="array" ref="AA208">_xlfn.IFS( (S208-K208)&gt;Q208,"Late", (S208-K208)=Q208,"InTime", (S208-K208)&lt;Q208,"BeforeTime" )</f>
        <v>InTime</v>
      </c>
      <c r="AB208" s="3">
        <f>MONTH(Table1[[#This Row],[Order_Date]])</f>
        <v>1</v>
      </c>
    </row>
    <row r="209" spans="1:28" x14ac:dyDescent="0.3">
      <c r="A209" s="3" t="s">
        <v>393</v>
      </c>
      <c r="B209" s="3" t="s">
        <v>394</v>
      </c>
      <c r="C209" s="3" t="s">
        <v>395</v>
      </c>
      <c r="D209" s="3" t="str">
        <f>_xlfn.CONCAT(Table1[[#This Row],[First_Name]],Table1[[#This Row],[Last_Name]])</f>
        <v>JasonLopez</v>
      </c>
      <c r="E209" s="3">
        <v>40</v>
      </c>
      <c r="F209" s="3" t="s">
        <v>52</v>
      </c>
      <c r="G209" s="3" t="s">
        <v>168</v>
      </c>
      <c r="H209" s="3" t="s">
        <v>396</v>
      </c>
      <c r="I209" s="3" t="s">
        <v>397</v>
      </c>
      <c r="J209" s="3" t="s">
        <v>1089</v>
      </c>
      <c r="K209" s="4">
        <v>45074</v>
      </c>
      <c r="L209" s="3" t="s">
        <v>1090</v>
      </c>
      <c r="M209" s="3" t="s">
        <v>738</v>
      </c>
      <c r="N209" s="3">
        <v>110.95</v>
      </c>
      <c r="O209" s="3">
        <v>3</v>
      </c>
      <c r="P209" s="3" t="s">
        <v>96</v>
      </c>
      <c r="Q209" s="3">
        <v>6</v>
      </c>
      <c r="R209" s="3">
        <v>65</v>
      </c>
      <c r="S209" s="4">
        <v>45079</v>
      </c>
      <c r="T209" s="3" t="s">
        <v>1091</v>
      </c>
      <c r="U209" s="5">
        <f>Table1[[#This Row],[Delivery_Date]]-Table1[[#This Row],[Order_Date]]</f>
        <v>5</v>
      </c>
      <c r="V209" s="5">
        <f>Table1[[#This Row],[Price]]*Table1[[#This Row],[Quantity]]</f>
        <v>332.85</v>
      </c>
      <c r="W209" s="6" cm="1">
        <f t="array" ref="W209">_xlfn.IFS(
P209="FLAT8",8%,
P209="FLAT10",10%,
P209="FLAT15",15%,P209="FLAT20",20%,P209="DEL0",0%,
TRUE,0%
)</f>
        <v>0.1</v>
      </c>
      <c r="X209" s="5">
        <f>Table1[[#This Row],[Amount]]-(Table1[[#This Row],[Amount]]*Table1[[#This Row],[Discount_Percentage]])</f>
        <v>299.565</v>
      </c>
      <c r="Y209" s="5">
        <f>IF(P209="DEL0",Table1[[#This Row],[Discount_Amount]],Table1[[#This Row],[Discount_Amount]]+Table1[[#This Row],[Delivery_Charge]])</f>
        <v>364.565</v>
      </c>
      <c r="Z209" s="7" t="str">
        <f>_xlfn.CONCAT(Table1[[#This Row],[First_Name]],"  ",Table1[[#This Row],[Last_Name]])</f>
        <v>Jason  Lopez</v>
      </c>
      <c r="AA209" s="5" t="str" cm="1">
        <f t="array" ref="AA209">_xlfn.IFS( (S209-K209)&gt;Q209,"Late", (S209-K209)=Q209,"InTime", (S209-K209)&lt;Q209,"BeforeTime" )</f>
        <v>BeforeTime</v>
      </c>
      <c r="AB209" s="3">
        <f>MONTH(Table1[[#This Row],[Order_Date]])</f>
        <v>5</v>
      </c>
    </row>
    <row r="210" spans="1:28" x14ac:dyDescent="0.3">
      <c r="A210" s="3" t="s">
        <v>639</v>
      </c>
      <c r="B210" s="3" t="s">
        <v>148</v>
      </c>
      <c r="C210" s="3" t="s">
        <v>640</v>
      </c>
      <c r="D210" s="3" t="str">
        <f>_xlfn.CONCAT(Table1[[#This Row],[First_Name]],Table1[[#This Row],[Last_Name]])</f>
        <v>AmyEllis</v>
      </c>
      <c r="E210" s="3">
        <v>44</v>
      </c>
      <c r="F210" s="3" t="s">
        <v>52</v>
      </c>
      <c r="G210" s="3" t="s">
        <v>90</v>
      </c>
      <c r="H210" s="3" t="s">
        <v>641</v>
      </c>
      <c r="I210" s="3" t="s">
        <v>642</v>
      </c>
      <c r="J210" s="3" t="s">
        <v>1092</v>
      </c>
      <c r="K210" s="4">
        <v>45285</v>
      </c>
      <c r="L210" s="3" t="s">
        <v>1093</v>
      </c>
      <c r="M210" s="3" t="s">
        <v>984</v>
      </c>
      <c r="N210" s="3">
        <v>33.49</v>
      </c>
      <c r="O210" s="3">
        <v>1</v>
      </c>
      <c r="P210" s="3" t="s">
        <v>36</v>
      </c>
      <c r="Q210" s="3">
        <v>2</v>
      </c>
      <c r="R210" s="3">
        <v>67</v>
      </c>
      <c r="S210" s="4">
        <v>45286</v>
      </c>
      <c r="T210" s="3" t="s">
        <v>1094</v>
      </c>
      <c r="U210" s="5">
        <f>Table1[[#This Row],[Delivery_Date]]-Table1[[#This Row],[Order_Date]]</f>
        <v>1</v>
      </c>
      <c r="V210" s="5">
        <f>Table1[[#This Row],[Price]]*Table1[[#This Row],[Quantity]]</f>
        <v>33.49</v>
      </c>
      <c r="W210" s="6" cm="1">
        <f t="array" ref="W210">_xlfn.IFS(
P210="FLAT8",8%,
P210="FLAT10",10%,
P210="FLAT15",15%,P210="FLAT20",20%,P210="DEL0",0%,
TRUE,0%
)</f>
        <v>0.08</v>
      </c>
      <c r="X210" s="5">
        <f>Table1[[#This Row],[Amount]]-(Table1[[#This Row],[Amount]]*Table1[[#This Row],[Discount_Percentage]])</f>
        <v>30.8108</v>
      </c>
      <c r="Y210" s="5">
        <f>IF(P210="DEL0",Table1[[#This Row],[Discount_Amount]],Table1[[#This Row],[Discount_Amount]]+Table1[[#This Row],[Delivery_Charge]])</f>
        <v>97.8108</v>
      </c>
      <c r="Z210" s="7" t="str">
        <f>_xlfn.CONCAT(Table1[[#This Row],[First_Name]],"  ",Table1[[#This Row],[Last_Name]])</f>
        <v>Amy  Ellis</v>
      </c>
      <c r="AA210" s="5" t="str" cm="1">
        <f t="array" ref="AA210">_xlfn.IFS( (S210-K210)&gt;Q210,"Late", (S210-K210)=Q210,"InTime", (S210-K210)&lt;Q210,"BeforeTime" )</f>
        <v>BeforeTime</v>
      </c>
      <c r="AB210" s="3">
        <f>MONTH(Table1[[#This Row],[Order_Date]])</f>
        <v>12</v>
      </c>
    </row>
    <row r="211" spans="1:28" x14ac:dyDescent="0.3">
      <c r="A211" s="3" t="s">
        <v>420</v>
      </c>
      <c r="B211" s="3" t="s">
        <v>421</v>
      </c>
      <c r="C211" s="3" t="s">
        <v>422</v>
      </c>
      <c r="D211" s="3" t="str">
        <f>_xlfn.CONCAT(Table1[[#This Row],[First_Name]],Table1[[#This Row],[Last_Name]])</f>
        <v>AmandaHoward</v>
      </c>
      <c r="E211" s="3">
        <v>52</v>
      </c>
      <c r="F211" s="3" t="s">
        <v>52</v>
      </c>
      <c r="G211" s="3" t="s">
        <v>220</v>
      </c>
      <c r="H211" s="3" t="s">
        <v>423</v>
      </c>
      <c r="I211" s="3" t="s">
        <v>424</v>
      </c>
      <c r="J211" s="3" t="s">
        <v>1095</v>
      </c>
      <c r="K211" s="4">
        <v>45001</v>
      </c>
      <c r="L211" s="3" t="s">
        <v>1096</v>
      </c>
      <c r="M211" s="3" t="s">
        <v>553</v>
      </c>
      <c r="N211" s="3">
        <v>425.59</v>
      </c>
      <c r="O211" s="3">
        <v>3</v>
      </c>
      <c r="P211" s="3" t="s">
        <v>36</v>
      </c>
      <c r="Q211" s="3">
        <v>7</v>
      </c>
      <c r="R211" s="3">
        <v>68</v>
      </c>
      <c r="S211" s="4">
        <v>45005</v>
      </c>
      <c r="T211" s="3" t="s">
        <v>809</v>
      </c>
      <c r="U211" s="5">
        <f>Table1[[#This Row],[Delivery_Date]]-Table1[[#This Row],[Order_Date]]</f>
        <v>4</v>
      </c>
      <c r="V211" s="5">
        <f>Table1[[#This Row],[Price]]*Table1[[#This Row],[Quantity]]</f>
        <v>1276.77</v>
      </c>
      <c r="W211" s="6" cm="1">
        <f t="array" ref="W211">_xlfn.IFS(
P211="FLAT8",8%,
P211="FLAT10",10%,
P211="FLAT15",15%,P211="FLAT20",20%,P211="DEL0",0%,
TRUE,0%
)</f>
        <v>0.08</v>
      </c>
      <c r="X211" s="5">
        <f>Table1[[#This Row],[Amount]]-(Table1[[#This Row],[Amount]]*Table1[[#This Row],[Discount_Percentage]])</f>
        <v>1174.6284000000001</v>
      </c>
      <c r="Y211" s="5">
        <f>IF(P211="DEL0",Table1[[#This Row],[Discount_Amount]],Table1[[#This Row],[Discount_Amount]]+Table1[[#This Row],[Delivery_Charge]])</f>
        <v>1242.6284000000001</v>
      </c>
      <c r="Z211" s="7" t="str">
        <f>_xlfn.CONCAT(Table1[[#This Row],[First_Name]],"  ",Table1[[#This Row],[Last_Name]])</f>
        <v>Amanda  Howard</v>
      </c>
      <c r="AA211" s="5" t="str" cm="1">
        <f t="array" ref="AA211">_xlfn.IFS( (S211-K211)&gt;Q211,"Late", (S211-K211)=Q211,"InTime", (S211-K211)&lt;Q211,"BeforeTime" )</f>
        <v>BeforeTime</v>
      </c>
      <c r="AB211" s="3">
        <f>MONTH(Table1[[#This Row],[Order_Date]])</f>
        <v>3</v>
      </c>
    </row>
    <row r="212" spans="1:28" x14ac:dyDescent="0.3">
      <c r="A212" s="3" t="s">
        <v>1079</v>
      </c>
      <c r="B212" s="3" t="s">
        <v>218</v>
      </c>
      <c r="C212" s="3" t="s">
        <v>1080</v>
      </c>
      <c r="D212" s="3" t="str">
        <f>_xlfn.CONCAT(Table1[[#This Row],[First_Name]],Table1[[#This Row],[Last_Name]])</f>
        <v>MarkSummers</v>
      </c>
      <c r="E212" s="3">
        <v>55</v>
      </c>
      <c r="F212" s="3" t="s">
        <v>41</v>
      </c>
      <c r="G212" s="3" t="s">
        <v>159</v>
      </c>
      <c r="H212" s="3" t="s">
        <v>1081</v>
      </c>
      <c r="I212" s="3" t="s">
        <v>1082</v>
      </c>
      <c r="J212" s="3" t="s">
        <v>1097</v>
      </c>
      <c r="K212" s="4">
        <v>45039</v>
      </c>
      <c r="L212" s="3" t="s">
        <v>1098</v>
      </c>
      <c r="M212" s="3" t="s">
        <v>518</v>
      </c>
      <c r="N212" s="3">
        <v>441.03</v>
      </c>
      <c r="O212" s="3">
        <v>5</v>
      </c>
      <c r="P212" s="3" t="s">
        <v>58</v>
      </c>
      <c r="Q212" s="3">
        <v>3</v>
      </c>
      <c r="R212" s="3">
        <v>37</v>
      </c>
      <c r="S212" s="4">
        <v>45044</v>
      </c>
      <c r="T212" s="3" t="s">
        <v>1099</v>
      </c>
      <c r="U212" s="5">
        <f>Table1[[#This Row],[Delivery_Date]]-Table1[[#This Row],[Order_Date]]</f>
        <v>5</v>
      </c>
      <c r="V212" s="5">
        <f>Table1[[#This Row],[Price]]*Table1[[#This Row],[Quantity]]</f>
        <v>2205.1499999999996</v>
      </c>
      <c r="W212" s="6" cm="1">
        <f t="array" ref="W212">_xlfn.IFS(
P212="FLAT8",8%,
P212="FLAT10",10%,
P212="FLAT15",15%,P212="FLAT20",20%,P212="DEL0",0%,
TRUE,0%
)</f>
        <v>0.15</v>
      </c>
      <c r="X212" s="5">
        <f>Table1[[#This Row],[Amount]]-(Table1[[#This Row],[Amount]]*Table1[[#This Row],[Discount_Percentage]])</f>
        <v>1874.3774999999996</v>
      </c>
      <c r="Y212" s="5">
        <f>IF(P212="DEL0",Table1[[#This Row],[Discount_Amount]],Table1[[#This Row],[Discount_Amount]]+Table1[[#This Row],[Delivery_Charge]])</f>
        <v>1911.3774999999996</v>
      </c>
      <c r="Z212" s="7" t="str">
        <f>_xlfn.CONCAT(Table1[[#This Row],[First_Name]],"  ",Table1[[#This Row],[Last_Name]])</f>
        <v>Mark  Summers</v>
      </c>
      <c r="AA212" s="5" t="str" cm="1">
        <f t="array" ref="AA212">_xlfn.IFS( (S212-K212)&gt;Q212,"Late", (S212-K212)=Q212,"InTime", (S212-K212)&lt;Q212,"BeforeTime" )</f>
        <v>Late</v>
      </c>
      <c r="AB212" s="3">
        <f>MONTH(Table1[[#This Row],[Order_Date]])</f>
        <v>4</v>
      </c>
    </row>
    <row r="213" spans="1:28" x14ac:dyDescent="0.3">
      <c r="A213" s="3" t="s">
        <v>528</v>
      </c>
      <c r="B213" s="3" t="s">
        <v>394</v>
      </c>
      <c r="C213" s="3" t="s">
        <v>529</v>
      </c>
      <c r="D213" s="3" t="str">
        <f>_xlfn.CONCAT(Table1[[#This Row],[First_Name]],Table1[[#This Row],[Last_Name]])</f>
        <v>JasonNguyen</v>
      </c>
      <c r="E213" s="3">
        <v>51</v>
      </c>
      <c r="F213" s="3" t="s">
        <v>52</v>
      </c>
      <c r="G213" s="3" t="s">
        <v>140</v>
      </c>
      <c r="H213" s="3" t="s">
        <v>530</v>
      </c>
      <c r="I213" s="3" t="s">
        <v>531</v>
      </c>
      <c r="J213" s="3" t="s">
        <v>1100</v>
      </c>
      <c r="K213" s="4">
        <v>45339</v>
      </c>
      <c r="L213" s="3" t="s">
        <v>1101</v>
      </c>
      <c r="M213" s="3" t="s">
        <v>308</v>
      </c>
      <c r="N213" s="3">
        <v>129.75</v>
      </c>
      <c r="O213" s="3">
        <v>3</v>
      </c>
      <c r="P213" s="3" t="s">
        <v>58</v>
      </c>
      <c r="Q213" s="3">
        <v>5</v>
      </c>
      <c r="R213" s="3">
        <v>37</v>
      </c>
      <c r="S213" s="4">
        <v>45341</v>
      </c>
      <c r="T213" s="3" t="s">
        <v>1102</v>
      </c>
      <c r="U213" s="5">
        <f>Table1[[#This Row],[Delivery_Date]]-Table1[[#This Row],[Order_Date]]</f>
        <v>2</v>
      </c>
      <c r="V213" s="5">
        <f>Table1[[#This Row],[Price]]*Table1[[#This Row],[Quantity]]</f>
        <v>389.25</v>
      </c>
      <c r="W213" s="6" cm="1">
        <f t="array" ref="W213">_xlfn.IFS(
P213="FLAT8",8%,
P213="FLAT10",10%,
P213="FLAT15",15%,P213="FLAT20",20%,P213="DEL0",0%,
TRUE,0%
)</f>
        <v>0.15</v>
      </c>
      <c r="X213" s="5">
        <f>Table1[[#This Row],[Amount]]-(Table1[[#This Row],[Amount]]*Table1[[#This Row],[Discount_Percentage]])</f>
        <v>330.86250000000001</v>
      </c>
      <c r="Y213" s="5">
        <f>IF(P213="DEL0",Table1[[#This Row],[Discount_Amount]],Table1[[#This Row],[Discount_Amount]]+Table1[[#This Row],[Delivery_Charge]])</f>
        <v>367.86250000000001</v>
      </c>
      <c r="Z213" s="7" t="str">
        <f>_xlfn.CONCAT(Table1[[#This Row],[First_Name]],"  ",Table1[[#This Row],[Last_Name]])</f>
        <v>Jason  Nguyen</v>
      </c>
      <c r="AA213" s="5" t="str" cm="1">
        <f t="array" ref="AA213">_xlfn.IFS( (S213-K213)&gt;Q213,"Late", (S213-K213)=Q213,"InTime", (S213-K213)&lt;Q213,"BeforeTime" )</f>
        <v>BeforeTime</v>
      </c>
      <c r="AB213" s="3">
        <f>MONTH(Table1[[#This Row],[Order_Date]])</f>
        <v>2</v>
      </c>
    </row>
    <row r="214" spans="1:28" x14ac:dyDescent="0.3">
      <c r="A214" s="3" t="s">
        <v>1103</v>
      </c>
      <c r="B214" s="3" t="s">
        <v>1104</v>
      </c>
      <c r="C214" s="3" t="s">
        <v>1105</v>
      </c>
      <c r="D214" s="3" t="str">
        <f>_xlfn.CONCAT(Table1[[#This Row],[First_Name]],Table1[[#This Row],[Last_Name]])</f>
        <v>GaryHuff</v>
      </c>
      <c r="E214" s="3">
        <v>18</v>
      </c>
      <c r="F214" s="3" t="s">
        <v>29</v>
      </c>
      <c r="G214" s="3" t="s">
        <v>76</v>
      </c>
      <c r="H214" s="3" t="s">
        <v>1106</v>
      </c>
      <c r="I214" s="3" t="s">
        <v>1107</v>
      </c>
      <c r="J214" s="3" t="s">
        <v>1108</v>
      </c>
      <c r="K214" s="4">
        <v>45349</v>
      </c>
      <c r="L214" s="3" t="s">
        <v>1109</v>
      </c>
      <c r="M214" s="3" t="s">
        <v>657</v>
      </c>
      <c r="N214" s="3">
        <v>235.63</v>
      </c>
      <c r="O214" s="3">
        <v>1</v>
      </c>
      <c r="P214" s="3" t="s">
        <v>36</v>
      </c>
      <c r="Q214" s="3">
        <v>6</v>
      </c>
      <c r="R214" s="3">
        <v>58</v>
      </c>
      <c r="S214" s="4">
        <v>45354</v>
      </c>
      <c r="T214" s="3" t="s">
        <v>1110</v>
      </c>
      <c r="U214" s="5">
        <f>Table1[[#This Row],[Delivery_Date]]-Table1[[#This Row],[Order_Date]]</f>
        <v>5</v>
      </c>
      <c r="V214" s="5">
        <f>Table1[[#This Row],[Price]]*Table1[[#This Row],[Quantity]]</f>
        <v>235.63</v>
      </c>
      <c r="W214" s="6" cm="1">
        <f t="array" ref="W214">_xlfn.IFS(
P214="FLAT8",8%,
P214="FLAT10",10%,
P214="FLAT15",15%,P214="FLAT20",20%,P214="DEL0",0%,
TRUE,0%
)</f>
        <v>0.08</v>
      </c>
      <c r="X214" s="5">
        <f>Table1[[#This Row],[Amount]]-(Table1[[#This Row],[Amount]]*Table1[[#This Row],[Discount_Percentage]])</f>
        <v>216.77959999999999</v>
      </c>
      <c r="Y214" s="5">
        <f>IF(P214="DEL0",Table1[[#This Row],[Discount_Amount]],Table1[[#This Row],[Discount_Amount]]+Table1[[#This Row],[Delivery_Charge]])</f>
        <v>274.77959999999996</v>
      </c>
      <c r="Z214" s="7" t="str">
        <f>_xlfn.CONCAT(Table1[[#This Row],[First_Name]],"  ",Table1[[#This Row],[Last_Name]])</f>
        <v>Gary  Huff</v>
      </c>
      <c r="AA214" s="5" t="str" cm="1">
        <f t="array" ref="AA214">_xlfn.IFS( (S214-K214)&gt;Q214,"Late", (S214-K214)=Q214,"InTime", (S214-K214)&lt;Q214,"BeforeTime" )</f>
        <v>BeforeTime</v>
      </c>
      <c r="AB214" s="3">
        <f>MONTH(Table1[[#This Row],[Order_Date]])</f>
        <v>2</v>
      </c>
    </row>
    <row r="215" spans="1:28" x14ac:dyDescent="0.3">
      <c r="A215" s="3" t="s">
        <v>175</v>
      </c>
      <c r="B215" s="3" t="s">
        <v>176</v>
      </c>
      <c r="C215" s="3" t="s">
        <v>177</v>
      </c>
      <c r="D215" s="3" t="str">
        <f>_xlfn.CONCAT(Table1[[#This Row],[First_Name]],Table1[[#This Row],[Last_Name]])</f>
        <v>GinaMoreno</v>
      </c>
      <c r="E215" s="3">
        <v>36</v>
      </c>
      <c r="F215" s="3" t="s">
        <v>52</v>
      </c>
      <c r="G215" s="3" t="s">
        <v>140</v>
      </c>
      <c r="H215" s="3" t="s">
        <v>178</v>
      </c>
      <c r="I215" s="3" t="s">
        <v>179</v>
      </c>
      <c r="J215" s="3" t="s">
        <v>1111</v>
      </c>
      <c r="K215" s="4">
        <v>45549</v>
      </c>
      <c r="L215" s="3" t="s">
        <v>1112</v>
      </c>
      <c r="M215" s="3" t="s">
        <v>514</v>
      </c>
      <c r="N215" s="3">
        <v>136.30000000000001</v>
      </c>
      <c r="O215" s="3">
        <v>2</v>
      </c>
      <c r="P215" s="3" t="s">
        <v>85</v>
      </c>
      <c r="Q215" s="3">
        <v>7</v>
      </c>
      <c r="R215" s="3">
        <v>51</v>
      </c>
      <c r="S215" s="4">
        <v>45550</v>
      </c>
      <c r="T215" s="3" t="s">
        <v>1113</v>
      </c>
      <c r="U215" s="5">
        <f>Table1[[#This Row],[Delivery_Date]]-Table1[[#This Row],[Order_Date]]</f>
        <v>1</v>
      </c>
      <c r="V215" s="5">
        <f>Table1[[#This Row],[Price]]*Table1[[#This Row],[Quantity]]</f>
        <v>272.60000000000002</v>
      </c>
      <c r="W215" s="6" cm="1">
        <f t="array" ref="W215">_xlfn.IFS(
P215="FLAT8",8%,
P215="FLAT10",10%,
P215="FLAT15",15%,P215="FLAT20",20%,P215="DEL0",0%,
TRUE,0%
)</f>
        <v>0.2</v>
      </c>
      <c r="X215" s="5">
        <f>Table1[[#This Row],[Amount]]-(Table1[[#This Row],[Amount]]*Table1[[#This Row],[Discount_Percentage]])</f>
        <v>218.08</v>
      </c>
      <c r="Y215" s="5">
        <f>IF(P215="DEL0",Table1[[#This Row],[Discount_Amount]],Table1[[#This Row],[Discount_Amount]]+Table1[[#This Row],[Delivery_Charge]])</f>
        <v>269.08000000000004</v>
      </c>
      <c r="Z215" s="7" t="str">
        <f>_xlfn.CONCAT(Table1[[#This Row],[First_Name]],"  ",Table1[[#This Row],[Last_Name]])</f>
        <v>Gina  Moreno</v>
      </c>
      <c r="AA215" s="5" t="str" cm="1">
        <f t="array" ref="AA215">_xlfn.IFS( (S215-K215)&gt;Q215,"Late", (S215-K215)=Q215,"InTime", (S215-K215)&lt;Q215,"BeforeTime" )</f>
        <v>BeforeTime</v>
      </c>
      <c r="AB215" s="3">
        <f>MONTH(Table1[[#This Row],[Order_Date]])</f>
        <v>9</v>
      </c>
    </row>
    <row r="216" spans="1:28" x14ac:dyDescent="0.3">
      <c r="A216" s="3" t="s">
        <v>483</v>
      </c>
      <c r="B216" s="3" t="s">
        <v>484</v>
      </c>
      <c r="C216" s="3" t="s">
        <v>130</v>
      </c>
      <c r="D216" s="3" t="str">
        <f>_xlfn.CONCAT(Table1[[#This Row],[First_Name]],Table1[[#This Row],[Last_Name]])</f>
        <v>BrittanyStewart</v>
      </c>
      <c r="E216" s="3">
        <v>68</v>
      </c>
      <c r="F216" s="3" t="s">
        <v>52</v>
      </c>
      <c r="G216" s="3" t="s">
        <v>220</v>
      </c>
      <c r="H216" s="3" t="s">
        <v>485</v>
      </c>
      <c r="I216" s="3" t="s">
        <v>486</v>
      </c>
      <c r="J216" s="3" t="s">
        <v>1114</v>
      </c>
      <c r="K216" s="4">
        <v>45112</v>
      </c>
      <c r="L216" s="3" t="s">
        <v>1115</v>
      </c>
      <c r="M216" s="3" t="s">
        <v>941</v>
      </c>
      <c r="N216" s="3">
        <v>107.47</v>
      </c>
      <c r="O216" s="3">
        <v>4</v>
      </c>
      <c r="P216" s="3" t="s">
        <v>85</v>
      </c>
      <c r="Q216" s="3">
        <v>5</v>
      </c>
      <c r="R216" s="3">
        <v>51</v>
      </c>
      <c r="S216" s="4">
        <v>45115</v>
      </c>
      <c r="T216" s="3" t="s">
        <v>1116</v>
      </c>
      <c r="U216" s="5">
        <f>Table1[[#This Row],[Delivery_Date]]-Table1[[#This Row],[Order_Date]]</f>
        <v>3</v>
      </c>
      <c r="V216" s="5">
        <f>Table1[[#This Row],[Price]]*Table1[[#This Row],[Quantity]]</f>
        <v>429.88</v>
      </c>
      <c r="W216" s="6" cm="1">
        <f t="array" ref="W216">_xlfn.IFS(
P216="FLAT8",8%,
P216="FLAT10",10%,
P216="FLAT15",15%,P216="FLAT20",20%,P216="DEL0",0%,
TRUE,0%
)</f>
        <v>0.2</v>
      </c>
      <c r="X216" s="5">
        <f>Table1[[#This Row],[Amount]]-(Table1[[#This Row],[Amount]]*Table1[[#This Row],[Discount_Percentage]])</f>
        <v>343.904</v>
      </c>
      <c r="Y216" s="5">
        <f>IF(P216="DEL0",Table1[[#This Row],[Discount_Amount]],Table1[[#This Row],[Discount_Amount]]+Table1[[#This Row],[Delivery_Charge]])</f>
        <v>394.904</v>
      </c>
      <c r="Z216" s="7" t="str">
        <f>_xlfn.CONCAT(Table1[[#This Row],[First_Name]],"  ",Table1[[#This Row],[Last_Name]])</f>
        <v>Brittany  Stewart</v>
      </c>
      <c r="AA216" s="5" t="str" cm="1">
        <f t="array" ref="AA216">_xlfn.IFS( (S216-K216)&gt;Q216,"Late", (S216-K216)=Q216,"InTime", (S216-K216)&lt;Q216,"BeforeTime" )</f>
        <v>BeforeTime</v>
      </c>
      <c r="AB216" s="3">
        <f>MONTH(Table1[[#This Row],[Order_Date]])</f>
        <v>7</v>
      </c>
    </row>
    <row r="217" spans="1:28" x14ac:dyDescent="0.3">
      <c r="A217" s="3" t="s">
        <v>925</v>
      </c>
      <c r="B217" s="3" t="s">
        <v>926</v>
      </c>
      <c r="C217" s="3" t="s">
        <v>927</v>
      </c>
      <c r="D217" s="3" t="str">
        <f>_xlfn.CONCAT(Table1[[#This Row],[First_Name]],Table1[[#This Row],[Last_Name]])</f>
        <v>RachaelRobinson</v>
      </c>
      <c r="E217" s="3">
        <v>24</v>
      </c>
      <c r="F217" s="3" t="s">
        <v>52</v>
      </c>
      <c r="G217" s="3" t="s">
        <v>220</v>
      </c>
      <c r="H217" s="3" t="s">
        <v>928</v>
      </c>
      <c r="I217" s="3" t="s">
        <v>929</v>
      </c>
      <c r="J217" s="3" t="s">
        <v>1117</v>
      </c>
      <c r="K217" s="4">
        <v>45271</v>
      </c>
      <c r="L217" s="3" t="s">
        <v>1118</v>
      </c>
      <c r="M217" s="3" t="s">
        <v>105</v>
      </c>
      <c r="N217" s="3">
        <v>275.44</v>
      </c>
      <c r="O217" s="3">
        <v>2</v>
      </c>
      <c r="P217" s="3" t="s">
        <v>36</v>
      </c>
      <c r="Q217" s="3">
        <v>2</v>
      </c>
      <c r="R217" s="3">
        <v>36</v>
      </c>
      <c r="S217" s="4">
        <v>45276</v>
      </c>
      <c r="T217" s="3" t="s">
        <v>1119</v>
      </c>
      <c r="U217" s="5">
        <f>Table1[[#This Row],[Delivery_Date]]-Table1[[#This Row],[Order_Date]]</f>
        <v>5</v>
      </c>
      <c r="V217" s="5">
        <f>Table1[[#This Row],[Price]]*Table1[[#This Row],[Quantity]]</f>
        <v>550.88</v>
      </c>
      <c r="W217" s="6" cm="1">
        <f t="array" ref="W217">_xlfn.IFS(
P217="FLAT8",8%,
P217="FLAT10",10%,
P217="FLAT15",15%,P217="FLAT20",20%,P217="DEL0",0%,
TRUE,0%
)</f>
        <v>0.08</v>
      </c>
      <c r="X217" s="5">
        <f>Table1[[#This Row],[Amount]]-(Table1[[#This Row],[Amount]]*Table1[[#This Row],[Discount_Percentage]])</f>
        <v>506.80959999999999</v>
      </c>
      <c r="Y217" s="5">
        <f>IF(P217="DEL0",Table1[[#This Row],[Discount_Amount]],Table1[[#This Row],[Discount_Amount]]+Table1[[#This Row],[Delivery_Charge]])</f>
        <v>542.80960000000005</v>
      </c>
      <c r="Z217" s="7" t="str">
        <f>_xlfn.CONCAT(Table1[[#This Row],[First_Name]],"  ",Table1[[#This Row],[Last_Name]])</f>
        <v>Rachael  Robinson</v>
      </c>
      <c r="AA217" s="5" t="str" cm="1">
        <f t="array" ref="AA217">_xlfn.IFS( (S217-K217)&gt;Q217,"Late", (S217-K217)=Q217,"InTime", (S217-K217)&lt;Q217,"BeforeTime" )</f>
        <v>Late</v>
      </c>
      <c r="AB217" s="3">
        <f>MONTH(Table1[[#This Row],[Order_Date]])</f>
        <v>12</v>
      </c>
    </row>
    <row r="218" spans="1:28" x14ac:dyDescent="0.3">
      <c r="A218" s="3" t="s">
        <v>776</v>
      </c>
      <c r="B218" s="3" t="s">
        <v>777</v>
      </c>
      <c r="C218" s="3" t="s">
        <v>778</v>
      </c>
      <c r="D218" s="3" t="str">
        <f>_xlfn.CONCAT(Table1[[#This Row],[First_Name]],Table1[[#This Row],[Last_Name]])</f>
        <v>LindseyByrd</v>
      </c>
      <c r="E218" s="3">
        <v>32</v>
      </c>
      <c r="F218" s="3" t="s">
        <v>29</v>
      </c>
      <c r="G218" s="3" t="s">
        <v>159</v>
      </c>
      <c r="H218" s="3" t="s">
        <v>779</v>
      </c>
      <c r="I218" s="3" t="s">
        <v>780</v>
      </c>
      <c r="J218" s="3" t="s">
        <v>1120</v>
      </c>
      <c r="K218" s="4">
        <v>45588</v>
      </c>
      <c r="L218" s="3" t="s">
        <v>1121</v>
      </c>
      <c r="M218" s="3" t="s">
        <v>941</v>
      </c>
      <c r="N218" s="3">
        <v>107.47</v>
      </c>
      <c r="O218" s="3">
        <v>2</v>
      </c>
      <c r="P218" s="3" t="s">
        <v>58</v>
      </c>
      <c r="Q218" s="3">
        <v>5</v>
      </c>
      <c r="R218" s="3">
        <v>55</v>
      </c>
      <c r="S218" s="4">
        <v>45592</v>
      </c>
      <c r="T218" s="3" t="s">
        <v>1122</v>
      </c>
      <c r="U218" s="5">
        <f>Table1[[#This Row],[Delivery_Date]]-Table1[[#This Row],[Order_Date]]</f>
        <v>4</v>
      </c>
      <c r="V218" s="5">
        <f>Table1[[#This Row],[Price]]*Table1[[#This Row],[Quantity]]</f>
        <v>214.94</v>
      </c>
      <c r="W218" s="6" cm="1">
        <f t="array" ref="W218">_xlfn.IFS(
P218="FLAT8",8%,
P218="FLAT10",10%,
P218="FLAT15",15%,P218="FLAT20",20%,P218="DEL0",0%,
TRUE,0%
)</f>
        <v>0.15</v>
      </c>
      <c r="X218" s="5">
        <f>Table1[[#This Row],[Amount]]-(Table1[[#This Row],[Amount]]*Table1[[#This Row],[Discount_Percentage]])</f>
        <v>182.69900000000001</v>
      </c>
      <c r="Y218" s="5">
        <f>IF(P218="DEL0",Table1[[#This Row],[Discount_Amount]],Table1[[#This Row],[Discount_Amount]]+Table1[[#This Row],[Delivery_Charge]])</f>
        <v>237.69900000000001</v>
      </c>
      <c r="Z218" s="7" t="str">
        <f>_xlfn.CONCAT(Table1[[#This Row],[First_Name]],"  ",Table1[[#This Row],[Last_Name]])</f>
        <v>Lindsey  Byrd</v>
      </c>
      <c r="AA218" s="5" t="str" cm="1">
        <f t="array" ref="AA218">_xlfn.IFS( (S218-K218)&gt;Q218,"Late", (S218-K218)=Q218,"InTime", (S218-K218)&lt;Q218,"BeforeTime" )</f>
        <v>BeforeTime</v>
      </c>
      <c r="AB218" s="3">
        <f>MONTH(Table1[[#This Row],[Order_Date]])</f>
        <v>10</v>
      </c>
    </row>
    <row r="219" spans="1:28" x14ac:dyDescent="0.3">
      <c r="A219" s="3" t="s">
        <v>65</v>
      </c>
      <c r="B219" s="3" t="s">
        <v>66</v>
      </c>
      <c r="C219" s="3" t="s">
        <v>67</v>
      </c>
      <c r="D219" s="3" t="str">
        <f>_xlfn.CONCAT(Table1[[#This Row],[First_Name]],Table1[[#This Row],[Last_Name]])</f>
        <v>AngelaHorne</v>
      </c>
      <c r="E219" s="3">
        <v>49</v>
      </c>
      <c r="F219" s="3" t="s">
        <v>52</v>
      </c>
      <c r="G219" s="3" t="s">
        <v>30</v>
      </c>
      <c r="H219" s="3" t="s">
        <v>68</v>
      </c>
      <c r="I219" s="3" t="s">
        <v>69</v>
      </c>
      <c r="J219" s="3" t="s">
        <v>1123</v>
      </c>
      <c r="K219" s="4">
        <v>45578</v>
      </c>
      <c r="L219" s="3" t="s">
        <v>1124</v>
      </c>
      <c r="M219" s="3" t="s">
        <v>291</v>
      </c>
      <c r="N219" s="3">
        <v>158.53</v>
      </c>
      <c r="O219" s="3">
        <v>5</v>
      </c>
      <c r="P219" s="3" t="s">
        <v>36</v>
      </c>
      <c r="Q219" s="3">
        <v>2</v>
      </c>
      <c r="R219" s="3">
        <v>64</v>
      </c>
      <c r="S219" s="4">
        <v>45582</v>
      </c>
      <c r="T219" s="3" t="s">
        <v>1125</v>
      </c>
      <c r="U219" s="5">
        <f>Table1[[#This Row],[Delivery_Date]]-Table1[[#This Row],[Order_Date]]</f>
        <v>4</v>
      </c>
      <c r="V219" s="5">
        <f>Table1[[#This Row],[Price]]*Table1[[#This Row],[Quantity]]</f>
        <v>792.65</v>
      </c>
      <c r="W219" s="6" cm="1">
        <f t="array" ref="W219">_xlfn.IFS(
P219="FLAT8",8%,
P219="FLAT10",10%,
P219="FLAT15",15%,P219="FLAT20",20%,P219="DEL0",0%,
TRUE,0%
)</f>
        <v>0.08</v>
      </c>
      <c r="X219" s="5">
        <f>Table1[[#This Row],[Amount]]-(Table1[[#This Row],[Amount]]*Table1[[#This Row],[Discount_Percentage]])</f>
        <v>729.23799999999994</v>
      </c>
      <c r="Y219" s="5">
        <f>IF(P219="DEL0",Table1[[#This Row],[Discount_Amount]],Table1[[#This Row],[Discount_Amount]]+Table1[[#This Row],[Delivery_Charge]])</f>
        <v>793.23799999999994</v>
      </c>
      <c r="Z219" s="7" t="str">
        <f>_xlfn.CONCAT(Table1[[#This Row],[First_Name]],"  ",Table1[[#This Row],[Last_Name]])</f>
        <v>Angela  Horne</v>
      </c>
      <c r="AA219" s="5" t="str" cm="1">
        <f t="array" ref="AA219">_xlfn.IFS( (S219-K219)&gt;Q219,"Late", (S219-K219)=Q219,"InTime", (S219-K219)&lt;Q219,"BeforeTime" )</f>
        <v>Late</v>
      </c>
      <c r="AB219" s="3">
        <f>MONTH(Table1[[#This Row],[Order_Date]])</f>
        <v>10</v>
      </c>
    </row>
    <row r="220" spans="1:28" x14ac:dyDescent="0.3">
      <c r="A220" s="3" t="s">
        <v>209</v>
      </c>
      <c r="B220" s="3" t="s">
        <v>210</v>
      </c>
      <c r="C220" s="3" t="s">
        <v>211</v>
      </c>
      <c r="D220" s="3" t="str">
        <f>_xlfn.CONCAT(Table1[[#This Row],[First_Name]],Table1[[#This Row],[Last_Name]])</f>
        <v>ChristianClayton</v>
      </c>
      <c r="E220" s="3">
        <v>39</v>
      </c>
      <c r="F220" s="3" t="s">
        <v>41</v>
      </c>
      <c r="G220" s="3" t="s">
        <v>159</v>
      </c>
      <c r="H220" s="3" t="s">
        <v>212</v>
      </c>
      <c r="I220" s="3" t="s">
        <v>213</v>
      </c>
      <c r="J220" s="3" t="s">
        <v>1126</v>
      </c>
      <c r="K220" s="4">
        <v>45541</v>
      </c>
      <c r="L220" s="3" t="s">
        <v>1127</v>
      </c>
      <c r="M220" s="3" t="s">
        <v>95</v>
      </c>
      <c r="N220" s="3">
        <v>363.64</v>
      </c>
      <c r="O220" s="3">
        <v>2</v>
      </c>
      <c r="P220" s="3" t="s">
        <v>85</v>
      </c>
      <c r="Q220" s="3">
        <v>6</v>
      </c>
      <c r="R220" s="3">
        <v>37</v>
      </c>
      <c r="S220" s="4">
        <v>45544</v>
      </c>
      <c r="T220" s="3" t="s">
        <v>1128</v>
      </c>
      <c r="U220" s="5">
        <f>Table1[[#This Row],[Delivery_Date]]-Table1[[#This Row],[Order_Date]]</f>
        <v>3</v>
      </c>
      <c r="V220" s="5">
        <f>Table1[[#This Row],[Price]]*Table1[[#This Row],[Quantity]]</f>
        <v>727.28</v>
      </c>
      <c r="W220" s="6" cm="1">
        <f t="array" ref="W220">_xlfn.IFS(
P220="FLAT8",8%,
P220="FLAT10",10%,
P220="FLAT15",15%,P220="FLAT20",20%,P220="DEL0",0%,
TRUE,0%
)</f>
        <v>0.2</v>
      </c>
      <c r="X220" s="5">
        <f>Table1[[#This Row],[Amount]]-(Table1[[#This Row],[Amount]]*Table1[[#This Row],[Discount_Percentage]])</f>
        <v>581.82399999999996</v>
      </c>
      <c r="Y220" s="5">
        <f>IF(P220="DEL0",Table1[[#This Row],[Discount_Amount]],Table1[[#This Row],[Discount_Amount]]+Table1[[#This Row],[Delivery_Charge]])</f>
        <v>618.82399999999996</v>
      </c>
      <c r="Z220" s="7" t="str">
        <f>_xlfn.CONCAT(Table1[[#This Row],[First_Name]],"  ",Table1[[#This Row],[Last_Name]])</f>
        <v>Christian  Clayton</v>
      </c>
      <c r="AA220" s="5" t="str" cm="1">
        <f t="array" ref="AA220">_xlfn.IFS( (S220-K220)&gt;Q220,"Late", (S220-K220)=Q220,"InTime", (S220-K220)&lt;Q220,"BeforeTime" )</f>
        <v>BeforeTime</v>
      </c>
      <c r="AB220" s="3">
        <f>MONTH(Table1[[#This Row],[Order_Date]])</f>
        <v>9</v>
      </c>
    </row>
    <row r="221" spans="1:28" x14ac:dyDescent="0.3">
      <c r="A221" s="3" t="s">
        <v>333</v>
      </c>
      <c r="B221" s="3" t="s">
        <v>334</v>
      </c>
      <c r="C221" s="3" t="s">
        <v>335</v>
      </c>
      <c r="D221" s="3" t="str">
        <f>_xlfn.CONCAT(Table1[[#This Row],[First_Name]],Table1[[#This Row],[Last_Name]])</f>
        <v>JulieMeyer</v>
      </c>
      <c r="E221" s="3">
        <v>23</v>
      </c>
      <c r="F221" s="3" t="s">
        <v>29</v>
      </c>
      <c r="G221" s="3" t="s">
        <v>30</v>
      </c>
      <c r="H221" s="3" t="s">
        <v>336</v>
      </c>
      <c r="I221" s="3" t="s">
        <v>337</v>
      </c>
      <c r="J221" s="3" t="s">
        <v>1129</v>
      </c>
      <c r="K221" s="4">
        <v>45504</v>
      </c>
      <c r="L221" s="3" t="s">
        <v>1130</v>
      </c>
      <c r="M221" s="3" t="s">
        <v>514</v>
      </c>
      <c r="N221" s="3">
        <v>136.30000000000001</v>
      </c>
      <c r="O221" s="3">
        <v>2</v>
      </c>
      <c r="P221" s="3" t="s">
        <v>96</v>
      </c>
      <c r="Q221" s="3">
        <v>3</v>
      </c>
      <c r="R221" s="3">
        <v>47</v>
      </c>
      <c r="S221" s="4">
        <v>45511</v>
      </c>
      <c r="T221" s="3" t="s">
        <v>1131</v>
      </c>
      <c r="U221" s="5">
        <f>Table1[[#This Row],[Delivery_Date]]-Table1[[#This Row],[Order_Date]]</f>
        <v>7</v>
      </c>
      <c r="V221" s="5">
        <f>Table1[[#This Row],[Price]]*Table1[[#This Row],[Quantity]]</f>
        <v>272.60000000000002</v>
      </c>
      <c r="W221" s="6" cm="1">
        <f t="array" ref="W221">_xlfn.IFS(
P221="FLAT8",8%,
P221="FLAT10",10%,
P221="FLAT15",15%,P221="FLAT20",20%,P221="DEL0",0%,
TRUE,0%
)</f>
        <v>0.1</v>
      </c>
      <c r="X221" s="5">
        <f>Table1[[#This Row],[Amount]]-(Table1[[#This Row],[Amount]]*Table1[[#This Row],[Discount_Percentage]])</f>
        <v>245.34000000000003</v>
      </c>
      <c r="Y221" s="5">
        <f>IF(P221="DEL0",Table1[[#This Row],[Discount_Amount]],Table1[[#This Row],[Discount_Amount]]+Table1[[#This Row],[Delivery_Charge]])</f>
        <v>292.34000000000003</v>
      </c>
      <c r="Z221" s="7" t="str">
        <f>_xlfn.CONCAT(Table1[[#This Row],[First_Name]],"  ",Table1[[#This Row],[Last_Name]])</f>
        <v>Julie  Meyer</v>
      </c>
      <c r="AA221" s="5" t="str" cm="1">
        <f t="array" ref="AA221">_xlfn.IFS( (S221-K221)&gt;Q221,"Late", (S221-K221)=Q221,"InTime", (S221-K221)&lt;Q221,"BeforeTime" )</f>
        <v>Late</v>
      </c>
      <c r="AB221" s="3">
        <f>MONTH(Table1[[#This Row],[Order_Date]])</f>
        <v>7</v>
      </c>
    </row>
    <row r="222" spans="1:28" x14ac:dyDescent="0.3">
      <c r="A222" s="3" t="s">
        <v>1079</v>
      </c>
      <c r="B222" s="3" t="s">
        <v>218</v>
      </c>
      <c r="C222" s="3" t="s">
        <v>1080</v>
      </c>
      <c r="D222" s="3" t="str">
        <f>_xlfn.CONCAT(Table1[[#This Row],[First_Name]],Table1[[#This Row],[Last_Name]])</f>
        <v>MarkSummers</v>
      </c>
      <c r="E222" s="3">
        <v>55</v>
      </c>
      <c r="F222" s="3" t="s">
        <v>41</v>
      </c>
      <c r="G222" s="3" t="s">
        <v>159</v>
      </c>
      <c r="H222" s="3" t="s">
        <v>1081</v>
      </c>
      <c r="I222" s="3" t="s">
        <v>1082</v>
      </c>
      <c r="J222" s="3" t="s">
        <v>1132</v>
      </c>
      <c r="K222" s="4">
        <v>45408</v>
      </c>
      <c r="L222" s="3" t="s">
        <v>1133</v>
      </c>
      <c r="M222" s="3" t="s">
        <v>430</v>
      </c>
      <c r="N222" s="3">
        <v>369.03</v>
      </c>
      <c r="O222" s="3">
        <v>3</v>
      </c>
      <c r="P222" s="3" t="s">
        <v>85</v>
      </c>
      <c r="Q222" s="3">
        <v>2</v>
      </c>
      <c r="R222" s="3">
        <v>65</v>
      </c>
      <c r="S222" s="4">
        <v>45412</v>
      </c>
      <c r="T222" s="3" t="s">
        <v>1134</v>
      </c>
      <c r="U222" s="5">
        <f>Table1[[#This Row],[Delivery_Date]]-Table1[[#This Row],[Order_Date]]</f>
        <v>4</v>
      </c>
      <c r="V222" s="5">
        <f>Table1[[#This Row],[Price]]*Table1[[#This Row],[Quantity]]</f>
        <v>1107.0899999999999</v>
      </c>
      <c r="W222" s="6" cm="1">
        <f t="array" ref="W222">_xlfn.IFS(
P222="FLAT8",8%,
P222="FLAT10",10%,
P222="FLAT15",15%,P222="FLAT20",20%,P222="DEL0",0%,
TRUE,0%
)</f>
        <v>0.2</v>
      </c>
      <c r="X222" s="5">
        <f>Table1[[#This Row],[Amount]]-(Table1[[#This Row],[Amount]]*Table1[[#This Row],[Discount_Percentage]])</f>
        <v>885.67199999999991</v>
      </c>
      <c r="Y222" s="5">
        <f>IF(P222="DEL0",Table1[[#This Row],[Discount_Amount]],Table1[[#This Row],[Discount_Amount]]+Table1[[#This Row],[Delivery_Charge]])</f>
        <v>950.67199999999991</v>
      </c>
      <c r="Z222" s="7" t="str">
        <f>_xlfn.CONCAT(Table1[[#This Row],[First_Name]],"  ",Table1[[#This Row],[Last_Name]])</f>
        <v>Mark  Summers</v>
      </c>
      <c r="AA222" s="5" t="str" cm="1">
        <f t="array" ref="AA222">_xlfn.IFS( (S222-K222)&gt;Q222,"Late", (S222-K222)=Q222,"InTime", (S222-K222)&lt;Q222,"BeforeTime" )</f>
        <v>Late</v>
      </c>
      <c r="AB222" s="3">
        <f>MONTH(Table1[[#This Row],[Order_Date]])</f>
        <v>4</v>
      </c>
    </row>
    <row r="223" spans="1:28" x14ac:dyDescent="0.3">
      <c r="A223" s="3" t="s">
        <v>263</v>
      </c>
      <c r="B223" s="3" t="s">
        <v>264</v>
      </c>
      <c r="C223" s="3" t="s">
        <v>265</v>
      </c>
      <c r="D223" s="3" t="str">
        <f>_xlfn.CONCAT(Table1[[#This Row],[First_Name]],Table1[[#This Row],[Last_Name]])</f>
        <v>TaylorDavis</v>
      </c>
      <c r="E223" s="3">
        <v>54</v>
      </c>
      <c r="F223" s="3" t="s">
        <v>41</v>
      </c>
      <c r="G223" s="3" t="s">
        <v>30</v>
      </c>
      <c r="H223" s="3" t="s">
        <v>266</v>
      </c>
      <c r="I223" s="3" t="s">
        <v>267</v>
      </c>
      <c r="J223" s="3" t="s">
        <v>1135</v>
      </c>
      <c r="K223" s="4">
        <v>45105</v>
      </c>
      <c r="L223" s="3" t="s">
        <v>1136</v>
      </c>
      <c r="M223" s="3" t="s">
        <v>748</v>
      </c>
      <c r="N223" s="3">
        <v>381.73</v>
      </c>
      <c r="O223" s="3">
        <v>2</v>
      </c>
      <c r="P223" s="3" t="s">
        <v>58</v>
      </c>
      <c r="Q223" s="3">
        <v>3</v>
      </c>
      <c r="R223" s="3">
        <v>70</v>
      </c>
      <c r="S223" s="4">
        <v>45112</v>
      </c>
      <c r="T223" s="3" t="s">
        <v>1137</v>
      </c>
      <c r="U223" s="5">
        <f>Table1[[#This Row],[Delivery_Date]]-Table1[[#This Row],[Order_Date]]</f>
        <v>7</v>
      </c>
      <c r="V223" s="5">
        <f>Table1[[#This Row],[Price]]*Table1[[#This Row],[Quantity]]</f>
        <v>763.46</v>
      </c>
      <c r="W223" s="6" cm="1">
        <f t="array" ref="W223">_xlfn.IFS(
P223="FLAT8",8%,
P223="FLAT10",10%,
P223="FLAT15",15%,P223="FLAT20",20%,P223="DEL0",0%,
TRUE,0%
)</f>
        <v>0.15</v>
      </c>
      <c r="X223" s="5">
        <f>Table1[[#This Row],[Amount]]-(Table1[[#This Row],[Amount]]*Table1[[#This Row],[Discount_Percentage]])</f>
        <v>648.94100000000003</v>
      </c>
      <c r="Y223" s="5">
        <f>IF(P223="DEL0",Table1[[#This Row],[Discount_Amount]],Table1[[#This Row],[Discount_Amount]]+Table1[[#This Row],[Delivery_Charge]])</f>
        <v>718.94100000000003</v>
      </c>
      <c r="Z223" s="7" t="str">
        <f>_xlfn.CONCAT(Table1[[#This Row],[First_Name]],"  ",Table1[[#This Row],[Last_Name]])</f>
        <v>Taylor  Davis</v>
      </c>
      <c r="AA223" s="5" t="str" cm="1">
        <f t="array" ref="AA223">_xlfn.IFS( (S223-K223)&gt;Q223,"Late", (S223-K223)=Q223,"InTime", (S223-K223)&lt;Q223,"BeforeTime" )</f>
        <v>Late</v>
      </c>
      <c r="AB223" s="3">
        <f>MONTH(Table1[[#This Row],[Order_Date]])</f>
        <v>6</v>
      </c>
    </row>
    <row r="224" spans="1:28" x14ac:dyDescent="0.3">
      <c r="A224" s="3" t="s">
        <v>646</v>
      </c>
      <c r="B224" s="3" t="s">
        <v>647</v>
      </c>
      <c r="C224" s="3" t="s">
        <v>648</v>
      </c>
      <c r="D224" s="3" t="str">
        <f>_xlfn.CONCAT(Table1[[#This Row],[First_Name]],Table1[[#This Row],[Last_Name]])</f>
        <v>BethMason</v>
      </c>
      <c r="E224" s="3">
        <v>45</v>
      </c>
      <c r="F224" s="3" t="s">
        <v>52</v>
      </c>
      <c r="G224" s="3" t="s">
        <v>90</v>
      </c>
      <c r="H224" s="3" t="s">
        <v>649</v>
      </c>
      <c r="I224" s="3" t="s">
        <v>650</v>
      </c>
      <c r="J224" s="3" t="s">
        <v>1138</v>
      </c>
      <c r="K224" s="4">
        <v>45677</v>
      </c>
      <c r="L224" s="3" t="s">
        <v>1139</v>
      </c>
      <c r="M224" s="3" t="s">
        <v>495</v>
      </c>
      <c r="N224" s="3">
        <v>421.7</v>
      </c>
      <c r="O224" s="3">
        <v>3</v>
      </c>
      <c r="P224" s="3" t="s">
        <v>96</v>
      </c>
      <c r="Q224" s="3">
        <v>6</v>
      </c>
      <c r="R224" s="3">
        <v>38</v>
      </c>
      <c r="S224" s="4">
        <v>45680</v>
      </c>
      <c r="T224" s="3" t="s">
        <v>1140</v>
      </c>
      <c r="U224" s="5">
        <f>Table1[[#This Row],[Delivery_Date]]-Table1[[#This Row],[Order_Date]]</f>
        <v>3</v>
      </c>
      <c r="V224" s="5">
        <f>Table1[[#This Row],[Price]]*Table1[[#This Row],[Quantity]]</f>
        <v>1265.0999999999999</v>
      </c>
      <c r="W224" s="6" cm="1">
        <f t="array" ref="W224">_xlfn.IFS(
P224="FLAT8",8%,
P224="FLAT10",10%,
P224="FLAT15",15%,P224="FLAT20",20%,P224="DEL0",0%,
TRUE,0%
)</f>
        <v>0.1</v>
      </c>
      <c r="X224" s="5">
        <f>Table1[[#This Row],[Amount]]-(Table1[[#This Row],[Amount]]*Table1[[#This Row],[Discount_Percentage]])</f>
        <v>1138.5899999999999</v>
      </c>
      <c r="Y224" s="5">
        <f>IF(P224="DEL0",Table1[[#This Row],[Discount_Amount]],Table1[[#This Row],[Discount_Amount]]+Table1[[#This Row],[Delivery_Charge]])</f>
        <v>1176.5899999999999</v>
      </c>
      <c r="Z224" s="7" t="str">
        <f>_xlfn.CONCAT(Table1[[#This Row],[First_Name]],"  ",Table1[[#This Row],[Last_Name]])</f>
        <v>Beth  Mason</v>
      </c>
      <c r="AA224" s="5" t="str" cm="1">
        <f t="array" ref="AA224">_xlfn.IFS( (S224-K224)&gt;Q224,"Late", (S224-K224)=Q224,"InTime", (S224-K224)&lt;Q224,"BeforeTime" )</f>
        <v>BeforeTime</v>
      </c>
      <c r="AB224" s="3">
        <f>MONTH(Table1[[#This Row],[Order_Date]])</f>
        <v>1</v>
      </c>
    </row>
    <row r="225" spans="1:28" x14ac:dyDescent="0.3">
      <c r="A225" s="3" t="s">
        <v>1079</v>
      </c>
      <c r="B225" s="3" t="s">
        <v>218</v>
      </c>
      <c r="C225" s="3" t="s">
        <v>1080</v>
      </c>
      <c r="D225" s="3" t="str">
        <f>_xlfn.CONCAT(Table1[[#This Row],[First_Name]],Table1[[#This Row],[Last_Name]])</f>
        <v>MarkSummers</v>
      </c>
      <c r="E225" s="3">
        <v>55</v>
      </c>
      <c r="F225" s="3" t="s">
        <v>41</v>
      </c>
      <c r="G225" s="3" t="s">
        <v>159</v>
      </c>
      <c r="H225" s="3" t="s">
        <v>1081</v>
      </c>
      <c r="I225" s="3" t="s">
        <v>1082</v>
      </c>
      <c r="J225" s="3" t="s">
        <v>1141</v>
      </c>
      <c r="K225" s="4">
        <v>45186</v>
      </c>
      <c r="L225" s="3" t="s">
        <v>1142</v>
      </c>
      <c r="M225" s="3" t="s">
        <v>81</v>
      </c>
      <c r="N225" s="3">
        <v>330.11</v>
      </c>
      <c r="O225" s="3">
        <v>3</v>
      </c>
      <c r="P225" s="3" t="s">
        <v>36</v>
      </c>
      <c r="Q225" s="3">
        <v>2</v>
      </c>
      <c r="R225" s="3">
        <v>40</v>
      </c>
      <c r="S225" s="4">
        <v>45191</v>
      </c>
      <c r="T225" s="3" t="s">
        <v>1143</v>
      </c>
      <c r="U225" s="5">
        <f>Table1[[#This Row],[Delivery_Date]]-Table1[[#This Row],[Order_Date]]</f>
        <v>5</v>
      </c>
      <c r="V225" s="5">
        <f>Table1[[#This Row],[Price]]*Table1[[#This Row],[Quantity]]</f>
        <v>990.33</v>
      </c>
      <c r="W225" s="6" cm="1">
        <f t="array" ref="W225">_xlfn.IFS(
P225="FLAT8",8%,
P225="FLAT10",10%,
P225="FLAT15",15%,P225="FLAT20",20%,P225="DEL0",0%,
TRUE,0%
)</f>
        <v>0.08</v>
      </c>
      <c r="X225" s="5">
        <f>Table1[[#This Row],[Amount]]-(Table1[[#This Row],[Amount]]*Table1[[#This Row],[Discount_Percentage]])</f>
        <v>911.10360000000003</v>
      </c>
      <c r="Y225" s="5">
        <f>IF(P225="DEL0",Table1[[#This Row],[Discount_Amount]],Table1[[#This Row],[Discount_Amount]]+Table1[[#This Row],[Delivery_Charge]])</f>
        <v>951.10360000000003</v>
      </c>
      <c r="Z225" s="7" t="str">
        <f>_xlfn.CONCAT(Table1[[#This Row],[First_Name]],"  ",Table1[[#This Row],[Last_Name]])</f>
        <v>Mark  Summers</v>
      </c>
      <c r="AA225" s="5" t="str" cm="1">
        <f t="array" ref="AA225">_xlfn.IFS( (S225-K225)&gt;Q225,"Late", (S225-K225)=Q225,"InTime", (S225-K225)&lt;Q225,"BeforeTime" )</f>
        <v>Late</v>
      </c>
      <c r="AB225" s="3">
        <f>MONTH(Table1[[#This Row],[Order_Date]])</f>
        <v>9</v>
      </c>
    </row>
    <row r="226" spans="1:28" x14ac:dyDescent="0.3">
      <c r="A226" s="3" t="s">
        <v>301</v>
      </c>
      <c r="B226" s="3" t="s">
        <v>302</v>
      </c>
      <c r="C226" s="3" t="s">
        <v>303</v>
      </c>
      <c r="D226" s="3" t="str">
        <f>_xlfn.CONCAT(Table1[[#This Row],[First_Name]],Table1[[#This Row],[Last_Name]])</f>
        <v>ValerieCarr</v>
      </c>
      <c r="E226" s="3">
        <v>26</v>
      </c>
      <c r="F226" s="3" t="s">
        <v>52</v>
      </c>
      <c r="G226" s="3" t="s">
        <v>168</v>
      </c>
      <c r="H226" s="3" t="s">
        <v>304</v>
      </c>
      <c r="I226" s="3" t="s">
        <v>305</v>
      </c>
      <c r="J226" s="3" t="s">
        <v>1144</v>
      </c>
      <c r="K226" s="4">
        <v>45537</v>
      </c>
      <c r="L226" s="3" t="s">
        <v>1145</v>
      </c>
      <c r="M226" s="3" t="s">
        <v>344</v>
      </c>
      <c r="N226" s="3">
        <v>372.62</v>
      </c>
      <c r="O226" s="3">
        <v>1</v>
      </c>
      <c r="P226" s="3" t="s">
        <v>96</v>
      </c>
      <c r="Q226" s="3">
        <v>4</v>
      </c>
      <c r="R226" s="3">
        <v>36</v>
      </c>
      <c r="S226" s="4">
        <v>45541</v>
      </c>
      <c r="T226" s="3" t="s">
        <v>1146</v>
      </c>
      <c r="U226" s="5">
        <f>Table1[[#This Row],[Delivery_Date]]-Table1[[#This Row],[Order_Date]]</f>
        <v>4</v>
      </c>
      <c r="V226" s="5">
        <f>Table1[[#This Row],[Price]]*Table1[[#This Row],[Quantity]]</f>
        <v>372.62</v>
      </c>
      <c r="W226" s="6" cm="1">
        <f t="array" ref="W226">_xlfn.IFS(
P226="FLAT8",8%,
P226="FLAT10",10%,
P226="FLAT15",15%,P226="FLAT20",20%,P226="DEL0",0%,
TRUE,0%
)</f>
        <v>0.1</v>
      </c>
      <c r="X226" s="5">
        <f>Table1[[#This Row],[Amount]]-(Table1[[#This Row],[Amount]]*Table1[[#This Row],[Discount_Percentage]])</f>
        <v>335.358</v>
      </c>
      <c r="Y226" s="5">
        <f>IF(P226="DEL0",Table1[[#This Row],[Discount_Amount]],Table1[[#This Row],[Discount_Amount]]+Table1[[#This Row],[Delivery_Charge]])</f>
        <v>371.358</v>
      </c>
      <c r="Z226" s="7" t="str">
        <f>_xlfn.CONCAT(Table1[[#This Row],[First_Name]],"  ",Table1[[#This Row],[Last_Name]])</f>
        <v>Valerie  Carr</v>
      </c>
      <c r="AA226" s="5" t="str" cm="1">
        <f t="array" ref="AA226">_xlfn.IFS( (S226-K226)&gt;Q226,"Late", (S226-K226)=Q226,"InTime", (S226-K226)&lt;Q226,"BeforeTime" )</f>
        <v>InTime</v>
      </c>
      <c r="AB226" s="3">
        <f>MONTH(Table1[[#This Row],[Order_Date]])</f>
        <v>9</v>
      </c>
    </row>
    <row r="227" spans="1:28" x14ac:dyDescent="0.3">
      <c r="A227" s="3" t="s">
        <v>1103</v>
      </c>
      <c r="B227" s="3" t="s">
        <v>1104</v>
      </c>
      <c r="C227" s="3" t="s">
        <v>1105</v>
      </c>
      <c r="D227" s="3" t="str">
        <f>_xlfn.CONCAT(Table1[[#This Row],[First_Name]],Table1[[#This Row],[Last_Name]])</f>
        <v>GaryHuff</v>
      </c>
      <c r="E227" s="3">
        <v>18</v>
      </c>
      <c r="F227" s="3" t="s">
        <v>29</v>
      </c>
      <c r="G227" s="3" t="s">
        <v>76</v>
      </c>
      <c r="H227" s="3" t="s">
        <v>1106</v>
      </c>
      <c r="I227" s="3" t="s">
        <v>1107</v>
      </c>
      <c r="J227" s="3" t="s">
        <v>1147</v>
      </c>
      <c r="K227" s="4">
        <v>45217</v>
      </c>
      <c r="L227" s="3" t="s">
        <v>1148</v>
      </c>
      <c r="M227" s="3" t="s">
        <v>323</v>
      </c>
      <c r="N227" s="3">
        <v>481.48</v>
      </c>
      <c r="O227" s="3">
        <v>3</v>
      </c>
      <c r="P227" s="3" t="s">
        <v>96</v>
      </c>
      <c r="Q227" s="3">
        <v>2</v>
      </c>
      <c r="R227" s="3">
        <v>42</v>
      </c>
      <c r="S227" s="4">
        <v>45221</v>
      </c>
      <c r="T227" s="3" t="s">
        <v>1149</v>
      </c>
      <c r="U227" s="5">
        <f>Table1[[#This Row],[Delivery_Date]]-Table1[[#This Row],[Order_Date]]</f>
        <v>4</v>
      </c>
      <c r="V227" s="5">
        <f>Table1[[#This Row],[Price]]*Table1[[#This Row],[Quantity]]</f>
        <v>1444.44</v>
      </c>
      <c r="W227" s="6" cm="1">
        <f t="array" ref="W227">_xlfn.IFS(
P227="FLAT8",8%,
P227="FLAT10",10%,
P227="FLAT15",15%,P227="FLAT20",20%,P227="DEL0",0%,
TRUE,0%
)</f>
        <v>0.1</v>
      </c>
      <c r="X227" s="5">
        <f>Table1[[#This Row],[Amount]]-(Table1[[#This Row],[Amount]]*Table1[[#This Row],[Discount_Percentage]])</f>
        <v>1299.9960000000001</v>
      </c>
      <c r="Y227" s="5">
        <f>IF(P227="DEL0",Table1[[#This Row],[Discount_Amount]],Table1[[#This Row],[Discount_Amount]]+Table1[[#This Row],[Delivery_Charge]])</f>
        <v>1341.9960000000001</v>
      </c>
      <c r="Z227" s="7" t="str">
        <f>_xlfn.CONCAT(Table1[[#This Row],[First_Name]],"  ",Table1[[#This Row],[Last_Name]])</f>
        <v>Gary  Huff</v>
      </c>
      <c r="AA227" s="5" t="str" cm="1">
        <f t="array" ref="AA227">_xlfn.IFS( (S227-K227)&gt;Q227,"Late", (S227-K227)=Q227,"InTime", (S227-K227)&lt;Q227,"BeforeTime" )</f>
        <v>Late</v>
      </c>
      <c r="AB227" s="3">
        <f>MONTH(Table1[[#This Row],[Order_Date]])</f>
        <v>10</v>
      </c>
    </row>
    <row r="228" spans="1:28" x14ac:dyDescent="0.3">
      <c r="A228" s="3" t="s">
        <v>184</v>
      </c>
      <c r="B228" s="3" t="s">
        <v>185</v>
      </c>
      <c r="C228" s="3" t="s">
        <v>186</v>
      </c>
      <c r="D228" s="3" t="str">
        <f>_xlfn.CONCAT(Table1[[#This Row],[First_Name]],Table1[[#This Row],[Last_Name]])</f>
        <v>MalloryMitchell</v>
      </c>
      <c r="E228" s="3">
        <v>42</v>
      </c>
      <c r="F228" s="3" t="s">
        <v>41</v>
      </c>
      <c r="G228" s="3" t="s">
        <v>168</v>
      </c>
      <c r="H228" s="3" t="s">
        <v>187</v>
      </c>
      <c r="I228" s="3" t="s">
        <v>188</v>
      </c>
      <c r="J228" s="3" t="s">
        <v>1150</v>
      </c>
      <c r="K228" s="4">
        <v>45555</v>
      </c>
      <c r="L228" s="3" t="s">
        <v>1151</v>
      </c>
      <c r="M228" s="3" t="s">
        <v>35</v>
      </c>
      <c r="N228" s="3">
        <v>308.88</v>
      </c>
      <c r="O228" s="3">
        <v>1</v>
      </c>
      <c r="P228" s="3" t="s">
        <v>58</v>
      </c>
      <c r="Q228" s="3">
        <v>3</v>
      </c>
      <c r="R228" s="3">
        <v>54</v>
      </c>
      <c r="S228" s="4">
        <v>45556</v>
      </c>
      <c r="T228" s="3" t="s">
        <v>1152</v>
      </c>
      <c r="U228" s="5">
        <f>Table1[[#This Row],[Delivery_Date]]-Table1[[#This Row],[Order_Date]]</f>
        <v>1</v>
      </c>
      <c r="V228" s="5">
        <f>Table1[[#This Row],[Price]]*Table1[[#This Row],[Quantity]]</f>
        <v>308.88</v>
      </c>
      <c r="W228" s="6" cm="1">
        <f t="array" ref="W228">_xlfn.IFS(
P228="FLAT8",8%,
P228="FLAT10",10%,
P228="FLAT15",15%,P228="FLAT20",20%,P228="DEL0",0%,
TRUE,0%
)</f>
        <v>0.15</v>
      </c>
      <c r="X228" s="5">
        <f>Table1[[#This Row],[Amount]]-(Table1[[#This Row],[Amount]]*Table1[[#This Row],[Discount_Percentage]])</f>
        <v>262.548</v>
      </c>
      <c r="Y228" s="5">
        <f>IF(P228="DEL0",Table1[[#This Row],[Discount_Amount]],Table1[[#This Row],[Discount_Amount]]+Table1[[#This Row],[Delivery_Charge]])</f>
        <v>316.548</v>
      </c>
      <c r="Z228" s="7" t="str">
        <f>_xlfn.CONCAT(Table1[[#This Row],[First_Name]],"  ",Table1[[#This Row],[Last_Name]])</f>
        <v>Mallory  Mitchell</v>
      </c>
      <c r="AA228" s="5" t="str" cm="1">
        <f t="array" ref="AA228">_xlfn.IFS( (S228-K228)&gt;Q228,"Late", (S228-K228)=Q228,"InTime", (S228-K228)&lt;Q228,"BeforeTime" )</f>
        <v>BeforeTime</v>
      </c>
      <c r="AB228" s="3">
        <f>MONTH(Table1[[#This Row],[Order_Date]])</f>
        <v>9</v>
      </c>
    </row>
    <row r="229" spans="1:28" x14ac:dyDescent="0.3">
      <c r="A229" s="3" t="s">
        <v>26</v>
      </c>
      <c r="B229" s="3" t="s">
        <v>27</v>
      </c>
      <c r="C229" s="3" t="s">
        <v>28</v>
      </c>
      <c r="D229" s="3" t="str">
        <f>_xlfn.CONCAT(Table1[[#This Row],[First_Name]],Table1[[#This Row],[Last_Name]])</f>
        <v>AnneOconnell</v>
      </c>
      <c r="E229" s="3">
        <v>37</v>
      </c>
      <c r="F229" s="3" t="s">
        <v>29</v>
      </c>
      <c r="G229" s="3" t="s">
        <v>30</v>
      </c>
      <c r="H229" s="3" t="s">
        <v>31</v>
      </c>
      <c r="I229" s="3" t="s">
        <v>32</v>
      </c>
      <c r="J229" s="3" t="s">
        <v>1153</v>
      </c>
      <c r="K229" s="4">
        <v>45162</v>
      </c>
      <c r="L229" s="3" t="s">
        <v>1154</v>
      </c>
      <c r="M229" s="3" t="s">
        <v>234</v>
      </c>
      <c r="N229" s="3">
        <v>132.97</v>
      </c>
      <c r="O229" s="3">
        <v>4</v>
      </c>
      <c r="P229" s="3" t="s">
        <v>96</v>
      </c>
      <c r="Q229" s="3">
        <v>3</v>
      </c>
      <c r="R229" s="3">
        <v>43</v>
      </c>
      <c r="S229" s="4">
        <v>45163</v>
      </c>
      <c r="T229" s="3" t="s">
        <v>1155</v>
      </c>
      <c r="U229" s="5">
        <f>Table1[[#This Row],[Delivery_Date]]-Table1[[#This Row],[Order_Date]]</f>
        <v>1</v>
      </c>
      <c r="V229" s="5">
        <f>Table1[[#This Row],[Price]]*Table1[[#This Row],[Quantity]]</f>
        <v>531.88</v>
      </c>
      <c r="W229" s="6" cm="1">
        <f t="array" ref="W229">_xlfn.IFS(
P229="FLAT8",8%,
P229="FLAT10",10%,
P229="FLAT15",15%,P229="FLAT20",20%,P229="DEL0",0%,
TRUE,0%
)</f>
        <v>0.1</v>
      </c>
      <c r="X229" s="5">
        <f>Table1[[#This Row],[Amount]]-(Table1[[#This Row],[Amount]]*Table1[[#This Row],[Discount_Percentage]])</f>
        <v>478.69200000000001</v>
      </c>
      <c r="Y229" s="5">
        <f>IF(P229="DEL0",Table1[[#This Row],[Discount_Amount]],Table1[[#This Row],[Discount_Amount]]+Table1[[#This Row],[Delivery_Charge]])</f>
        <v>521.69200000000001</v>
      </c>
      <c r="Z229" s="7" t="str">
        <f>_xlfn.CONCAT(Table1[[#This Row],[First_Name]],"  ",Table1[[#This Row],[Last_Name]])</f>
        <v>Anne  Oconnell</v>
      </c>
      <c r="AA229" s="5" t="str" cm="1">
        <f t="array" ref="AA229">_xlfn.IFS( (S229-K229)&gt;Q229,"Late", (S229-K229)=Q229,"InTime", (S229-K229)&lt;Q229,"BeforeTime" )</f>
        <v>BeforeTime</v>
      </c>
      <c r="AB229" s="3">
        <f>MONTH(Table1[[#This Row],[Order_Date]])</f>
        <v>8</v>
      </c>
    </row>
    <row r="230" spans="1:28" x14ac:dyDescent="0.3">
      <c r="A230" s="3" t="s">
        <v>227</v>
      </c>
      <c r="B230" s="3" t="s">
        <v>228</v>
      </c>
      <c r="C230" s="3" t="s">
        <v>229</v>
      </c>
      <c r="D230" s="3" t="str">
        <f>_xlfn.CONCAT(Table1[[#This Row],[First_Name]],Table1[[#This Row],[Last_Name]])</f>
        <v>JohnHerrera</v>
      </c>
      <c r="E230" s="3">
        <v>64</v>
      </c>
      <c r="F230" s="3" t="s">
        <v>41</v>
      </c>
      <c r="G230" s="3" t="s">
        <v>42</v>
      </c>
      <c r="H230" s="3" t="s">
        <v>230</v>
      </c>
      <c r="I230" s="3" t="s">
        <v>231</v>
      </c>
      <c r="J230" s="3" t="s">
        <v>1156</v>
      </c>
      <c r="K230" s="4">
        <v>45488</v>
      </c>
      <c r="L230" s="3" t="s">
        <v>1157</v>
      </c>
      <c r="M230" s="3" t="s">
        <v>344</v>
      </c>
      <c r="N230" s="3">
        <v>372.62</v>
      </c>
      <c r="O230" s="3">
        <v>4</v>
      </c>
      <c r="P230" s="3" t="s">
        <v>36</v>
      </c>
      <c r="Q230" s="3">
        <v>1</v>
      </c>
      <c r="R230" s="3">
        <v>45</v>
      </c>
      <c r="S230" s="4">
        <v>45492</v>
      </c>
      <c r="T230" s="3" t="s">
        <v>1158</v>
      </c>
      <c r="U230" s="5">
        <f>Table1[[#This Row],[Delivery_Date]]-Table1[[#This Row],[Order_Date]]</f>
        <v>4</v>
      </c>
      <c r="V230" s="5">
        <f>Table1[[#This Row],[Price]]*Table1[[#This Row],[Quantity]]</f>
        <v>1490.48</v>
      </c>
      <c r="W230" s="6" cm="1">
        <f t="array" ref="W230">_xlfn.IFS(
P230="FLAT8",8%,
P230="FLAT10",10%,
P230="FLAT15",15%,P230="FLAT20",20%,P230="DEL0",0%,
TRUE,0%
)</f>
        <v>0.08</v>
      </c>
      <c r="X230" s="5">
        <f>Table1[[#This Row],[Amount]]-(Table1[[#This Row],[Amount]]*Table1[[#This Row],[Discount_Percentage]])</f>
        <v>1371.2416000000001</v>
      </c>
      <c r="Y230" s="5">
        <f>IF(P230="DEL0",Table1[[#This Row],[Discount_Amount]],Table1[[#This Row],[Discount_Amount]]+Table1[[#This Row],[Delivery_Charge]])</f>
        <v>1416.2416000000001</v>
      </c>
      <c r="Z230" s="7" t="str">
        <f>_xlfn.CONCAT(Table1[[#This Row],[First_Name]],"  ",Table1[[#This Row],[Last_Name]])</f>
        <v>John  Herrera</v>
      </c>
      <c r="AA230" s="5" t="str" cm="1">
        <f t="array" ref="AA230">_xlfn.IFS( (S230-K230)&gt;Q230,"Late", (S230-K230)=Q230,"InTime", (S230-K230)&lt;Q230,"BeforeTime" )</f>
        <v>Late</v>
      </c>
      <c r="AB230" s="3">
        <f>MONTH(Table1[[#This Row],[Order_Date]])</f>
        <v>7</v>
      </c>
    </row>
    <row r="231" spans="1:28" x14ac:dyDescent="0.3">
      <c r="A231" s="3" t="s">
        <v>466</v>
      </c>
      <c r="B231" s="3" t="s">
        <v>467</v>
      </c>
      <c r="C231" s="3" t="s">
        <v>468</v>
      </c>
      <c r="D231" s="3" t="str">
        <f>_xlfn.CONCAT(Table1[[#This Row],[First_Name]],Table1[[#This Row],[Last_Name]])</f>
        <v>LoriCook</v>
      </c>
      <c r="E231" s="3">
        <v>18</v>
      </c>
      <c r="F231" s="3" t="s">
        <v>41</v>
      </c>
      <c r="G231" s="3" t="s">
        <v>42</v>
      </c>
      <c r="H231" s="3" t="s">
        <v>469</v>
      </c>
      <c r="I231" s="3" t="s">
        <v>470</v>
      </c>
      <c r="J231" s="3" t="s">
        <v>1159</v>
      </c>
      <c r="K231" s="4">
        <v>45273</v>
      </c>
      <c r="L231" s="3" t="s">
        <v>1160</v>
      </c>
      <c r="M231" s="3" t="s">
        <v>242</v>
      </c>
      <c r="N231" s="3">
        <v>126.19</v>
      </c>
      <c r="O231" s="3">
        <v>5</v>
      </c>
      <c r="P231" s="3" t="s">
        <v>96</v>
      </c>
      <c r="Q231" s="3">
        <v>4</v>
      </c>
      <c r="R231" s="3">
        <v>47</v>
      </c>
      <c r="S231" s="4">
        <v>45280</v>
      </c>
      <c r="T231" s="3" t="s">
        <v>1161</v>
      </c>
      <c r="U231" s="5">
        <f>Table1[[#This Row],[Delivery_Date]]-Table1[[#This Row],[Order_Date]]</f>
        <v>7</v>
      </c>
      <c r="V231" s="5">
        <f>Table1[[#This Row],[Price]]*Table1[[#This Row],[Quantity]]</f>
        <v>630.95000000000005</v>
      </c>
      <c r="W231" s="6" cm="1">
        <f t="array" ref="W231">_xlfn.IFS(
P231="FLAT8",8%,
P231="FLAT10",10%,
P231="FLAT15",15%,P231="FLAT20",20%,P231="DEL0",0%,
TRUE,0%
)</f>
        <v>0.1</v>
      </c>
      <c r="X231" s="5">
        <f>Table1[[#This Row],[Amount]]-(Table1[[#This Row],[Amount]]*Table1[[#This Row],[Discount_Percentage]])</f>
        <v>567.85500000000002</v>
      </c>
      <c r="Y231" s="5">
        <f>IF(P231="DEL0",Table1[[#This Row],[Discount_Amount]],Table1[[#This Row],[Discount_Amount]]+Table1[[#This Row],[Delivery_Charge]])</f>
        <v>614.85500000000002</v>
      </c>
      <c r="Z231" s="7" t="str">
        <f>_xlfn.CONCAT(Table1[[#This Row],[First_Name]],"  ",Table1[[#This Row],[Last_Name]])</f>
        <v>Lori  Cook</v>
      </c>
      <c r="AA231" s="5" t="str" cm="1">
        <f t="array" ref="AA231">_xlfn.IFS( (S231-K231)&gt;Q231,"Late", (S231-K231)=Q231,"InTime", (S231-K231)&lt;Q231,"BeforeTime" )</f>
        <v>Late</v>
      </c>
      <c r="AB231" s="3">
        <f>MONTH(Table1[[#This Row],[Order_Date]])</f>
        <v>12</v>
      </c>
    </row>
    <row r="232" spans="1:28" x14ac:dyDescent="0.3">
      <c r="A232" s="3" t="s">
        <v>1103</v>
      </c>
      <c r="B232" s="3" t="s">
        <v>1104</v>
      </c>
      <c r="C232" s="3" t="s">
        <v>1105</v>
      </c>
      <c r="D232" s="3" t="str">
        <f>_xlfn.CONCAT(Table1[[#This Row],[First_Name]],Table1[[#This Row],[Last_Name]])</f>
        <v>GaryHuff</v>
      </c>
      <c r="E232" s="3">
        <v>18</v>
      </c>
      <c r="F232" s="3" t="s">
        <v>29</v>
      </c>
      <c r="G232" s="3" t="s">
        <v>76</v>
      </c>
      <c r="H232" s="3" t="s">
        <v>1106</v>
      </c>
      <c r="I232" s="3" t="s">
        <v>1107</v>
      </c>
      <c r="J232" s="3" t="s">
        <v>1162</v>
      </c>
      <c r="K232" s="4">
        <v>45117</v>
      </c>
      <c r="L232" s="3" t="s">
        <v>1163</v>
      </c>
      <c r="M232" s="3" t="s">
        <v>590</v>
      </c>
      <c r="N232" s="3">
        <v>403.03</v>
      </c>
      <c r="O232" s="3">
        <v>2</v>
      </c>
      <c r="P232" s="3" t="s">
        <v>58</v>
      </c>
      <c r="Q232" s="3">
        <v>7</v>
      </c>
      <c r="R232" s="3">
        <v>45</v>
      </c>
      <c r="S232" s="4">
        <v>45118</v>
      </c>
      <c r="T232" s="3" t="s">
        <v>1164</v>
      </c>
      <c r="U232" s="5">
        <f>Table1[[#This Row],[Delivery_Date]]-Table1[[#This Row],[Order_Date]]</f>
        <v>1</v>
      </c>
      <c r="V232" s="5">
        <f>Table1[[#This Row],[Price]]*Table1[[#This Row],[Quantity]]</f>
        <v>806.06</v>
      </c>
      <c r="W232" s="6" cm="1">
        <f t="array" ref="W232">_xlfn.IFS(
P232="FLAT8",8%,
P232="FLAT10",10%,
P232="FLAT15",15%,P232="FLAT20",20%,P232="DEL0",0%,
TRUE,0%
)</f>
        <v>0.15</v>
      </c>
      <c r="X232" s="5">
        <f>Table1[[#This Row],[Amount]]-(Table1[[#This Row],[Amount]]*Table1[[#This Row],[Discount_Percentage]])</f>
        <v>685.15099999999995</v>
      </c>
      <c r="Y232" s="5">
        <f>IF(P232="DEL0",Table1[[#This Row],[Discount_Amount]],Table1[[#This Row],[Discount_Amount]]+Table1[[#This Row],[Delivery_Charge]])</f>
        <v>730.15099999999995</v>
      </c>
      <c r="Z232" s="7" t="str">
        <f>_xlfn.CONCAT(Table1[[#This Row],[First_Name]],"  ",Table1[[#This Row],[Last_Name]])</f>
        <v>Gary  Huff</v>
      </c>
      <c r="AA232" s="5" t="str" cm="1">
        <f t="array" ref="AA232">_xlfn.IFS( (S232-K232)&gt;Q232,"Late", (S232-K232)=Q232,"InTime", (S232-K232)&lt;Q232,"BeforeTime" )</f>
        <v>BeforeTime</v>
      </c>
      <c r="AB232" s="3">
        <f>MONTH(Table1[[#This Row],[Order_Date]])</f>
        <v>7</v>
      </c>
    </row>
    <row r="233" spans="1:28" x14ac:dyDescent="0.3">
      <c r="A233" s="3" t="s">
        <v>1103</v>
      </c>
      <c r="B233" s="3" t="s">
        <v>1104</v>
      </c>
      <c r="C233" s="3" t="s">
        <v>1105</v>
      </c>
      <c r="D233" s="3" t="str">
        <f>_xlfn.CONCAT(Table1[[#This Row],[First_Name]],Table1[[#This Row],[Last_Name]])</f>
        <v>GaryHuff</v>
      </c>
      <c r="E233" s="3">
        <v>18</v>
      </c>
      <c r="F233" s="3" t="s">
        <v>29</v>
      </c>
      <c r="G233" s="3" t="s">
        <v>76</v>
      </c>
      <c r="H233" s="3" t="s">
        <v>1106</v>
      </c>
      <c r="I233" s="3" t="s">
        <v>1107</v>
      </c>
      <c r="J233" s="3" t="s">
        <v>1165</v>
      </c>
      <c r="K233" s="4">
        <v>45392</v>
      </c>
      <c r="L233" s="3" t="s">
        <v>1166</v>
      </c>
      <c r="M233" s="3" t="s">
        <v>287</v>
      </c>
      <c r="N233" s="3">
        <v>157.63999999999999</v>
      </c>
      <c r="O233" s="3">
        <v>2</v>
      </c>
      <c r="P233" s="3" t="s">
        <v>58</v>
      </c>
      <c r="Q233" s="3">
        <v>5</v>
      </c>
      <c r="R233" s="3">
        <v>64</v>
      </c>
      <c r="S233" s="4">
        <v>45395</v>
      </c>
      <c r="T233" s="3" t="s">
        <v>1167</v>
      </c>
      <c r="U233" s="5">
        <f>Table1[[#This Row],[Delivery_Date]]-Table1[[#This Row],[Order_Date]]</f>
        <v>3</v>
      </c>
      <c r="V233" s="5">
        <f>Table1[[#This Row],[Price]]*Table1[[#This Row],[Quantity]]</f>
        <v>315.27999999999997</v>
      </c>
      <c r="W233" s="6" cm="1">
        <f t="array" ref="W233">_xlfn.IFS(
P233="FLAT8",8%,
P233="FLAT10",10%,
P233="FLAT15",15%,P233="FLAT20",20%,P233="DEL0",0%,
TRUE,0%
)</f>
        <v>0.15</v>
      </c>
      <c r="X233" s="5">
        <f>Table1[[#This Row],[Amount]]-(Table1[[#This Row],[Amount]]*Table1[[#This Row],[Discount_Percentage]])</f>
        <v>267.988</v>
      </c>
      <c r="Y233" s="5">
        <f>IF(P233="DEL0",Table1[[#This Row],[Discount_Amount]],Table1[[#This Row],[Discount_Amount]]+Table1[[#This Row],[Delivery_Charge]])</f>
        <v>331.988</v>
      </c>
      <c r="Z233" s="7" t="str">
        <f>_xlfn.CONCAT(Table1[[#This Row],[First_Name]],"  ",Table1[[#This Row],[Last_Name]])</f>
        <v>Gary  Huff</v>
      </c>
      <c r="AA233" s="5" t="str" cm="1">
        <f t="array" ref="AA233">_xlfn.IFS( (S233-K233)&gt;Q233,"Late", (S233-K233)=Q233,"InTime", (S233-K233)&lt;Q233,"BeforeTime" )</f>
        <v>BeforeTime</v>
      </c>
      <c r="AB233" s="3">
        <f>MONTH(Table1[[#This Row],[Order_Date]])</f>
        <v>4</v>
      </c>
    </row>
    <row r="234" spans="1:28" x14ac:dyDescent="0.3">
      <c r="A234" s="3" t="s">
        <v>1168</v>
      </c>
      <c r="B234" s="3" t="s">
        <v>1169</v>
      </c>
      <c r="C234" s="3" t="s">
        <v>1170</v>
      </c>
      <c r="D234" s="3" t="str">
        <f>_xlfn.CONCAT(Table1[[#This Row],[First_Name]],Table1[[#This Row],[Last_Name]])</f>
        <v>MikeCarter</v>
      </c>
      <c r="E234" s="3">
        <v>59</v>
      </c>
      <c r="F234" s="3" t="s">
        <v>52</v>
      </c>
      <c r="G234" s="3" t="s">
        <v>168</v>
      </c>
      <c r="H234" s="3" t="s">
        <v>1171</v>
      </c>
      <c r="I234" s="3" t="s">
        <v>1172</v>
      </c>
      <c r="J234" s="3" t="s">
        <v>1173</v>
      </c>
      <c r="K234" s="4">
        <v>45251</v>
      </c>
      <c r="L234" s="3" t="s">
        <v>1174</v>
      </c>
      <c r="M234" s="3" t="s">
        <v>250</v>
      </c>
      <c r="N234" s="3">
        <v>128.13999999999999</v>
      </c>
      <c r="O234" s="3">
        <v>1</v>
      </c>
      <c r="P234" s="3" t="s">
        <v>96</v>
      </c>
      <c r="Q234" s="3">
        <v>7</v>
      </c>
      <c r="R234" s="3">
        <v>52</v>
      </c>
      <c r="S234" s="4">
        <v>45254</v>
      </c>
      <c r="T234" s="3" t="s">
        <v>1175</v>
      </c>
      <c r="U234" s="5">
        <f>Table1[[#This Row],[Delivery_Date]]-Table1[[#This Row],[Order_Date]]</f>
        <v>3</v>
      </c>
      <c r="V234" s="5">
        <f>Table1[[#This Row],[Price]]*Table1[[#This Row],[Quantity]]</f>
        <v>128.13999999999999</v>
      </c>
      <c r="W234" s="6" cm="1">
        <f t="array" ref="W234">_xlfn.IFS(
P234="FLAT8",8%,
P234="FLAT10",10%,
P234="FLAT15",15%,P234="FLAT20",20%,P234="DEL0",0%,
TRUE,0%
)</f>
        <v>0.1</v>
      </c>
      <c r="X234" s="5">
        <f>Table1[[#This Row],[Amount]]-(Table1[[#This Row],[Amount]]*Table1[[#This Row],[Discount_Percentage]])</f>
        <v>115.32599999999999</v>
      </c>
      <c r="Y234" s="5">
        <f>IF(P234="DEL0",Table1[[#This Row],[Discount_Amount]],Table1[[#This Row],[Discount_Amount]]+Table1[[#This Row],[Delivery_Charge]])</f>
        <v>167.32599999999999</v>
      </c>
      <c r="Z234" s="7" t="str">
        <f>_xlfn.CONCAT(Table1[[#This Row],[First_Name]],"  ",Table1[[#This Row],[Last_Name]])</f>
        <v>Mike  Carter</v>
      </c>
      <c r="AA234" s="5" t="str" cm="1">
        <f t="array" ref="AA234">_xlfn.IFS( (S234-K234)&gt;Q234,"Late", (S234-K234)=Q234,"InTime", (S234-K234)&lt;Q234,"BeforeTime" )</f>
        <v>BeforeTime</v>
      </c>
      <c r="AB234" s="3">
        <f>MONTH(Table1[[#This Row],[Order_Date]])</f>
        <v>11</v>
      </c>
    </row>
    <row r="235" spans="1:28" x14ac:dyDescent="0.3">
      <c r="A235" s="3" t="s">
        <v>272</v>
      </c>
      <c r="B235" s="3" t="s">
        <v>273</v>
      </c>
      <c r="C235" s="3" t="s">
        <v>274</v>
      </c>
      <c r="D235" s="3" t="str">
        <f>_xlfn.CONCAT(Table1[[#This Row],[First_Name]],Table1[[#This Row],[Last_Name]])</f>
        <v>LaurenLong</v>
      </c>
      <c r="E235" s="3">
        <v>44</v>
      </c>
      <c r="F235" s="3" t="s">
        <v>29</v>
      </c>
      <c r="G235" s="3" t="s">
        <v>220</v>
      </c>
      <c r="H235" s="3" t="s">
        <v>275</v>
      </c>
      <c r="I235" s="3" t="s">
        <v>276</v>
      </c>
      <c r="J235" s="3" t="s">
        <v>1176</v>
      </c>
      <c r="K235" s="4">
        <v>45348</v>
      </c>
      <c r="L235" s="3" t="s">
        <v>1177</v>
      </c>
      <c r="M235" s="3" t="s">
        <v>126</v>
      </c>
      <c r="N235" s="3">
        <v>257.06</v>
      </c>
      <c r="O235" s="3">
        <v>3</v>
      </c>
      <c r="P235" s="3" t="s">
        <v>63</v>
      </c>
      <c r="Q235" s="3">
        <v>5</v>
      </c>
      <c r="R235" s="3">
        <v>63</v>
      </c>
      <c r="S235" s="4">
        <v>45354</v>
      </c>
      <c r="T235" s="3" t="s">
        <v>1178</v>
      </c>
      <c r="U235" s="5">
        <f>Table1[[#This Row],[Delivery_Date]]-Table1[[#This Row],[Order_Date]]</f>
        <v>6</v>
      </c>
      <c r="V235" s="5">
        <f>Table1[[#This Row],[Price]]*Table1[[#This Row],[Quantity]]</f>
        <v>771.18000000000006</v>
      </c>
      <c r="W235" s="6" cm="1">
        <f t="array" ref="W235">_xlfn.IFS(
P235="FLAT8",8%,
P235="FLAT10",10%,
P235="FLAT15",15%,P235="FLAT20",20%,P235="DEL0",0%,
TRUE,0%
)</f>
        <v>0</v>
      </c>
      <c r="X235" s="5">
        <f>Table1[[#This Row],[Amount]]-(Table1[[#This Row],[Amount]]*Table1[[#This Row],[Discount_Percentage]])</f>
        <v>771.18000000000006</v>
      </c>
      <c r="Y235" s="5">
        <f>IF(P235="DEL0",Table1[[#This Row],[Discount_Amount]],Table1[[#This Row],[Discount_Amount]]+Table1[[#This Row],[Delivery_Charge]])</f>
        <v>771.18000000000006</v>
      </c>
      <c r="Z235" s="7" t="str">
        <f>_xlfn.CONCAT(Table1[[#This Row],[First_Name]],"  ",Table1[[#This Row],[Last_Name]])</f>
        <v>Lauren  Long</v>
      </c>
      <c r="AA235" s="5" t="str" cm="1">
        <f t="array" ref="AA235">_xlfn.IFS( (S235-K235)&gt;Q235,"Late", (S235-K235)=Q235,"InTime", (S235-K235)&lt;Q235,"BeforeTime" )</f>
        <v>Late</v>
      </c>
      <c r="AB235" s="3">
        <f>MONTH(Table1[[#This Row],[Order_Date]])</f>
        <v>2</v>
      </c>
    </row>
    <row r="236" spans="1:28" x14ac:dyDescent="0.3">
      <c r="A236" s="3" t="s">
        <v>546</v>
      </c>
      <c r="B236" s="3" t="s">
        <v>547</v>
      </c>
      <c r="C236" s="3" t="s">
        <v>548</v>
      </c>
      <c r="D236" s="3" t="str">
        <f>_xlfn.CONCAT(Table1[[#This Row],[First_Name]],Table1[[#This Row],[Last_Name]])</f>
        <v>JodiWhitney</v>
      </c>
      <c r="E236" s="3">
        <v>33</v>
      </c>
      <c r="F236" s="3" t="s">
        <v>52</v>
      </c>
      <c r="G236" s="3" t="s">
        <v>168</v>
      </c>
      <c r="H236" s="3" t="s">
        <v>549</v>
      </c>
      <c r="I236" s="3" t="s">
        <v>550</v>
      </c>
      <c r="J236" s="3" t="s">
        <v>1179</v>
      </c>
      <c r="K236" s="4">
        <v>45257</v>
      </c>
      <c r="L236" s="3" t="s">
        <v>1180</v>
      </c>
      <c r="M236" s="3" t="s">
        <v>173</v>
      </c>
      <c r="N236" s="3">
        <v>272.51</v>
      </c>
      <c r="O236" s="3">
        <v>2</v>
      </c>
      <c r="P236" s="3" t="s">
        <v>96</v>
      </c>
      <c r="Q236" s="3">
        <v>4</v>
      </c>
      <c r="R236" s="3">
        <v>48</v>
      </c>
      <c r="S236" s="4">
        <v>45264</v>
      </c>
      <c r="T236" s="3" t="s">
        <v>1181</v>
      </c>
      <c r="U236" s="5">
        <f>Table1[[#This Row],[Delivery_Date]]-Table1[[#This Row],[Order_Date]]</f>
        <v>7</v>
      </c>
      <c r="V236" s="5">
        <f>Table1[[#This Row],[Price]]*Table1[[#This Row],[Quantity]]</f>
        <v>545.02</v>
      </c>
      <c r="W236" s="6" cm="1">
        <f t="array" ref="W236">_xlfn.IFS(
P236="FLAT8",8%,
P236="FLAT10",10%,
P236="FLAT15",15%,P236="FLAT20",20%,P236="DEL0",0%,
TRUE,0%
)</f>
        <v>0.1</v>
      </c>
      <c r="X236" s="5">
        <f>Table1[[#This Row],[Amount]]-(Table1[[#This Row],[Amount]]*Table1[[#This Row],[Discount_Percentage]])</f>
        <v>490.51799999999997</v>
      </c>
      <c r="Y236" s="5">
        <f>IF(P236="DEL0",Table1[[#This Row],[Discount_Amount]],Table1[[#This Row],[Discount_Amount]]+Table1[[#This Row],[Delivery_Charge]])</f>
        <v>538.51800000000003</v>
      </c>
      <c r="Z236" s="7" t="str">
        <f>_xlfn.CONCAT(Table1[[#This Row],[First_Name]],"  ",Table1[[#This Row],[Last_Name]])</f>
        <v>Jodi  Whitney</v>
      </c>
      <c r="AA236" s="5" t="str" cm="1">
        <f t="array" ref="AA236">_xlfn.IFS( (S236-K236)&gt;Q236,"Late", (S236-K236)=Q236,"InTime", (S236-K236)&lt;Q236,"BeforeTime" )</f>
        <v>Late</v>
      </c>
      <c r="AB236" s="3">
        <f>MONTH(Table1[[#This Row],[Order_Date]])</f>
        <v>11</v>
      </c>
    </row>
    <row r="237" spans="1:28" x14ac:dyDescent="0.3">
      <c r="A237" s="3" t="s">
        <v>272</v>
      </c>
      <c r="B237" s="3" t="s">
        <v>273</v>
      </c>
      <c r="C237" s="3" t="s">
        <v>274</v>
      </c>
      <c r="D237" s="3" t="str">
        <f>_xlfn.CONCAT(Table1[[#This Row],[First_Name]],Table1[[#This Row],[Last_Name]])</f>
        <v>LaurenLong</v>
      </c>
      <c r="E237" s="3">
        <v>44</v>
      </c>
      <c r="F237" s="3" t="s">
        <v>29</v>
      </c>
      <c r="G237" s="3" t="s">
        <v>220</v>
      </c>
      <c r="H237" s="3" t="s">
        <v>275</v>
      </c>
      <c r="I237" s="3" t="s">
        <v>276</v>
      </c>
      <c r="J237" s="3" t="s">
        <v>1182</v>
      </c>
      <c r="K237" s="4">
        <v>45390</v>
      </c>
      <c r="L237" s="3" t="s">
        <v>1183</v>
      </c>
      <c r="M237" s="3" t="s">
        <v>95</v>
      </c>
      <c r="N237" s="3">
        <v>363.64</v>
      </c>
      <c r="O237" s="3">
        <v>3</v>
      </c>
      <c r="P237" s="3" t="s">
        <v>58</v>
      </c>
      <c r="Q237" s="3">
        <v>1</v>
      </c>
      <c r="R237" s="3">
        <v>47</v>
      </c>
      <c r="S237" s="4">
        <v>45395</v>
      </c>
      <c r="T237" s="3" t="s">
        <v>1184</v>
      </c>
      <c r="U237" s="5">
        <f>Table1[[#This Row],[Delivery_Date]]-Table1[[#This Row],[Order_Date]]</f>
        <v>5</v>
      </c>
      <c r="V237" s="5">
        <f>Table1[[#This Row],[Price]]*Table1[[#This Row],[Quantity]]</f>
        <v>1090.92</v>
      </c>
      <c r="W237" s="6" cm="1">
        <f t="array" ref="W237">_xlfn.IFS(
P237="FLAT8",8%,
P237="FLAT10",10%,
P237="FLAT15",15%,P237="FLAT20",20%,P237="DEL0",0%,
TRUE,0%
)</f>
        <v>0.15</v>
      </c>
      <c r="X237" s="5">
        <f>Table1[[#This Row],[Amount]]-(Table1[[#This Row],[Amount]]*Table1[[#This Row],[Discount_Percentage]])</f>
        <v>927.28200000000004</v>
      </c>
      <c r="Y237" s="5">
        <f>IF(P237="DEL0",Table1[[#This Row],[Discount_Amount]],Table1[[#This Row],[Discount_Amount]]+Table1[[#This Row],[Delivery_Charge]])</f>
        <v>974.28200000000004</v>
      </c>
      <c r="Z237" s="7" t="str">
        <f>_xlfn.CONCAT(Table1[[#This Row],[First_Name]],"  ",Table1[[#This Row],[Last_Name]])</f>
        <v>Lauren  Long</v>
      </c>
      <c r="AA237" s="5" t="str" cm="1">
        <f t="array" ref="AA237">_xlfn.IFS( (S237-K237)&gt;Q237,"Late", (S237-K237)=Q237,"InTime", (S237-K237)&lt;Q237,"BeforeTime" )</f>
        <v>Late</v>
      </c>
      <c r="AB237" s="3">
        <f>MONTH(Table1[[#This Row],[Order_Date]])</f>
        <v>4</v>
      </c>
    </row>
    <row r="238" spans="1:28" x14ac:dyDescent="0.3">
      <c r="A238" s="3" t="s">
        <v>592</v>
      </c>
      <c r="B238" s="3" t="s">
        <v>593</v>
      </c>
      <c r="C238" s="3" t="s">
        <v>594</v>
      </c>
      <c r="D238" s="3" t="str">
        <f>_xlfn.CONCAT(Table1[[#This Row],[First_Name]],Table1[[#This Row],[Last_Name]])</f>
        <v>WilliamMann</v>
      </c>
      <c r="E238" s="3">
        <v>21</v>
      </c>
      <c r="F238" s="3" t="s">
        <v>29</v>
      </c>
      <c r="G238" s="3" t="s">
        <v>42</v>
      </c>
      <c r="H238" s="3" t="s">
        <v>595</v>
      </c>
      <c r="I238" s="3" t="s">
        <v>596</v>
      </c>
      <c r="J238" s="3" t="s">
        <v>1185</v>
      </c>
      <c r="K238" s="4">
        <v>45578</v>
      </c>
      <c r="L238" s="3" t="s">
        <v>1186</v>
      </c>
      <c r="M238" s="3" t="s">
        <v>95</v>
      </c>
      <c r="N238" s="3">
        <v>363.64</v>
      </c>
      <c r="O238" s="3">
        <v>3</v>
      </c>
      <c r="P238" s="3" t="s">
        <v>85</v>
      </c>
      <c r="Q238" s="3">
        <v>6</v>
      </c>
      <c r="R238" s="3">
        <v>64</v>
      </c>
      <c r="S238" s="4">
        <v>45585</v>
      </c>
      <c r="T238" s="3" t="s">
        <v>1187</v>
      </c>
      <c r="U238" s="5">
        <f>Table1[[#This Row],[Delivery_Date]]-Table1[[#This Row],[Order_Date]]</f>
        <v>7</v>
      </c>
      <c r="V238" s="5">
        <f>Table1[[#This Row],[Price]]*Table1[[#This Row],[Quantity]]</f>
        <v>1090.92</v>
      </c>
      <c r="W238" s="6" cm="1">
        <f t="array" ref="W238">_xlfn.IFS(
P238="FLAT8",8%,
P238="FLAT10",10%,
P238="FLAT15",15%,P238="FLAT20",20%,P238="DEL0",0%,
TRUE,0%
)</f>
        <v>0.2</v>
      </c>
      <c r="X238" s="5">
        <f>Table1[[#This Row],[Amount]]-(Table1[[#This Row],[Amount]]*Table1[[#This Row],[Discount_Percentage]])</f>
        <v>872.7360000000001</v>
      </c>
      <c r="Y238" s="5">
        <f>IF(P238="DEL0",Table1[[#This Row],[Discount_Amount]],Table1[[#This Row],[Discount_Amount]]+Table1[[#This Row],[Delivery_Charge]])</f>
        <v>936.7360000000001</v>
      </c>
      <c r="Z238" s="7" t="str">
        <f>_xlfn.CONCAT(Table1[[#This Row],[First_Name]],"  ",Table1[[#This Row],[Last_Name]])</f>
        <v>William  Mann</v>
      </c>
      <c r="AA238" s="5" t="str" cm="1">
        <f t="array" ref="AA238">_xlfn.IFS( (S238-K238)&gt;Q238,"Late", (S238-K238)=Q238,"InTime", (S238-K238)&lt;Q238,"BeforeTime" )</f>
        <v>Late</v>
      </c>
      <c r="AB238" s="3">
        <f>MONTH(Table1[[#This Row],[Order_Date]])</f>
        <v>10</v>
      </c>
    </row>
    <row r="239" spans="1:28" x14ac:dyDescent="0.3">
      <c r="A239" s="3" t="s">
        <v>639</v>
      </c>
      <c r="B239" s="3" t="s">
        <v>148</v>
      </c>
      <c r="C239" s="3" t="s">
        <v>640</v>
      </c>
      <c r="D239" s="3" t="str">
        <f>_xlfn.CONCAT(Table1[[#This Row],[First_Name]],Table1[[#This Row],[Last_Name]])</f>
        <v>AmyEllis</v>
      </c>
      <c r="E239" s="3">
        <v>44</v>
      </c>
      <c r="F239" s="3" t="s">
        <v>52</v>
      </c>
      <c r="G239" s="3" t="s">
        <v>90</v>
      </c>
      <c r="H239" s="3" t="s">
        <v>641</v>
      </c>
      <c r="I239" s="3" t="s">
        <v>642</v>
      </c>
      <c r="J239" s="3" t="s">
        <v>1188</v>
      </c>
      <c r="K239" s="4">
        <v>45109</v>
      </c>
      <c r="L239" s="3" t="s">
        <v>1189</v>
      </c>
      <c r="M239" s="3" t="s">
        <v>657</v>
      </c>
      <c r="N239" s="3">
        <v>235.63</v>
      </c>
      <c r="O239" s="3">
        <v>5</v>
      </c>
      <c r="P239" s="3" t="s">
        <v>85</v>
      </c>
      <c r="Q239" s="3">
        <v>6</v>
      </c>
      <c r="R239" s="3">
        <v>63</v>
      </c>
      <c r="S239" s="4">
        <v>45114</v>
      </c>
      <c r="T239" s="3" t="s">
        <v>1190</v>
      </c>
      <c r="U239" s="5">
        <f>Table1[[#This Row],[Delivery_Date]]-Table1[[#This Row],[Order_Date]]</f>
        <v>5</v>
      </c>
      <c r="V239" s="5">
        <f>Table1[[#This Row],[Price]]*Table1[[#This Row],[Quantity]]</f>
        <v>1178.1500000000001</v>
      </c>
      <c r="W239" s="6" cm="1">
        <f t="array" ref="W239">_xlfn.IFS(
P239="FLAT8",8%,
P239="FLAT10",10%,
P239="FLAT15",15%,P239="FLAT20",20%,P239="DEL0",0%,
TRUE,0%
)</f>
        <v>0.2</v>
      </c>
      <c r="X239" s="5">
        <f>Table1[[#This Row],[Amount]]-(Table1[[#This Row],[Amount]]*Table1[[#This Row],[Discount_Percentage]])</f>
        <v>942.5200000000001</v>
      </c>
      <c r="Y239" s="5">
        <f>IF(P239="DEL0",Table1[[#This Row],[Discount_Amount]],Table1[[#This Row],[Discount_Amount]]+Table1[[#This Row],[Delivery_Charge]])</f>
        <v>1005.5200000000001</v>
      </c>
      <c r="Z239" s="7" t="str">
        <f>_xlfn.CONCAT(Table1[[#This Row],[First_Name]],"  ",Table1[[#This Row],[Last_Name]])</f>
        <v>Amy  Ellis</v>
      </c>
      <c r="AA239" s="5" t="str" cm="1">
        <f t="array" ref="AA239">_xlfn.IFS( (S239-K239)&gt;Q239,"Late", (S239-K239)=Q239,"InTime", (S239-K239)&lt;Q239,"BeforeTime" )</f>
        <v>BeforeTime</v>
      </c>
      <c r="AB239" s="3">
        <f>MONTH(Table1[[#This Row],[Order_Date]])</f>
        <v>7</v>
      </c>
    </row>
    <row r="240" spans="1:28" x14ac:dyDescent="0.3">
      <c r="A240" s="3" t="s">
        <v>1191</v>
      </c>
      <c r="B240" s="3" t="s">
        <v>40</v>
      </c>
      <c r="C240" s="3" t="s">
        <v>1192</v>
      </c>
      <c r="D240" s="3" t="str">
        <f>_xlfn.CONCAT(Table1[[#This Row],[First_Name]],Table1[[#This Row],[Last_Name]])</f>
        <v>ThomasOwens</v>
      </c>
      <c r="E240" s="3">
        <v>34</v>
      </c>
      <c r="F240" s="3" t="s">
        <v>52</v>
      </c>
      <c r="G240" s="3" t="s">
        <v>220</v>
      </c>
      <c r="H240" s="3" t="s">
        <v>1193</v>
      </c>
      <c r="I240" s="3" t="s">
        <v>1194</v>
      </c>
      <c r="J240" s="3" t="s">
        <v>1195</v>
      </c>
      <c r="K240" s="4">
        <v>45595</v>
      </c>
      <c r="L240" s="3" t="s">
        <v>1196</v>
      </c>
      <c r="M240" s="3" t="s">
        <v>563</v>
      </c>
      <c r="N240" s="3">
        <v>133.62</v>
      </c>
      <c r="O240" s="3">
        <v>1</v>
      </c>
      <c r="P240" s="3" t="s">
        <v>36</v>
      </c>
      <c r="Q240" s="3">
        <v>1</v>
      </c>
      <c r="R240" s="3">
        <v>57</v>
      </c>
      <c r="S240" s="4">
        <v>45602</v>
      </c>
      <c r="T240" s="3" t="s">
        <v>1197</v>
      </c>
      <c r="U240" s="5">
        <f>Table1[[#This Row],[Delivery_Date]]-Table1[[#This Row],[Order_Date]]</f>
        <v>7</v>
      </c>
      <c r="V240" s="5">
        <f>Table1[[#This Row],[Price]]*Table1[[#This Row],[Quantity]]</f>
        <v>133.62</v>
      </c>
      <c r="W240" s="6" cm="1">
        <f t="array" ref="W240">_xlfn.IFS(
P240="FLAT8",8%,
P240="FLAT10",10%,
P240="FLAT15",15%,P240="FLAT20",20%,P240="DEL0",0%,
TRUE,0%
)</f>
        <v>0.08</v>
      </c>
      <c r="X240" s="5">
        <f>Table1[[#This Row],[Amount]]-(Table1[[#This Row],[Amount]]*Table1[[#This Row],[Discount_Percentage]])</f>
        <v>122.93040000000001</v>
      </c>
      <c r="Y240" s="5">
        <f>IF(P240="DEL0",Table1[[#This Row],[Discount_Amount]],Table1[[#This Row],[Discount_Amount]]+Table1[[#This Row],[Delivery_Charge]])</f>
        <v>179.93040000000002</v>
      </c>
      <c r="Z240" s="7" t="str">
        <f>_xlfn.CONCAT(Table1[[#This Row],[First_Name]],"  ",Table1[[#This Row],[Last_Name]])</f>
        <v>Thomas  Owens</v>
      </c>
      <c r="AA240" s="5" t="str" cm="1">
        <f t="array" ref="AA240">_xlfn.IFS( (S240-K240)&gt;Q240,"Late", (S240-K240)=Q240,"InTime", (S240-K240)&lt;Q240,"BeforeTime" )</f>
        <v>Late</v>
      </c>
      <c r="AB240" s="3">
        <f>MONTH(Table1[[#This Row],[Order_Date]])</f>
        <v>10</v>
      </c>
    </row>
    <row r="241" spans="1:28" x14ac:dyDescent="0.3">
      <c r="A241" s="3" t="s">
        <v>293</v>
      </c>
      <c r="B241" s="3" t="s">
        <v>294</v>
      </c>
      <c r="C241" s="3" t="s">
        <v>295</v>
      </c>
      <c r="D241" s="3" t="str">
        <f>_xlfn.CONCAT(Table1[[#This Row],[First_Name]],Table1[[#This Row],[Last_Name]])</f>
        <v>HeatherSchneider</v>
      </c>
      <c r="E241" s="3">
        <v>48</v>
      </c>
      <c r="F241" s="3" t="s">
        <v>41</v>
      </c>
      <c r="G241" s="3" t="s">
        <v>90</v>
      </c>
      <c r="H241" s="3" t="s">
        <v>296</v>
      </c>
      <c r="I241" s="3" t="s">
        <v>297</v>
      </c>
      <c r="J241" s="3" t="s">
        <v>1198</v>
      </c>
      <c r="K241" s="4">
        <v>45616</v>
      </c>
      <c r="L241" s="3" t="s">
        <v>1199</v>
      </c>
      <c r="M241" s="3" t="s">
        <v>246</v>
      </c>
      <c r="N241" s="3">
        <v>282.63</v>
      </c>
      <c r="O241" s="3">
        <v>4</v>
      </c>
      <c r="P241" s="3" t="s">
        <v>96</v>
      </c>
      <c r="Q241" s="3">
        <v>1</v>
      </c>
      <c r="R241" s="3">
        <v>60</v>
      </c>
      <c r="S241" s="4">
        <v>45618</v>
      </c>
      <c r="T241" s="3" t="s">
        <v>1200</v>
      </c>
      <c r="U241" s="5">
        <f>Table1[[#This Row],[Delivery_Date]]-Table1[[#This Row],[Order_Date]]</f>
        <v>2</v>
      </c>
      <c r="V241" s="5">
        <f>Table1[[#This Row],[Price]]*Table1[[#This Row],[Quantity]]</f>
        <v>1130.52</v>
      </c>
      <c r="W241" s="6" cm="1">
        <f t="array" ref="W241">_xlfn.IFS(
P241="FLAT8",8%,
P241="FLAT10",10%,
P241="FLAT15",15%,P241="FLAT20",20%,P241="DEL0",0%,
TRUE,0%
)</f>
        <v>0.1</v>
      </c>
      <c r="X241" s="5">
        <f>Table1[[#This Row],[Amount]]-(Table1[[#This Row],[Amount]]*Table1[[#This Row],[Discount_Percentage]])</f>
        <v>1017.468</v>
      </c>
      <c r="Y241" s="5">
        <f>IF(P241="DEL0",Table1[[#This Row],[Discount_Amount]],Table1[[#This Row],[Discount_Amount]]+Table1[[#This Row],[Delivery_Charge]])</f>
        <v>1077.4679999999998</v>
      </c>
      <c r="Z241" s="7" t="str">
        <f>_xlfn.CONCAT(Table1[[#This Row],[First_Name]],"  ",Table1[[#This Row],[Last_Name]])</f>
        <v>Heather  Schneider</v>
      </c>
      <c r="AA241" s="5" t="str" cm="1">
        <f t="array" ref="AA241">_xlfn.IFS( (S241-K241)&gt;Q241,"Late", (S241-K241)=Q241,"InTime", (S241-K241)&lt;Q241,"BeforeTime" )</f>
        <v>Late</v>
      </c>
      <c r="AB241" s="3">
        <f>MONTH(Table1[[#This Row],[Order_Date]])</f>
        <v>11</v>
      </c>
    </row>
    <row r="242" spans="1:28" x14ac:dyDescent="0.3">
      <c r="A242" s="3" t="s">
        <v>316</v>
      </c>
      <c r="B242" s="3" t="s">
        <v>317</v>
      </c>
      <c r="C242" s="3" t="s">
        <v>318</v>
      </c>
      <c r="D242" s="3" t="str">
        <f>_xlfn.CONCAT(Table1[[#This Row],[First_Name]],Table1[[#This Row],[Last_Name]])</f>
        <v>JennyEstrada</v>
      </c>
      <c r="E242" s="3">
        <v>45</v>
      </c>
      <c r="F242" s="3" t="s">
        <v>29</v>
      </c>
      <c r="G242" s="3" t="s">
        <v>42</v>
      </c>
      <c r="H242" s="3" t="s">
        <v>319</v>
      </c>
      <c r="I242" s="3" t="s">
        <v>320</v>
      </c>
      <c r="J242" s="3" t="s">
        <v>1201</v>
      </c>
      <c r="K242" s="4">
        <v>45271</v>
      </c>
      <c r="L242" s="3" t="s">
        <v>1202</v>
      </c>
      <c r="M242" s="3" t="s">
        <v>47</v>
      </c>
      <c r="N242" s="3">
        <v>166.28</v>
      </c>
      <c r="O242" s="3">
        <v>3</v>
      </c>
      <c r="P242" s="3" t="s">
        <v>96</v>
      </c>
      <c r="Q242" s="3">
        <v>6</v>
      </c>
      <c r="R242" s="3">
        <v>59</v>
      </c>
      <c r="S242" s="4">
        <v>45275</v>
      </c>
      <c r="T242" s="3" t="s">
        <v>1203</v>
      </c>
      <c r="U242" s="5">
        <f>Table1[[#This Row],[Delivery_Date]]-Table1[[#This Row],[Order_Date]]</f>
        <v>4</v>
      </c>
      <c r="V242" s="5">
        <f>Table1[[#This Row],[Price]]*Table1[[#This Row],[Quantity]]</f>
        <v>498.84000000000003</v>
      </c>
      <c r="W242" s="6" cm="1">
        <f t="array" ref="W242">_xlfn.IFS(
P242="FLAT8",8%,
P242="FLAT10",10%,
P242="FLAT15",15%,P242="FLAT20",20%,P242="DEL0",0%,
TRUE,0%
)</f>
        <v>0.1</v>
      </c>
      <c r="X242" s="5">
        <f>Table1[[#This Row],[Amount]]-(Table1[[#This Row],[Amount]]*Table1[[#This Row],[Discount_Percentage]])</f>
        <v>448.95600000000002</v>
      </c>
      <c r="Y242" s="5">
        <f>IF(P242="DEL0",Table1[[#This Row],[Discount_Amount]],Table1[[#This Row],[Discount_Amount]]+Table1[[#This Row],[Delivery_Charge]])</f>
        <v>507.95600000000002</v>
      </c>
      <c r="Z242" s="7" t="str">
        <f>_xlfn.CONCAT(Table1[[#This Row],[First_Name]],"  ",Table1[[#This Row],[Last_Name]])</f>
        <v>Jenny  Estrada</v>
      </c>
      <c r="AA242" s="5" t="str" cm="1">
        <f t="array" ref="AA242">_xlfn.IFS( (S242-K242)&gt;Q242,"Late", (S242-K242)=Q242,"InTime", (S242-K242)&lt;Q242,"BeforeTime" )</f>
        <v>BeforeTime</v>
      </c>
      <c r="AB242" s="3">
        <f>MONTH(Table1[[#This Row],[Order_Date]])</f>
        <v>12</v>
      </c>
    </row>
    <row r="243" spans="1:28" x14ac:dyDescent="0.3">
      <c r="A243" s="3" t="s">
        <v>776</v>
      </c>
      <c r="B243" s="3" t="s">
        <v>777</v>
      </c>
      <c r="C243" s="3" t="s">
        <v>778</v>
      </c>
      <c r="D243" s="3" t="str">
        <f>_xlfn.CONCAT(Table1[[#This Row],[First_Name]],Table1[[#This Row],[Last_Name]])</f>
        <v>LindseyByrd</v>
      </c>
      <c r="E243" s="3">
        <v>32</v>
      </c>
      <c r="F243" s="3" t="s">
        <v>29</v>
      </c>
      <c r="G243" s="3" t="s">
        <v>159</v>
      </c>
      <c r="H243" s="3" t="s">
        <v>779</v>
      </c>
      <c r="I243" s="3" t="s">
        <v>780</v>
      </c>
      <c r="J243" s="3" t="s">
        <v>1204</v>
      </c>
      <c r="K243" s="4">
        <v>45117</v>
      </c>
      <c r="L243" s="3" t="s">
        <v>1205</v>
      </c>
      <c r="M243" s="3" t="s">
        <v>553</v>
      </c>
      <c r="N243" s="3">
        <v>425.59</v>
      </c>
      <c r="O243" s="3">
        <v>5</v>
      </c>
      <c r="P243" s="3" t="s">
        <v>36</v>
      </c>
      <c r="Q243" s="3">
        <v>7</v>
      </c>
      <c r="R243" s="3">
        <v>57</v>
      </c>
      <c r="S243" s="4">
        <v>45124</v>
      </c>
      <c r="T243" s="3" t="s">
        <v>1206</v>
      </c>
      <c r="U243" s="5">
        <f>Table1[[#This Row],[Delivery_Date]]-Table1[[#This Row],[Order_Date]]</f>
        <v>7</v>
      </c>
      <c r="V243" s="5">
        <f>Table1[[#This Row],[Price]]*Table1[[#This Row],[Quantity]]</f>
        <v>2127.9499999999998</v>
      </c>
      <c r="W243" s="6" cm="1">
        <f t="array" ref="W243">_xlfn.IFS(
P243="FLAT8",8%,
P243="FLAT10",10%,
P243="FLAT15",15%,P243="FLAT20",20%,P243="DEL0",0%,
TRUE,0%
)</f>
        <v>0.08</v>
      </c>
      <c r="X243" s="5">
        <f>Table1[[#This Row],[Amount]]-(Table1[[#This Row],[Amount]]*Table1[[#This Row],[Discount_Percentage]])</f>
        <v>1957.7139999999999</v>
      </c>
      <c r="Y243" s="5">
        <f>IF(P243="DEL0",Table1[[#This Row],[Discount_Amount]],Table1[[#This Row],[Discount_Amount]]+Table1[[#This Row],[Delivery_Charge]])</f>
        <v>2014.7139999999999</v>
      </c>
      <c r="Z243" s="7" t="str">
        <f>_xlfn.CONCAT(Table1[[#This Row],[First_Name]],"  ",Table1[[#This Row],[Last_Name]])</f>
        <v>Lindsey  Byrd</v>
      </c>
      <c r="AA243" s="5" t="str" cm="1">
        <f t="array" ref="AA243">_xlfn.IFS( (S243-K243)&gt;Q243,"Late", (S243-K243)=Q243,"InTime", (S243-K243)&lt;Q243,"BeforeTime" )</f>
        <v>InTime</v>
      </c>
      <c r="AB243" s="3">
        <f>MONTH(Table1[[#This Row],[Order_Date]])</f>
        <v>7</v>
      </c>
    </row>
    <row r="244" spans="1:28" x14ac:dyDescent="0.3">
      <c r="A244" s="3" t="s">
        <v>483</v>
      </c>
      <c r="B244" s="3" t="s">
        <v>484</v>
      </c>
      <c r="C244" s="3" t="s">
        <v>130</v>
      </c>
      <c r="D244" s="3" t="str">
        <f>_xlfn.CONCAT(Table1[[#This Row],[First_Name]],Table1[[#This Row],[Last_Name]])</f>
        <v>BrittanyStewart</v>
      </c>
      <c r="E244" s="3">
        <v>68</v>
      </c>
      <c r="F244" s="3" t="s">
        <v>52</v>
      </c>
      <c r="G244" s="3" t="s">
        <v>220</v>
      </c>
      <c r="H244" s="3" t="s">
        <v>485</v>
      </c>
      <c r="I244" s="3" t="s">
        <v>486</v>
      </c>
      <c r="J244" s="3" t="s">
        <v>1207</v>
      </c>
      <c r="K244" s="4">
        <v>45417</v>
      </c>
      <c r="L244" s="3" t="s">
        <v>1208</v>
      </c>
      <c r="M244" s="3" t="s">
        <v>95</v>
      </c>
      <c r="N244" s="3">
        <v>363.64</v>
      </c>
      <c r="O244" s="3">
        <v>5</v>
      </c>
      <c r="P244" s="3" t="s">
        <v>96</v>
      </c>
      <c r="Q244" s="3">
        <v>7</v>
      </c>
      <c r="R244" s="3">
        <v>60</v>
      </c>
      <c r="S244" s="4">
        <v>45419</v>
      </c>
      <c r="T244" s="3" t="s">
        <v>1209</v>
      </c>
      <c r="U244" s="5">
        <f>Table1[[#This Row],[Delivery_Date]]-Table1[[#This Row],[Order_Date]]</f>
        <v>2</v>
      </c>
      <c r="V244" s="5">
        <f>Table1[[#This Row],[Price]]*Table1[[#This Row],[Quantity]]</f>
        <v>1818.1999999999998</v>
      </c>
      <c r="W244" s="6" cm="1">
        <f t="array" ref="W244">_xlfn.IFS(
P244="FLAT8",8%,
P244="FLAT10",10%,
P244="FLAT15",15%,P244="FLAT20",20%,P244="DEL0",0%,
TRUE,0%
)</f>
        <v>0.1</v>
      </c>
      <c r="X244" s="5">
        <f>Table1[[#This Row],[Amount]]-(Table1[[#This Row],[Amount]]*Table1[[#This Row],[Discount_Percentage]])</f>
        <v>1636.3799999999999</v>
      </c>
      <c r="Y244" s="5">
        <f>IF(P244="DEL0",Table1[[#This Row],[Discount_Amount]],Table1[[#This Row],[Discount_Amount]]+Table1[[#This Row],[Delivery_Charge]])</f>
        <v>1696.3799999999999</v>
      </c>
      <c r="Z244" s="7" t="str">
        <f>_xlfn.CONCAT(Table1[[#This Row],[First_Name]],"  ",Table1[[#This Row],[Last_Name]])</f>
        <v>Brittany  Stewart</v>
      </c>
      <c r="AA244" s="5" t="str" cm="1">
        <f t="array" ref="AA244">_xlfn.IFS( (S244-K244)&gt;Q244,"Late", (S244-K244)=Q244,"InTime", (S244-K244)&lt;Q244,"BeforeTime" )</f>
        <v>BeforeTime</v>
      </c>
      <c r="AB244" s="3">
        <f>MONTH(Table1[[#This Row],[Order_Date]])</f>
        <v>5</v>
      </c>
    </row>
    <row r="245" spans="1:28" x14ac:dyDescent="0.3">
      <c r="A245" s="3" t="s">
        <v>1210</v>
      </c>
      <c r="B245" s="3" t="s">
        <v>1211</v>
      </c>
      <c r="C245" s="3" t="s">
        <v>1212</v>
      </c>
      <c r="D245" s="3" t="str">
        <f>_xlfn.CONCAT(Table1[[#This Row],[First_Name]],Table1[[#This Row],[Last_Name]])</f>
        <v>BrendanKelly</v>
      </c>
      <c r="E245" s="3">
        <v>50</v>
      </c>
      <c r="F245" s="3" t="s">
        <v>52</v>
      </c>
      <c r="G245" s="3" t="s">
        <v>168</v>
      </c>
      <c r="H245" s="3" t="s">
        <v>1213</v>
      </c>
      <c r="I245" s="3" t="s">
        <v>1214</v>
      </c>
      <c r="J245" s="3" t="s">
        <v>1215</v>
      </c>
      <c r="K245" s="4">
        <v>45470</v>
      </c>
      <c r="L245" s="3" t="s">
        <v>1216</v>
      </c>
      <c r="M245" s="3" t="s">
        <v>590</v>
      </c>
      <c r="N245" s="3">
        <v>403.03</v>
      </c>
      <c r="O245" s="3">
        <v>5</v>
      </c>
      <c r="P245" s="3" t="s">
        <v>85</v>
      </c>
      <c r="Q245" s="3">
        <v>2</v>
      </c>
      <c r="R245" s="3">
        <v>52</v>
      </c>
      <c r="S245" s="4">
        <v>45475</v>
      </c>
      <c r="T245" s="3" t="s">
        <v>1217</v>
      </c>
      <c r="U245" s="5">
        <f>Table1[[#This Row],[Delivery_Date]]-Table1[[#This Row],[Order_Date]]</f>
        <v>5</v>
      </c>
      <c r="V245" s="5">
        <f>Table1[[#This Row],[Price]]*Table1[[#This Row],[Quantity]]</f>
        <v>2015.1499999999999</v>
      </c>
      <c r="W245" s="6" cm="1">
        <f t="array" ref="W245">_xlfn.IFS(
P245="FLAT8",8%,
P245="FLAT10",10%,
P245="FLAT15",15%,P245="FLAT20",20%,P245="DEL0",0%,
TRUE,0%
)</f>
        <v>0.2</v>
      </c>
      <c r="X245" s="5">
        <f>Table1[[#This Row],[Amount]]-(Table1[[#This Row],[Amount]]*Table1[[#This Row],[Discount_Percentage]])</f>
        <v>1612.12</v>
      </c>
      <c r="Y245" s="5">
        <f>IF(P245="DEL0",Table1[[#This Row],[Discount_Amount]],Table1[[#This Row],[Discount_Amount]]+Table1[[#This Row],[Delivery_Charge]])</f>
        <v>1664.12</v>
      </c>
      <c r="Z245" s="7" t="str">
        <f>_xlfn.CONCAT(Table1[[#This Row],[First_Name]],"  ",Table1[[#This Row],[Last_Name]])</f>
        <v>Brendan  Kelly</v>
      </c>
      <c r="AA245" s="5" t="str" cm="1">
        <f t="array" ref="AA245">_xlfn.IFS( (S245-K245)&gt;Q245,"Late", (S245-K245)=Q245,"InTime", (S245-K245)&lt;Q245,"BeforeTime" )</f>
        <v>Late</v>
      </c>
      <c r="AB245" s="3">
        <f>MONTH(Table1[[#This Row],[Order_Date]])</f>
        <v>6</v>
      </c>
    </row>
    <row r="246" spans="1:28" x14ac:dyDescent="0.3">
      <c r="A246" s="3" t="s">
        <v>520</v>
      </c>
      <c r="B246" s="3" t="s">
        <v>521</v>
      </c>
      <c r="C246" s="3" t="s">
        <v>522</v>
      </c>
      <c r="D246" s="3" t="str">
        <f>_xlfn.CONCAT(Table1[[#This Row],[First_Name]],Table1[[#This Row],[Last_Name]])</f>
        <v>KatherineWeber</v>
      </c>
      <c r="E246" s="3">
        <v>42</v>
      </c>
      <c r="F246" s="3" t="s">
        <v>52</v>
      </c>
      <c r="G246" s="3" t="s">
        <v>76</v>
      </c>
      <c r="H246" s="3" t="s">
        <v>523</v>
      </c>
      <c r="I246" s="3" t="s">
        <v>524</v>
      </c>
      <c r="J246" s="3" t="s">
        <v>1218</v>
      </c>
      <c r="K246" s="4">
        <v>44968</v>
      </c>
      <c r="L246" s="3" t="s">
        <v>1219</v>
      </c>
      <c r="M246" s="3" t="s">
        <v>430</v>
      </c>
      <c r="N246" s="3">
        <v>369.03</v>
      </c>
      <c r="O246" s="3">
        <v>1</v>
      </c>
      <c r="P246" s="3" t="s">
        <v>85</v>
      </c>
      <c r="Q246" s="3">
        <v>6</v>
      </c>
      <c r="R246" s="3">
        <v>38</v>
      </c>
      <c r="S246" s="4">
        <v>44974</v>
      </c>
      <c r="T246" s="3" t="s">
        <v>1220</v>
      </c>
      <c r="U246" s="5">
        <f>Table1[[#This Row],[Delivery_Date]]-Table1[[#This Row],[Order_Date]]</f>
        <v>6</v>
      </c>
      <c r="V246" s="5">
        <f>Table1[[#This Row],[Price]]*Table1[[#This Row],[Quantity]]</f>
        <v>369.03</v>
      </c>
      <c r="W246" s="6" cm="1">
        <f t="array" ref="W246">_xlfn.IFS(
P246="FLAT8",8%,
P246="FLAT10",10%,
P246="FLAT15",15%,P246="FLAT20",20%,P246="DEL0",0%,
TRUE,0%
)</f>
        <v>0.2</v>
      </c>
      <c r="X246" s="5">
        <f>Table1[[#This Row],[Amount]]-(Table1[[#This Row],[Amount]]*Table1[[#This Row],[Discount_Percentage]])</f>
        <v>295.22399999999999</v>
      </c>
      <c r="Y246" s="5">
        <f>IF(P246="DEL0",Table1[[#This Row],[Discount_Amount]],Table1[[#This Row],[Discount_Amount]]+Table1[[#This Row],[Delivery_Charge]])</f>
        <v>333.22399999999999</v>
      </c>
      <c r="Z246" s="7" t="str">
        <f>_xlfn.CONCAT(Table1[[#This Row],[First_Name]],"  ",Table1[[#This Row],[Last_Name]])</f>
        <v>Katherine  Weber</v>
      </c>
      <c r="AA246" s="5" t="str" cm="1">
        <f t="array" ref="AA246">_xlfn.IFS( (S246-K246)&gt;Q246,"Late", (S246-K246)=Q246,"InTime", (S246-K246)&lt;Q246,"BeforeTime" )</f>
        <v>InTime</v>
      </c>
      <c r="AB246" s="3">
        <f>MONTH(Table1[[#This Row],[Order_Date]])</f>
        <v>2</v>
      </c>
    </row>
    <row r="247" spans="1:28" x14ac:dyDescent="0.3">
      <c r="A247" s="3" t="s">
        <v>1221</v>
      </c>
      <c r="B247" s="3" t="s">
        <v>1222</v>
      </c>
      <c r="C247" s="3" t="s">
        <v>1223</v>
      </c>
      <c r="D247" s="3" t="str">
        <f>_xlfn.CONCAT(Table1[[#This Row],[First_Name]],Table1[[#This Row],[Last_Name]])</f>
        <v>JessicaRuiz</v>
      </c>
      <c r="E247" s="3">
        <v>19</v>
      </c>
      <c r="F247" s="3" t="s">
        <v>41</v>
      </c>
      <c r="G247" s="3" t="s">
        <v>76</v>
      </c>
      <c r="H247" s="3" t="s">
        <v>1224</v>
      </c>
      <c r="I247" s="3" t="s">
        <v>1225</v>
      </c>
      <c r="J247" s="3" t="s">
        <v>1226</v>
      </c>
      <c r="K247" s="4">
        <v>45453</v>
      </c>
      <c r="L247" s="3" t="s">
        <v>1227</v>
      </c>
      <c r="M247" s="3" t="s">
        <v>495</v>
      </c>
      <c r="N247" s="3">
        <v>421.7</v>
      </c>
      <c r="O247" s="3">
        <v>5</v>
      </c>
      <c r="P247" s="3" t="s">
        <v>96</v>
      </c>
      <c r="Q247" s="3">
        <v>6</v>
      </c>
      <c r="R247" s="3">
        <v>61</v>
      </c>
      <c r="S247" s="4">
        <v>45457</v>
      </c>
      <c r="T247" s="3" t="s">
        <v>1228</v>
      </c>
      <c r="U247" s="5">
        <f>Table1[[#This Row],[Delivery_Date]]-Table1[[#This Row],[Order_Date]]</f>
        <v>4</v>
      </c>
      <c r="V247" s="5">
        <f>Table1[[#This Row],[Price]]*Table1[[#This Row],[Quantity]]</f>
        <v>2108.5</v>
      </c>
      <c r="W247" s="6" cm="1">
        <f t="array" ref="W247">_xlfn.IFS(
P247="FLAT8",8%,
P247="FLAT10",10%,
P247="FLAT15",15%,P247="FLAT20",20%,P247="DEL0",0%,
TRUE,0%
)</f>
        <v>0.1</v>
      </c>
      <c r="X247" s="5">
        <f>Table1[[#This Row],[Amount]]-(Table1[[#This Row],[Amount]]*Table1[[#This Row],[Discount_Percentage]])</f>
        <v>1897.65</v>
      </c>
      <c r="Y247" s="5">
        <f>IF(P247="DEL0",Table1[[#This Row],[Discount_Amount]],Table1[[#This Row],[Discount_Amount]]+Table1[[#This Row],[Delivery_Charge]])</f>
        <v>1958.65</v>
      </c>
      <c r="Z247" s="7" t="str">
        <f>_xlfn.CONCAT(Table1[[#This Row],[First_Name]],"  ",Table1[[#This Row],[Last_Name]])</f>
        <v>Jessica  Ruiz</v>
      </c>
      <c r="AA247" s="5" t="str" cm="1">
        <f t="array" ref="AA247">_xlfn.IFS( (S247-K247)&gt;Q247,"Late", (S247-K247)=Q247,"InTime", (S247-K247)&lt;Q247,"BeforeTime" )</f>
        <v>BeforeTime</v>
      </c>
      <c r="AB247" s="3">
        <f>MONTH(Table1[[#This Row],[Order_Date]])</f>
        <v>6</v>
      </c>
    </row>
    <row r="248" spans="1:28" x14ac:dyDescent="0.3">
      <c r="A248" s="3" t="s">
        <v>1079</v>
      </c>
      <c r="B248" s="3" t="s">
        <v>218</v>
      </c>
      <c r="C248" s="3" t="s">
        <v>1080</v>
      </c>
      <c r="D248" s="3" t="str">
        <f>_xlfn.CONCAT(Table1[[#This Row],[First_Name]],Table1[[#This Row],[Last_Name]])</f>
        <v>MarkSummers</v>
      </c>
      <c r="E248" s="3">
        <v>55</v>
      </c>
      <c r="F248" s="3" t="s">
        <v>41</v>
      </c>
      <c r="G248" s="3" t="s">
        <v>159</v>
      </c>
      <c r="H248" s="3" t="s">
        <v>1081</v>
      </c>
      <c r="I248" s="3" t="s">
        <v>1082</v>
      </c>
      <c r="J248" s="3" t="s">
        <v>1229</v>
      </c>
      <c r="K248" s="4">
        <v>45608</v>
      </c>
      <c r="L248" s="3" t="s">
        <v>1230</v>
      </c>
      <c r="M248" s="3" t="s">
        <v>748</v>
      </c>
      <c r="N248" s="3">
        <v>381.73</v>
      </c>
      <c r="O248" s="3">
        <v>4</v>
      </c>
      <c r="P248" s="3" t="s">
        <v>36</v>
      </c>
      <c r="Q248" s="3">
        <v>2</v>
      </c>
      <c r="R248" s="3">
        <v>58</v>
      </c>
      <c r="S248" s="4">
        <v>45613</v>
      </c>
      <c r="T248" s="3" t="s">
        <v>1231</v>
      </c>
      <c r="U248" s="5">
        <f>Table1[[#This Row],[Delivery_Date]]-Table1[[#This Row],[Order_Date]]</f>
        <v>5</v>
      </c>
      <c r="V248" s="5">
        <f>Table1[[#This Row],[Price]]*Table1[[#This Row],[Quantity]]</f>
        <v>1526.92</v>
      </c>
      <c r="W248" s="6" cm="1">
        <f t="array" ref="W248">_xlfn.IFS(
P248="FLAT8",8%,
P248="FLAT10",10%,
P248="FLAT15",15%,P248="FLAT20",20%,P248="DEL0",0%,
TRUE,0%
)</f>
        <v>0.08</v>
      </c>
      <c r="X248" s="5">
        <f>Table1[[#This Row],[Amount]]-(Table1[[#This Row],[Amount]]*Table1[[#This Row],[Discount_Percentage]])</f>
        <v>1404.7664</v>
      </c>
      <c r="Y248" s="5">
        <f>IF(P248="DEL0",Table1[[#This Row],[Discount_Amount]],Table1[[#This Row],[Discount_Amount]]+Table1[[#This Row],[Delivery_Charge]])</f>
        <v>1462.7664</v>
      </c>
      <c r="Z248" s="7" t="str">
        <f>_xlfn.CONCAT(Table1[[#This Row],[First_Name]],"  ",Table1[[#This Row],[Last_Name]])</f>
        <v>Mark  Summers</v>
      </c>
      <c r="AA248" s="5" t="str" cm="1">
        <f t="array" ref="AA248">_xlfn.IFS( (S248-K248)&gt;Q248,"Late", (S248-K248)=Q248,"InTime", (S248-K248)&lt;Q248,"BeforeTime" )</f>
        <v>Late</v>
      </c>
      <c r="AB248" s="3">
        <f>MONTH(Table1[[#This Row],[Order_Date]])</f>
        <v>11</v>
      </c>
    </row>
    <row r="249" spans="1:28" x14ac:dyDescent="0.3">
      <c r="A249" s="3" t="s">
        <v>724</v>
      </c>
      <c r="B249" s="3" t="s">
        <v>725</v>
      </c>
      <c r="C249" s="3" t="s">
        <v>167</v>
      </c>
      <c r="D249" s="3" t="str">
        <f>_xlfn.CONCAT(Table1[[#This Row],[First_Name]],Table1[[#This Row],[Last_Name]])</f>
        <v>LisaMiller</v>
      </c>
      <c r="E249" s="3">
        <v>70</v>
      </c>
      <c r="F249" s="3" t="s">
        <v>41</v>
      </c>
      <c r="G249" s="3" t="s">
        <v>90</v>
      </c>
      <c r="H249" s="3" t="s">
        <v>726</v>
      </c>
      <c r="I249" s="3" t="s">
        <v>727</v>
      </c>
      <c r="J249" s="3" t="s">
        <v>1232</v>
      </c>
      <c r="K249" s="4">
        <v>45386</v>
      </c>
      <c r="L249" s="3" t="s">
        <v>1233</v>
      </c>
      <c r="M249" s="3" t="s">
        <v>135</v>
      </c>
      <c r="N249" s="3">
        <v>175.93</v>
      </c>
      <c r="O249" s="3">
        <v>2</v>
      </c>
      <c r="P249" s="3" t="s">
        <v>96</v>
      </c>
      <c r="Q249" s="3">
        <v>7</v>
      </c>
      <c r="R249" s="3">
        <v>61</v>
      </c>
      <c r="S249" s="4">
        <v>45391</v>
      </c>
      <c r="T249" s="3" t="s">
        <v>1234</v>
      </c>
      <c r="U249" s="5">
        <f>Table1[[#This Row],[Delivery_Date]]-Table1[[#This Row],[Order_Date]]</f>
        <v>5</v>
      </c>
      <c r="V249" s="5">
        <f>Table1[[#This Row],[Price]]*Table1[[#This Row],[Quantity]]</f>
        <v>351.86</v>
      </c>
      <c r="W249" s="6" cm="1">
        <f t="array" ref="W249">_xlfn.IFS(
P249="FLAT8",8%,
P249="FLAT10",10%,
P249="FLAT15",15%,P249="FLAT20",20%,P249="DEL0",0%,
TRUE,0%
)</f>
        <v>0.1</v>
      </c>
      <c r="X249" s="5">
        <f>Table1[[#This Row],[Amount]]-(Table1[[#This Row],[Amount]]*Table1[[#This Row],[Discount_Percentage]])</f>
        <v>316.67400000000004</v>
      </c>
      <c r="Y249" s="5">
        <f>IF(P249="DEL0",Table1[[#This Row],[Discount_Amount]],Table1[[#This Row],[Discount_Amount]]+Table1[[#This Row],[Delivery_Charge]])</f>
        <v>377.67400000000004</v>
      </c>
      <c r="Z249" s="7" t="str">
        <f>_xlfn.CONCAT(Table1[[#This Row],[First_Name]],"  ",Table1[[#This Row],[Last_Name]])</f>
        <v>Lisa  Miller</v>
      </c>
      <c r="AA249" s="5" t="str" cm="1">
        <f t="array" ref="AA249">_xlfn.IFS( (S249-K249)&gt;Q249,"Late", (S249-K249)=Q249,"InTime", (S249-K249)&lt;Q249,"BeforeTime" )</f>
        <v>BeforeTime</v>
      </c>
      <c r="AB249" s="3">
        <f>MONTH(Table1[[#This Row],[Order_Date]])</f>
        <v>4</v>
      </c>
    </row>
    <row r="250" spans="1:28" x14ac:dyDescent="0.3">
      <c r="A250" s="3" t="s">
        <v>412</v>
      </c>
      <c r="B250" s="3" t="s">
        <v>228</v>
      </c>
      <c r="C250" s="3" t="s">
        <v>413</v>
      </c>
      <c r="D250" s="3" t="str">
        <f>_xlfn.CONCAT(Table1[[#This Row],[First_Name]],Table1[[#This Row],[Last_Name]])</f>
        <v>JohnRamirez</v>
      </c>
      <c r="E250" s="3">
        <v>28</v>
      </c>
      <c r="F250" s="3" t="s">
        <v>52</v>
      </c>
      <c r="G250" s="3" t="s">
        <v>140</v>
      </c>
      <c r="H250" s="3" t="s">
        <v>414</v>
      </c>
      <c r="I250" s="3" t="s">
        <v>415</v>
      </c>
      <c r="J250" s="3" t="s">
        <v>1235</v>
      </c>
      <c r="K250" s="4">
        <v>45322</v>
      </c>
      <c r="L250" s="3" t="s">
        <v>1236</v>
      </c>
      <c r="M250" s="3" t="s">
        <v>748</v>
      </c>
      <c r="N250" s="3">
        <v>381.73</v>
      </c>
      <c r="O250" s="3">
        <v>2</v>
      </c>
      <c r="P250" s="3" t="s">
        <v>58</v>
      </c>
      <c r="Q250" s="3">
        <v>2</v>
      </c>
      <c r="R250" s="3">
        <v>68</v>
      </c>
      <c r="S250" s="4">
        <v>45329</v>
      </c>
      <c r="T250" s="3" t="s">
        <v>1237</v>
      </c>
      <c r="U250" s="5">
        <f>Table1[[#This Row],[Delivery_Date]]-Table1[[#This Row],[Order_Date]]</f>
        <v>7</v>
      </c>
      <c r="V250" s="5">
        <f>Table1[[#This Row],[Price]]*Table1[[#This Row],[Quantity]]</f>
        <v>763.46</v>
      </c>
      <c r="W250" s="6" cm="1">
        <f t="array" ref="W250">_xlfn.IFS(
P250="FLAT8",8%,
P250="FLAT10",10%,
P250="FLAT15",15%,P250="FLAT20",20%,P250="DEL0",0%,
TRUE,0%
)</f>
        <v>0.15</v>
      </c>
      <c r="X250" s="5">
        <f>Table1[[#This Row],[Amount]]-(Table1[[#This Row],[Amount]]*Table1[[#This Row],[Discount_Percentage]])</f>
        <v>648.94100000000003</v>
      </c>
      <c r="Y250" s="5">
        <f>IF(P250="DEL0",Table1[[#This Row],[Discount_Amount]],Table1[[#This Row],[Discount_Amount]]+Table1[[#This Row],[Delivery_Charge]])</f>
        <v>716.94100000000003</v>
      </c>
      <c r="Z250" s="7" t="str">
        <f>_xlfn.CONCAT(Table1[[#This Row],[First_Name]],"  ",Table1[[#This Row],[Last_Name]])</f>
        <v>John  Ramirez</v>
      </c>
      <c r="AA250" s="5" t="str" cm="1">
        <f t="array" ref="AA250">_xlfn.IFS( (S250-K250)&gt;Q250,"Late", (S250-K250)=Q250,"InTime", (S250-K250)&lt;Q250,"BeforeTime" )</f>
        <v>Late</v>
      </c>
      <c r="AB250" s="3">
        <f>MONTH(Table1[[#This Row],[Order_Date]])</f>
        <v>1</v>
      </c>
    </row>
    <row r="251" spans="1:28" x14ac:dyDescent="0.3">
      <c r="A251" s="3" t="s">
        <v>1238</v>
      </c>
      <c r="B251" s="3" t="s">
        <v>1239</v>
      </c>
      <c r="C251" s="3" t="s">
        <v>1240</v>
      </c>
      <c r="D251" s="3" t="str">
        <f>_xlfn.CONCAT(Table1[[#This Row],[First_Name]],Table1[[#This Row],[Last_Name]])</f>
        <v>HannahGutierrez</v>
      </c>
      <c r="E251" s="3">
        <v>55</v>
      </c>
      <c r="F251" s="3" t="s">
        <v>41</v>
      </c>
      <c r="G251" s="3" t="s">
        <v>159</v>
      </c>
      <c r="H251" s="3" t="s">
        <v>1241</v>
      </c>
      <c r="I251" s="3" t="s">
        <v>1242</v>
      </c>
      <c r="J251" s="3" t="s">
        <v>1243</v>
      </c>
      <c r="K251" s="4">
        <v>45470</v>
      </c>
      <c r="L251" s="3" t="s">
        <v>1244</v>
      </c>
      <c r="M251" s="3" t="s">
        <v>518</v>
      </c>
      <c r="N251" s="3">
        <v>441.03</v>
      </c>
      <c r="O251" s="3">
        <v>3</v>
      </c>
      <c r="P251" s="3" t="s">
        <v>63</v>
      </c>
      <c r="Q251" s="3">
        <v>4</v>
      </c>
      <c r="R251" s="3">
        <v>47</v>
      </c>
      <c r="S251" s="4">
        <v>45473</v>
      </c>
      <c r="T251" s="3" t="s">
        <v>1245</v>
      </c>
      <c r="U251" s="5">
        <f>Table1[[#This Row],[Delivery_Date]]-Table1[[#This Row],[Order_Date]]</f>
        <v>3</v>
      </c>
      <c r="V251" s="5">
        <f>Table1[[#This Row],[Price]]*Table1[[#This Row],[Quantity]]</f>
        <v>1323.09</v>
      </c>
      <c r="W251" s="6" cm="1">
        <f t="array" ref="W251">_xlfn.IFS(
P251="FLAT8",8%,
P251="FLAT10",10%,
P251="FLAT15",15%,P251="FLAT20",20%,P251="DEL0",0%,
TRUE,0%
)</f>
        <v>0</v>
      </c>
      <c r="X251" s="5">
        <f>Table1[[#This Row],[Amount]]-(Table1[[#This Row],[Amount]]*Table1[[#This Row],[Discount_Percentage]])</f>
        <v>1323.09</v>
      </c>
      <c r="Y251" s="5">
        <f>IF(P251="DEL0",Table1[[#This Row],[Discount_Amount]],Table1[[#This Row],[Discount_Amount]]+Table1[[#This Row],[Delivery_Charge]])</f>
        <v>1323.09</v>
      </c>
      <c r="Z251" s="7" t="str">
        <f>_xlfn.CONCAT(Table1[[#This Row],[First_Name]],"  ",Table1[[#This Row],[Last_Name]])</f>
        <v>Hannah  Gutierrez</v>
      </c>
      <c r="AA251" s="5" t="str" cm="1">
        <f t="array" ref="AA251">_xlfn.IFS( (S251-K251)&gt;Q251,"Late", (S251-K251)=Q251,"InTime", (S251-K251)&lt;Q251,"BeforeTime" )</f>
        <v>BeforeTime</v>
      </c>
      <c r="AB251" s="3">
        <f>MONTH(Table1[[#This Row],[Order_Date]])</f>
        <v>6</v>
      </c>
    </row>
    <row r="252" spans="1:28" x14ac:dyDescent="0.3">
      <c r="A252" s="3" t="s">
        <v>1246</v>
      </c>
      <c r="B252" s="3" t="s">
        <v>66</v>
      </c>
      <c r="C252" s="3" t="s">
        <v>1247</v>
      </c>
      <c r="D252" s="3" t="str">
        <f>_xlfn.CONCAT(Table1[[#This Row],[First_Name]],Table1[[#This Row],[Last_Name]])</f>
        <v>AngelaCasey</v>
      </c>
      <c r="E252" s="3">
        <v>40</v>
      </c>
      <c r="F252" s="3" t="s">
        <v>29</v>
      </c>
      <c r="G252" s="3" t="s">
        <v>76</v>
      </c>
      <c r="H252" s="3" t="s">
        <v>1248</v>
      </c>
      <c r="I252" s="3" t="s">
        <v>1249</v>
      </c>
      <c r="J252" s="3" t="s">
        <v>1250</v>
      </c>
      <c r="K252" s="4">
        <v>45531</v>
      </c>
      <c r="L252" s="3" t="s">
        <v>1251</v>
      </c>
      <c r="M252" s="3" t="s">
        <v>514</v>
      </c>
      <c r="N252" s="3">
        <v>136.30000000000001</v>
      </c>
      <c r="O252" s="3">
        <v>2</v>
      </c>
      <c r="P252" s="3" t="s">
        <v>36</v>
      </c>
      <c r="Q252" s="3">
        <v>6</v>
      </c>
      <c r="R252" s="3">
        <v>58</v>
      </c>
      <c r="S252" s="4">
        <v>45533</v>
      </c>
      <c r="T252" s="3" t="s">
        <v>1252</v>
      </c>
      <c r="U252" s="5">
        <f>Table1[[#This Row],[Delivery_Date]]-Table1[[#This Row],[Order_Date]]</f>
        <v>2</v>
      </c>
      <c r="V252" s="5">
        <f>Table1[[#This Row],[Price]]*Table1[[#This Row],[Quantity]]</f>
        <v>272.60000000000002</v>
      </c>
      <c r="W252" s="6" cm="1">
        <f t="array" ref="W252">_xlfn.IFS(
P252="FLAT8",8%,
P252="FLAT10",10%,
P252="FLAT15",15%,P252="FLAT20",20%,P252="DEL0",0%,
TRUE,0%
)</f>
        <v>0.08</v>
      </c>
      <c r="X252" s="5">
        <f>Table1[[#This Row],[Amount]]-(Table1[[#This Row],[Amount]]*Table1[[#This Row],[Discount_Percentage]])</f>
        <v>250.79200000000003</v>
      </c>
      <c r="Y252" s="5">
        <f>IF(P252="DEL0",Table1[[#This Row],[Discount_Amount]],Table1[[#This Row],[Discount_Amount]]+Table1[[#This Row],[Delivery_Charge]])</f>
        <v>308.79200000000003</v>
      </c>
      <c r="Z252" s="7" t="str">
        <f>_xlfn.CONCAT(Table1[[#This Row],[First_Name]],"  ",Table1[[#This Row],[Last_Name]])</f>
        <v>Angela  Casey</v>
      </c>
      <c r="AA252" s="5" t="str" cm="1">
        <f t="array" ref="AA252">_xlfn.IFS( (S252-K252)&gt;Q252,"Late", (S252-K252)=Q252,"InTime", (S252-K252)&lt;Q252,"BeforeTime" )</f>
        <v>BeforeTime</v>
      </c>
      <c r="AB252" s="3">
        <f>MONTH(Table1[[#This Row],[Order_Date]])</f>
        <v>8</v>
      </c>
    </row>
    <row r="253" spans="1:28" x14ac:dyDescent="0.3">
      <c r="A253" s="3" t="s">
        <v>546</v>
      </c>
      <c r="B253" s="3" t="s">
        <v>547</v>
      </c>
      <c r="C253" s="3" t="s">
        <v>548</v>
      </c>
      <c r="D253" s="3" t="str">
        <f>_xlfn.CONCAT(Table1[[#This Row],[First_Name]],Table1[[#This Row],[Last_Name]])</f>
        <v>JodiWhitney</v>
      </c>
      <c r="E253" s="3">
        <v>33</v>
      </c>
      <c r="F253" s="3" t="s">
        <v>52</v>
      </c>
      <c r="G253" s="3" t="s">
        <v>168</v>
      </c>
      <c r="H253" s="3" t="s">
        <v>549</v>
      </c>
      <c r="I253" s="3" t="s">
        <v>550</v>
      </c>
      <c r="J253" s="3" t="s">
        <v>1253</v>
      </c>
      <c r="K253" s="4">
        <v>45383</v>
      </c>
      <c r="L253" s="3" t="s">
        <v>1254</v>
      </c>
      <c r="M253" s="3" t="s">
        <v>590</v>
      </c>
      <c r="N253" s="3">
        <v>403.03</v>
      </c>
      <c r="O253" s="3">
        <v>3</v>
      </c>
      <c r="P253" s="3" t="s">
        <v>58</v>
      </c>
      <c r="Q253" s="3">
        <v>5</v>
      </c>
      <c r="R253" s="3">
        <v>44</v>
      </c>
      <c r="S253" s="4">
        <v>45384</v>
      </c>
      <c r="T253" s="3" t="s">
        <v>1255</v>
      </c>
      <c r="U253" s="5">
        <f>Table1[[#This Row],[Delivery_Date]]-Table1[[#This Row],[Order_Date]]</f>
        <v>1</v>
      </c>
      <c r="V253" s="5">
        <f>Table1[[#This Row],[Price]]*Table1[[#This Row],[Quantity]]</f>
        <v>1209.0899999999999</v>
      </c>
      <c r="W253" s="6" cm="1">
        <f t="array" ref="W253">_xlfn.IFS(
P253="FLAT8",8%,
P253="FLAT10",10%,
P253="FLAT15",15%,P253="FLAT20",20%,P253="DEL0",0%,
TRUE,0%
)</f>
        <v>0.15</v>
      </c>
      <c r="X253" s="5">
        <f>Table1[[#This Row],[Amount]]-(Table1[[#This Row],[Amount]]*Table1[[#This Row],[Discount_Percentage]])</f>
        <v>1027.7265</v>
      </c>
      <c r="Y253" s="5">
        <f>IF(P253="DEL0",Table1[[#This Row],[Discount_Amount]],Table1[[#This Row],[Discount_Amount]]+Table1[[#This Row],[Delivery_Charge]])</f>
        <v>1071.7265</v>
      </c>
      <c r="Z253" s="7" t="str">
        <f>_xlfn.CONCAT(Table1[[#This Row],[First_Name]],"  ",Table1[[#This Row],[Last_Name]])</f>
        <v>Jodi  Whitney</v>
      </c>
      <c r="AA253" s="5" t="str" cm="1">
        <f t="array" ref="AA253">_xlfn.IFS( (S253-K253)&gt;Q253,"Late", (S253-K253)=Q253,"InTime", (S253-K253)&lt;Q253,"BeforeTime" )</f>
        <v>BeforeTime</v>
      </c>
      <c r="AB253" s="3">
        <f>MONTH(Table1[[#This Row],[Order_Date]])</f>
        <v>4</v>
      </c>
    </row>
    <row r="254" spans="1:28" x14ac:dyDescent="0.3">
      <c r="A254" s="3" t="s">
        <v>986</v>
      </c>
      <c r="B254" s="3" t="s">
        <v>987</v>
      </c>
      <c r="C254" s="3" t="s">
        <v>988</v>
      </c>
      <c r="D254" s="3" t="str">
        <f>_xlfn.CONCAT(Table1[[#This Row],[First_Name]],Table1[[#This Row],[Last_Name]])</f>
        <v>NatashaMichael</v>
      </c>
      <c r="E254" s="3">
        <v>49</v>
      </c>
      <c r="F254" s="3" t="s">
        <v>29</v>
      </c>
      <c r="G254" s="3" t="s">
        <v>42</v>
      </c>
      <c r="H254" s="3" t="s">
        <v>989</v>
      </c>
      <c r="I254" s="3" t="s">
        <v>990</v>
      </c>
      <c r="J254" s="3" t="s">
        <v>1256</v>
      </c>
      <c r="K254" s="4">
        <v>45233</v>
      </c>
      <c r="L254" s="3" t="s">
        <v>1257</v>
      </c>
      <c r="M254" s="3" t="s">
        <v>748</v>
      </c>
      <c r="N254" s="3">
        <v>381.73</v>
      </c>
      <c r="O254" s="3">
        <v>5</v>
      </c>
      <c r="P254" s="3" t="s">
        <v>36</v>
      </c>
      <c r="Q254" s="3">
        <v>7</v>
      </c>
      <c r="R254" s="3">
        <v>45</v>
      </c>
      <c r="S254" s="4">
        <v>45236</v>
      </c>
      <c r="T254" s="3" t="s">
        <v>1258</v>
      </c>
      <c r="U254" s="5">
        <f>Table1[[#This Row],[Delivery_Date]]-Table1[[#This Row],[Order_Date]]</f>
        <v>3</v>
      </c>
      <c r="V254" s="5">
        <f>Table1[[#This Row],[Price]]*Table1[[#This Row],[Quantity]]</f>
        <v>1908.65</v>
      </c>
      <c r="W254" s="6" cm="1">
        <f t="array" ref="W254">_xlfn.IFS(
P254="FLAT8",8%,
P254="FLAT10",10%,
P254="FLAT15",15%,P254="FLAT20",20%,P254="DEL0",0%,
TRUE,0%
)</f>
        <v>0.08</v>
      </c>
      <c r="X254" s="5">
        <f>Table1[[#This Row],[Amount]]-(Table1[[#This Row],[Amount]]*Table1[[#This Row],[Discount_Percentage]])</f>
        <v>1755.9580000000001</v>
      </c>
      <c r="Y254" s="5">
        <f>IF(P254="DEL0",Table1[[#This Row],[Discount_Amount]],Table1[[#This Row],[Discount_Amount]]+Table1[[#This Row],[Delivery_Charge]])</f>
        <v>1800.9580000000001</v>
      </c>
      <c r="Z254" s="7" t="str">
        <f>_xlfn.CONCAT(Table1[[#This Row],[First_Name]],"  ",Table1[[#This Row],[Last_Name]])</f>
        <v>Natasha  Michael</v>
      </c>
      <c r="AA254" s="5" t="str" cm="1">
        <f t="array" ref="AA254">_xlfn.IFS( (S254-K254)&gt;Q254,"Late", (S254-K254)=Q254,"InTime", (S254-K254)&lt;Q254,"BeforeTime" )</f>
        <v>BeforeTime</v>
      </c>
      <c r="AB254" s="3">
        <f>MONTH(Table1[[#This Row],[Order_Date]])</f>
        <v>11</v>
      </c>
    </row>
    <row r="255" spans="1:28" x14ac:dyDescent="0.3">
      <c r="A255" s="3" t="s">
        <v>925</v>
      </c>
      <c r="B255" s="3" t="s">
        <v>926</v>
      </c>
      <c r="C255" s="3" t="s">
        <v>927</v>
      </c>
      <c r="D255" s="3" t="str">
        <f>_xlfn.CONCAT(Table1[[#This Row],[First_Name]],Table1[[#This Row],[Last_Name]])</f>
        <v>RachaelRobinson</v>
      </c>
      <c r="E255" s="3">
        <v>24</v>
      </c>
      <c r="F255" s="3" t="s">
        <v>52</v>
      </c>
      <c r="G255" s="3" t="s">
        <v>220</v>
      </c>
      <c r="H255" s="3" t="s">
        <v>928</v>
      </c>
      <c r="I255" s="3" t="s">
        <v>929</v>
      </c>
      <c r="J255" s="3" t="s">
        <v>1259</v>
      </c>
      <c r="K255" s="4">
        <v>45668</v>
      </c>
      <c r="L255" s="3" t="s">
        <v>1260</v>
      </c>
      <c r="M255" s="3" t="s">
        <v>748</v>
      </c>
      <c r="N255" s="3">
        <v>381.73</v>
      </c>
      <c r="O255" s="3">
        <v>1</v>
      </c>
      <c r="P255" s="3" t="s">
        <v>36</v>
      </c>
      <c r="Q255" s="3">
        <v>3</v>
      </c>
      <c r="R255" s="3">
        <v>36</v>
      </c>
      <c r="S255" s="4">
        <v>45675</v>
      </c>
      <c r="T255" s="3" t="s">
        <v>1261</v>
      </c>
      <c r="U255" s="5">
        <f>Table1[[#This Row],[Delivery_Date]]-Table1[[#This Row],[Order_Date]]</f>
        <v>7</v>
      </c>
      <c r="V255" s="5">
        <f>Table1[[#This Row],[Price]]*Table1[[#This Row],[Quantity]]</f>
        <v>381.73</v>
      </c>
      <c r="W255" s="6" cm="1">
        <f t="array" ref="W255">_xlfn.IFS(
P255="FLAT8",8%,
P255="FLAT10",10%,
P255="FLAT15",15%,P255="FLAT20",20%,P255="DEL0",0%,
TRUE,0%
)</f>
        <v>0.08</v>
      </c>
      <c r="X255" s="5">
        <f>Table1[[#This Row],[Amount]]-(Table1[[#This Row],[Amount]]*Table1[[#This Row],[Discount_Percentage]])</f>
        <v>351.19159999999999</v>
      </c>
      <c r="Y255" s="5">
        <f>IF(P255="DEL0",Table1[[#This Row],[Discount_Amount]],Table1[[#This Row],[Discount_Amount]]+Table1[[#This Row],[Delivery_Charge]])</f>
        <v>387.19159999999999</v>
      </c>
      <c r="Z255" s="7" t="str">
        <f>_xlfn.CONCAT(Table1[[#This Row],[First_Name]],"  ",Table1[[#This Row],[Last_Name]])</f>
        <v>Rachael  Robinson</v>
      </c>
      <c r="AA255" s="5" t="str" cm="1">
        <f t="array" ref="AA255">_xlfn.IFS( (S255-K255)&gt;Q255,"Late", (S255-K255)=Q255,"InTime", (S255-K255)&lt;Q255,"BeforeTime" )</f>
        <v>Late</v>
      </c>
      <c r="AB255" s="3">
        <f>MONTH(Table1[[#This Row],[Order_Date]])</f>
        <v>1</v>
      </c>
    </row>
    <row r="256" spans="1:28" x14ac:dyDescent="0.3">
      <c r="A256" s="3" t="s">
        <v>458</v>
      </c>
      <c r="B256" s="3" t="s">
        <v>459</v>
      </c>
      <c r="C256" s="3" t="s">
        <v>460</v>
      </c>
      <c r="D256" s="3" t="str">
        <f>_xlfn.CONCAT(Table1[[#This Row],[First_Name]],Table1[[#This Row],[Last_Name]])</f>
        <v>RebeccaFigueroa</v>
      </c>
      <c r="E256" s="3">
        <v>63</v>
      </c>
      <c r="F256" s="3" t="s">
        <v>29</v>
      </c>
      <c r="G256" s="3" t="s">
        <v>140</v>
      </c>
      <c r="H256" s="3" t="s">
        <v>461</v>
      </c>
      <c r="I256" s="3" t="s">
        <v>462</v>
      </c>
      <c r="J256" s="3" t="s">
        <v>1262</v>
      </c>
      <c r="K256" s="4">
        <v>45457</v>
      </c>
      <c r="L256" s="3" t="s">
        <v>1263</v>
      </c>
      <c r="M256" s="3" t="s">
        <v>553</v>
      </c>
      <c r="N256" s="3">
        <v>425.59</v>
      </c>
      <c r="O256" s="3">
        <v>1</v>
      </c>
      <c r="P256" s="3" t="s">
        <v>85</v>
      </c>
      <c r="Q256" s="3">
        <v>7</v>
      </c>
      <c r="R256" s="3">
        <v>40</v>
      </c>
      <c r="S256" s="4">
        <v>45460</v>
      </c>
      <c r="T256" s="3" t="s">
        <v>1264</v>
      </c>
      <c r="U256" s="5">
        <f>Table1[[#This Row],[Delivery_Date]]-Table1[[#This Row],[Order_Date]]</f>
        <v>3</v>
      </c>
      <c r="V256" s="5">
        <f>Table1[[#This Row],[Price]]*Table1[[#This Row],[Quantity]]</f>
        <v>425.59</v>
      </c>
      <c r="W256" s="6" cm="1">
        <f t="array" ref="W256">_xlfn.IFS(
P256="FLAT8",8%,
P256="FLAT10",10%,
P256="FLAT15",15%,P256="FLAT20",20%,P256="DEL0",0%,
TRUE,0%
)</f>
        <v>0.2</v>
      </c>
      <c r="X256" s="5">
        <f>Table1[[#This Row],[Amount]]-(Table1[[#This Row],[Amount]]*Table1[[#This Row],[Discount_Percentage]])</f>
        <v>340.47199999999998</v>
      </c>
      <c r="Y256" s="5">
        <f>IF(P256="DEL0",Table1[[#This Row],[Discount_Amount]],Table1[[#This Row],[Discount_Amount]]+Table1[[#This Row],[Delivery_Charge]])</f>
        <v>380.47199999999998</v>
      </c>
      <c r="Z256" s="7" t="str">
        <f>_xlfn.CONCAT(Table1[[#This Row],[First_Name]],"  ",Table1[[#This Row],[Last_Name]])</f>
        <v>Rebecca  Figueroa</v>
      </c>
      <c r="AA256" s="5" t="str" cm="1">
        <f t="array" ref="AA256">_xlfn.IFS( (S256-K256)&gt;Q256,"Late", (S256-K256)=Q256,"InTime", (S256-K256)&lt;Q256,"BeforeTime" )</f>
        <v>BeforeTime</v>
      </c>
      <c r="AB256" s="3">
        <f>MONTH(Table1[[#This Row],[Order_Date]])</f>
        <v>6</v>
      </c>
    </row>
    <row r="257" spans="1:28" x14ac:dyDescent="0.3">
      <c r="A257" s="3" t="s">
        <v>272</v>
      </c>
      <c r="B257" s="3" t="s">
        <v>273</v>
      </c>
      <c r="C257" s="3" t="s">
        <v>274</v>
      </c>
      <c r="D257" s="3" t="str">
        <f>_xlfn.CONCAT(Table1[[#This Row],[First_Name]],Table1[[#This Row],[Last_Name]])</f>
        <v>LaurenLong</v>
      </c>
      <c r="E257" s="3">
        <v>44</v>
      </c>
      <c r="F257" s="3" t="s">
        <v>29</v>
      </c>
      <c r="G257" s="3" t="s">
        <v>220</v>
      </c>
      <c r="H257" s="3" t="s">
        <v>275</v>
      </c>
      <c r="I257" s="3" t="s">
        <v>276</v>
      </c>
      <c r="J257" s="3" t="s">
        <v>1265</v>
      </c>
      <c r="K257" s="4">
        <v>45659</v>
      </c>
      <c r="L257" s="3" t="s">
        <v>1266</v>
      </c>
      <c r="M257" s="3" t="s">
        <v>323</v>
      </c>
      <c r="N257" s="3">
        <v>481.48</v>
      </c>
      <c r="O257" s="3">
        <v>4</v>
      </c>
      <c r="P257" s="3" t="s">
        <v>58</v>
      </c>
      <c r="Q257" s="3">
        <v>4</v>
      </c>
      <c r="R257" s="3">
        <v>67</v>
      </c>
      <c r="S257" s="4">
        <v>45665</v>
      </c>
      <c r="T257" s="3" t="s">
        <v>1267</v>
      </c>
      <c r="U257" s="5">
        <f>Table1[[#This Row],[Delivery_Date]]-Table1[[#This Row],[Order_Date]]</f>
        <v>6</v>
      </c>
      <c r="V257" s="5">
        <f>Table1[[#This Row],[Price]]*Table1[[#This Row],[Quantity]]</f>
        <v>1925.92</v>
      </c>
      <c r="W257" s="6" cm="1">
        <f t="array" ref="W257">_xlfn.IFS(
P257="FLAT8",8%,
P257="FLAT10",10%,
P257="FLAT15",15%,P257="FLAT20",20%,P257="DEL0",0%,
TRUE,0%
)</f>
        <v>0.15</v>
      </c>
      <c r="X257" s="5">
        <f>Table1[[#This Row],[Amount]]-(Table1[[#This Row],[Amount]]*Table1[[#This Row],[Discount_Percentage]])</f>
        <v>1637.0320000000002</v>
      </c>
      <c r="Y257" s="5">
        <f>IF(P257="DEL0",Table1[[#This Row],[Discount_Amount]],Table1[[#This Row],[Discount_Amount]]+Table1[[#This Row],[Delivery_Charge]])</f>
        <v>1704.0320000000002</v>
      </c>
      <c r="Z257" s="7" t="str">
        <f>_xlfn.CONCAT(Table1[[#This Row],[First_Name]],"  ",Table1[[#This Row],[Last_Name]])</f>
        <v>Lauren  Long</v>
      </c>
      <c r="AA257" s="5" t="str" cm="1">
        <f t="array" ref="AA257">_xlfn.IFS( (S257-K257)&gt;Q257,"Late", (S257-K257)=Q257,"InTime", (S257-K257)&lt;Q257,"BeforeTime" )</f>
        <v>Late</v>
      </c>
      <c r="AB257" s="3">
        <f>MONTH(Table1[[#This Row],[Order_Date]])</f>
        <v>1</v>
      </c>
    </row>
    <row r="258" spans="1:28" x14ac:dyDescent="0.3">
      <c r="A258" s="3" t="s">
        <v>156</v>
      </c>
      <c r="B258" s="3" t="s">
        <v>157</v>
      </c>
      <c r="C258" s="3" t="s">
        <v>158</v>
      </c>
      <c r="D258" s="3" t="str">
        <f>_xlfn.CONCAT(Table1[[#This Row],[First_Name]],Table1[[#This Row],[Last_Name]])</f>
        <v>JoshuaCampbell</v>
      </c>
      <c r="E258" s="3">
        <v>24</v>
      </c>
      <c r="F258" s="3" t="s">
        <v>29</v>
      </c>
      <c r="G258" s="3" t="s">
        <v>159</v>
      </c>
      <c r="H258" s="3" t="s">
        <v>160</v>
      </c>
      <c r="I258" s="3" t="s">
        <v>161</v>
      </c>
      <c r="J258" s="3" t="s">
        <v>1268</v>
      </c>
      <c r="K258" s="4">
        <v>45512</v>
      </c>
      <c r="L258" s="3" t="s">
        <v>1269</v>
      </c>
      <c r="M258" s="3" t="s">
        <v>495</v>
      </c>
      <c r="N258" s="3">
        <v>421.7</v>
      </c>
      <c r="O258" s="3">
        <v>2</v>
      </c>
      <c r="P258" s="3" t="s">
        <v>96</v>
      </c>
      <c r="Q258" s="3">
        <v>2</v>
      </c>
      <c r="R258" s="3">
        <v>54</v>
      </c>
      <c r="S258" s="4">
        <v>45514</v>
      </c>
      <c r="T258" s="3" t="s">
        <v>1270</v>
      </c>
      <c r="U258" s="5">
        <f>Table1[[#This Row],[Delivery_Date]]-Table1[[#This Row],[Order_Date]]</f>
        <v>2</v>
      </c>
      <c r="V258" s="5">
        <f>Table1[[#This Row],[Price]]*Table1[[#This Row],[Quantity]]</f>
        <v>843.4</v>
      </c>
      <c r="W258" s="6" cm="1">
        <f t="array" ref="W258">_xlfn.IFS(
P258="FLAT8",8%,
P258="FLAT10",10%,
P258="FLAT15",15%,P258="FLAT20",20%,P258="DEL0",0%,
TRUE,0%
)</f>
        <v>0.1</v>
      </c>
      <c r="X258" s="5">
        <f>Table1[[#This Row],[Amount]]-(Table1[[#This Row],[Amount]]*Table1[[#This Row],[Discount_Percentage]])</f>
        <v>759.06</v>
      </c>
      <c r="Y258" s="5">
        <f>IF(P258="DEL0",Table1[[#This Row],[Discount_Amount]],Table1[[#This Row],[Discount_Amount]]+Table1[[#This Row],[Delivery_Charge]])</f>
        <v>813.06</v>
      </c>
      <c r="Z258" s="7" t="str">
        <f>_xlfn.CONCAT(Table1[[#This Row],[First_Name]],"  ",Table1[[#This Row],[Last_Name]])</f>
        <v>Joshua  Campbell</v>
      </c>
      <c r="AA258" s="5" t="str" cm="1">
        <f t="array" ref="AA258">_xlfn.IFS( (S258-K258)&gt;Q258,"Late", (S258-K258)=Q258,"InTime", (S258-K258)&lt;Q258,"BeforeTime" )</f>
        <v>InTime</v>
      </c>
      <c r="AB258" s="3">
        <f>MONTH(Table1[[#This Row],[Order_Date]])</f>
        <v>8</v>
      </c>
    </row>
    <row r="259" spans="1:28" x14ac:dyDescent="0.3">
      <c r="A259" s="3" t="s">
        <v>301</v>
      </c>
      <c r="B259" s="3" t="s">
        <v>302</v>
      </c>
      <c r="C259" s="3" t="s">
        <v>303</v>
      </c>
      <c r="D259" s="3" t="str">
        <f>_xlfn.CONCAT(Table1[[#This Row],[First_Name]],Table1[[#This Row],[Last_Name]])</f>
        <v>ValerieCarr</v>
      </c>
      <c r="E259" s="3">
        <v>26</v>
      </c>
      <c r="F259" s="3" t="s">
        <v>52</v>
      </c>
      <c r="G259" s="3" t="s">
        <v>168</v>
      </c>
      <c r="H259" s="3" t="s">
        <v>304</v>
      </c>
      <c r="I259" s="3" t="s">
        <v>305</v>
      </c>
      <c r="J259" s="3" t="s">
        <v>1271</v>
      </c>
      <c r="K259" s="4">
        <v>45393</v>
      </c>
      <c r="L259" s="3" t="s">
        <v>1272</v>
      </c>
      <c r="M259" s="3" t="s">
        <v>738</v>
      </c>
      <c r="N259" s="3">
        <v>110.95</v>
      </c>
      <c r="O259" s="3">
        <v>3</v>
      </c>
      <c r="P259" s="3" t="s">
        <v>63</v>
      </c>
      <c r="Q259" s="3">
        <v>5</v>
      </c>
      <c r="R259" s="3">
        <v>47</v>
      </c>
      <c r="S259" s="4">
        <v>45399</v>
      </c>
      <c r="T259" s="3" t="s">
        <v>1273</v>
      </c>
      <c r="U259" s="5">
        <f>Table1[[#This Row],[Delivery_Date]]-Table1[[#This Row],[Order_Date]]</f>
        <v>6</v>
      </c>
      <c r="V259" s="5">
        <f>Table1[[#This Row],[Price]]*Table1[[#This Row],[Quantity]]</f>
        <v>332.85</v>
      </c>
      <c r="W259" s="6" cm="1">
        <f t="array" ref="W259">_xlfn.IFS(
P259="FLAT8",8%,
P259="FLAT10",10%,
P259="FLAT15",15%,P259="FLAT20",20%,P259="DEL0",0%,
TRUE,0%
)</f>
        <v>0</v>
      </c>
      <c r="X259" s="5">
        <f>Table1[[#This Row],[Amount]]-(Table1[[#This Row],[Amount]]*Table1[[#This Row],[Discount_Percentage]])</f>
        <v>332.85</v>
      </c>
      <c r="Y259" s="5">
        <f>IF(P259="DEL0",Table1[[#This Row],[Discount_Amount]],Table1[[#This Row],[Discount_Amount]]+Table1[[#This Row],[Delivery_Charge]])</f>
        <v>332.85</v>
      </c>
      <c r="Z259" s="7" t="str">
        <f>_xlfn.CONCAT(Table1[[#This Row],[First_Name]],"  ",Table1[[#This Row],[Last_Name]])</f>
        <v>Valerie  Carr</v>
      </c>
      <c r="AA259" s="5" t="str" cm="1">
        <f t="array" ref="AA259">_xlfn.IFS( (S259-K259)&gt;Q259,"Late", (S259-K259)=Q259,"InTime", (S259-K259)&lt;Q259,"BeforeTime" )</f>
        <v>Late</v>
      </c>
      <c r="AB259" s="3">
        <f>MONTH(Table1[[#This Row],[Order_Date]])</f>
        <v>4</v>
      </c>
    </row>
    <row r="260" spans="1:28" x14ac:dyDescent="0.3">
      <c r="A260" s="3" t="s">
        <v>507</v>
      </c>
      <c r="B260" s="3" t="s">
        <v>508</v>
      </c>
      <c r="C260" s="3" t="s">
        <v>509</v>
      </c>
      <c r="D260" s="3" t="str">
        <f>_xlfn.CONCAT(Table1[[#This Row],[First_Name]],Table1[[#This Row],[Last_Name]])</f>
        <v>SarahButler</v>
      </c>
      <c r="E260" s="3">
        <v>64</v>
      </c>
      <c r="F260" s="3" t="s">
        <v>29</v>
      </c>
      <c r="G260" s="3" t="s">
        <v>30</v>
      </c>
      <c r="H260" s="3" t="s">
        <v>510</v>
      </c>
      <c r="I260" s="3" t="s">
        <v>511</v>
      </c>
      <c r="J260" s="3" t="s">
        <v>1274</v>
      </c>
      <c r="K260" s="4">
        <v>45188</v>
      </c>
      <c r="L260" s="3" t="s">
        <v>1275</v>
      </c>
      <c r="M260" s="3" t="s">
        <v>246</v>
      </c>
      <c r="N260" s="3">
        <v>282.63</v>
      </c>
      <c r="O260" s="3">
        <v>4</v>
      </c>
      <c r="P260" s="3" t="s">
        <v>96</v>
      </c>
      <c r="Q260" s="3">
        <v>3</v>
      </c>
      <c r="R260" s="3">
        <v>52</v>
      </c>
      <c r="S260" s="4">
        <v>45191</v>
      </c>
      <c r="T260" s="3" t="s">
        <v>1276</v>
      </c>
      <c r="U260" s="5">
        <f>Table1[[#This Row],[Delivery_Date]]-Table1[[#This Row],[Order_Date]]</f>
        <v>3</v>
      </c>
      <c r="V260" s="5">
        <f>Table1[[#This Row],[Price]]*Table1[[#This Row],[Quantity]]</f>
        <v>1130.52</v>
      </c>
      <c r="W260" s="6" cm="1">
        <f t="array" ref="W260">_xlfn.IFS(
P260="FLAT8",8%,
P260="FLAT10",10%,
P260="FLAT15",15%,P260="FLAT20",20%,P260="DEL0",0%,
TRUE,0%
)</f>
        <v>0.1</v>
      </c>
      <c r="X260" s="5">
        <f>Table1[[#This Row],[Amount]]-(Table1[[#This Row],[Amount]]*Table1[[#This Row],[Discount_Percentage]])</f>
        <v>1017.468</v>
      </c>
      <c r="Y260" s="5">
        <f>IF(P260="DEL0",Table1[[#This Row],[Discount_Amount]],Table1[[#This Row],[Discount_Amount]]+Table1[[#This Row],[Delivery_Charge]])</f>
        <v>1069.4679999999998</v>
      </c>
      <c r="Z260" s="7" t="str">
        <f>_xlfn.CONCAT(Table1[[#This Row],[First_Name]],"  ",Table1[[#This Row],[Last_Name]])</f>
        <v>Sarah  Butler</v>
      </c>
      <c r="AA260" s="5" t="str" cm="1">
        <f t="array" ref="AA260">_xlfn.IFS( (S260-K260)&gt;Q260,"Late", (S260-K260)=Q260,"InTime", (S260-K260)&lt;Q260,"BeforeTime" )</f>
        <v>InTime</v>
      </c>
      <c r="AB260" s="3">
        <f>MONTH(Table1[[#This Row],[Order_Date]])</f>
        <v>9</v>
      </c>
    </row>
    <row r="261" spans="1:28" x14ac:dyDescent="0.3">
      <c r="A261" s="3" t="s">
        <v>847</v>
      </c>
      <c r="B261" s="3" t="s">
        <v>848</v>
      </c>
      <c r="C261" s="3" t="s">
        <v>387</v>
      </c>
      <c r="D261" s="3" t="str">
        <f>_xlfn.CONCAT(Table1[[#This Row],[First_Name]],Table1[[#This Row],[Last_Name]])</f>
        <v>SusanThompson</v>
      </c>
      <c r="E261" s="3">
        <v>37</v>
      </c>
      <c r="F261" s="3" t="s">
        <v>52</v>
      </c>
      <c r="G261" s="3" t="s">
        <v>220</v>
      </c>
      <c r="H261" s="3" t="s">
        <v>849</v>
      </c>
      <c r="I261" s="3" t="s">
        <v>850</v>
      </c>
      <c r="J261" s="3" t="s">
        <v>1277</v>
      </c>
      <c r="K261" s="4">
        <v>45335</v>
      </c>
      <c r="L261" s="3" t="s">
        <v>1278</v>
      </c>
      <c r="M261" s="3" t="s">
        <v>291</v>
      </c>
      <c r="N261" s="3">
        <v>158.53</v>
      </c>
      <c r="O261" s="3">
        <v>3</v>
      </c>
      <c r="P261" s="3" t="s">
        <v>96</v>
      </c>
      <c r="Q261" s="3">
        <v>3</v>
      </c>
      <c r="R261" s="3">
        <v>63</v>
      </c>
      <c r="S261" s="4">
        <v>45336</v>
      </c>
      <c r="T261" s="3" t="s">
        <v>1279</v>
      </c>
      <c r="U261" s="5">
        <f>Table1[[#This Row],[Delivery_Date]]-Table1[[#This Row],[Order_Date]]</f>
        <v>1</v>
      </c>
      <c r="V261" s="5">
        <f>Table1[[#This Row],[Price]]*Table1[[#This Row],[Quantity]]</f>
        <v>475.59000000000003</v>
      </c>
      <c r="W261" s="6" cm="1">
        <f t="array" ref="W261">_xlfn.IFS(
P261="FLAT8",8%,
P261="FLAT10",10%,
P261="FLAT15",15%,P261="FLAT20",20%,P261="DEL0",0%,
TRUE,0%
)</f>
        <v>0.1</v>
      </c>
      <c r="X261" s="5">
        <f>Table1[[#This Row],[Amount]]-(Table1[[#This Row],[Amount]]*Table1[[#This Row],[Discount_Percentage]])</f>
        <v>428.03100000000001</v>
      </c>
      <c r="Y261" s="5">
        <f>IF(P261="DEL0",Table1[[#This Row],[Discount_Amount]],Table1[[#This Row],[Discount_Amount]]+Table1[[#This Row],[Delivery_Charge]])</f>
        <v>491.03100000000001</v>
      </c>
      <c r="Z261" s="7" t="str">
        <f>_xlfn.CONCAT(Table1[[#This Row],[First_Name]],"  ",Table1[[#This Row],[Last_Name]])</f>
        <v>Susan  Thompson</v>
      </c>
      <c r="AA261" s="5" t="str" cm="1">
        <f t="array" ref="AA261">_xlfn.IFS( (S261-K261)&gt;Q261,"Late", (S261-K261)=Q261,"InTime", (S261-K261)&lt;Q261,"BeforeTime" )</f>
        <v>BeforeTime</v>
      </c>
      <c r="AB261" s="3">
        <f>MONTH(Table1[[#This Row],[Order_Date]])</f>
        <v>2</v>
      </c>
    </row>
    <row r="262" spans="1:28" x14ac:dyDescent="0.3">
      <c r="A262" s="3" t="s">
        <v>1079</v>
      </c>
      <c r="B262" s="3" t="s">
        <v>218</v>
      </c>
      <c r="C262" s="3" t="s">
        <v>1080</v>
      </c>
      <c r="D262" s="3" t="str">
        <f>_xlfn.CONCAT(Table1[[#This Row],[First_Name]],Table1[[#This Row],[Last_Name]])</f>
        <v>MarkSummers</v>
      </c>
      <c r="E262" s="3">
        <v>55</v>
      </c>
      <c r="F262" s="3" t="s">
        <v>41</v>
      </c>
      <c r="G262" s="3" t="s">
        <v>159</v>
      </c>
      <c r="H262" s="3" t="s">
        <v>1081</v>
      </c>
      <c r="I262" s="3" t="s">
        <v>1082</v>
      </c>
      <c r="J262" s="3" t="s">
        <v>1280</v>
      </c>
      <c r="K262" s="4">
        <v>45026</v>
      </c>
      <c r="L262" s="3" t="s">
        <v>1281</v>
      </c>
      <c r="M262" s="3" t="s">
        <v>270</v>
      </c>
      <c r="N262" s="3">
        <v>62.42</v>
      </c>
      <c r="O262" s="3">
        <v>3</v>
      </c>
      <c r="P262" s="3" t="s">
        <v>36</v>
      </c>
      <c r="Q262" s="3">
        <v>3</v>
      </c>
      <c r="R262" s="3">
        <v>37</v>
      </c>
      <c r="S262" s="4">
        <v>45031</v>
      </c>
      <c r="T262" s="3" t="s">
        <v>1282</v>
      </c>
      <c r="U262" s="5">
        <f>Table1[[#This Row],[Delivery_Date]]-Table1[[#This Row],[Order_Date]]</f>
        <v>5</v>
      </c>
      <c r="V262" s="5">
        <f>Table1[[#This Row],[Price]]*Table1[[#This Row],[Quantity]]</f>
        <v>187.26</v>
      </c>
      <c r="W262" s="6" cm="1">
        <f t="array" ref="W262">_xlfn.IFS(
P262="FLAT8",8%,
P262="FLAT10",10%,
P262="FLAT15",15%,P262="FLAT20",20%,P262="DEL0",0%,
TRUE,0%
)</f>
        <v>0.08</v>
      </c>
      <c r="X262" s="5">
        <f>Table1[[#This Row],[Amount]]-(Table1[[#This Row],[Amount]]*Table1[[#This Row],[Discount_Percentage]])</f>
        <v>172.2792</v>
      </c>
      <c r="Y262" s="5">
        <f>IF(P262="DEL0",Table1[[#This Row],[Discount_Amount]],Table1[[#This Row],[Discount_Amount]]+Table1[[#This Row],[Delivery_Charge]])</f>
        <v>209.2792</v>
      </c>
      <c r="Z262" s="7" t="str">
        <f>_xlfn.CONCAT(Table1[[#This Row],[First_Name]],"  ",Table1[[#This Row],[Last_Name]])</f>
        <v>Mark  Summers</v>
      </c>
      <c r="AA262" s="5" t="str" cm="1">
        <f t="array" ref="AA262">_xlfn.IFS( (S262-K262)&gt;Q262,"Late", (S262-K262)=Q262,"InTime", (S262-K262)&lt;Q262,"BeforeTime" )</f>
        <v>Late</v>
      </c>
      <c r="AB262" s="3">
        <f>MONTH(Table1[[#This Row],[Order_Date]])</f>
        <v>4</v>
      </c>
    </row>
    <row r="263" spans="1:28" x14ac:dyDescent="0.3">
      <c r="A263" s="3" t="s">
        <v>301</v>
      </c>
      <c r="B263" s="3" t="s">
        <v>302</v>
      </c>
      <c r="C263" s="3" t="s">
        <v>303</v>
      </c>
      <c r="D263" s="3" t="str">
        <f>_xlfn.CONCAT(Table1[[#This Row],[First_Name]],Table1[[#This Row],[Last_Name]])</f>
        <v>ValerieCarr</v>
      </c>
      <c r="E263" s="3">
        <v>26</v>
      </c>
      <c r="F263" s="3" t="s">
        <v>52</v>
      </c>
      <c r="G263" s="3" t="s">
        <v>168</v>
      </c>
      <c r="H263" s="3" t="s">
        <v>304</v>
      </c>
      <c r="I263" s="3" t="s">
        <v>305</v>
      </c>
      <c r="J263" s="3" t="s">
        <v>1283</v>
      </c>
      <c r="K263" s="4">
        <v>45454</v>
      </c>
      <c r="L263" s="3" t="s">
        <v>1284</v>
      </c>
      <c r="M263" s="3" t="s">
        <v>657</v>
      </c>
      <c r="N263" s="3">
        <v>235.63</v>
      </c>
      <c r="O263" s="3">
        <v>2</v>
      </c>
      <c r="P263" s="3" t="s">
        <v>58</v>
      </c>
      <c r="Q263" s="3">
        <v>4</v>
      </c>
      <c r="R263" s="3">
        <v>44</v>
      </c>
      <c r="S263" s="4">
        <v>45458</v>
      </c>
      <c r="T263" s="3" t="s">
        <v>1285</v>
      </c>
      <c r="U263" s="5">
        <f>Table1[[#This Row],[Delivery_Date]]-Table1[[#This Row],[Order_Date]]</f>
        <v>4</v>
      </c>
      <c r="V263" s="5">
        <f>Table1[[#This Row],[Price]]*Table1[[#This Row],[Quantity]]</f>
        <v>471.26</v>
      </c>
      <c r="W263" s="6" cm="1">
        <f t="array" ref="W263">_xlfn.IFS(
P263="FLAT8",8%,
P263="FLAT10",10%,
P263="FLAT15",15%,P263="FLAT20",20%,P263="DEL0",0%,
TRUE,0%
)</f>
        <v>0.15</v>
      </c>
      <c r="X263" s="5">
        <f>Table1[[#This Row],[Amount]]-(Table1[[#This Row],[Amount]]*Table1[[#This Row],[Discount_Percentage]])</f>
        <v>400.57100000000003</v>
      </c>
      <c r="Y263" s="5">
        <f>IF(P263="DEL0",Table1[[#This Row],[Discount_Amount]],Table1[[#This Row],[Discount_Amount]]+Table1[[#This Row],[Delivery_Charge]])</f>
        <v>444.57100000000003</v>
      </c>
      <c r="Z263" s="7" t="str">
        <f>_xlfn.CONCAT(Table1[[#This Row],[First_Name]],"  ",Table1[[#This Row],[Last_Name]])</f>
        <v>Valerie  Carr</v>
      </c>
      <c r="AA263" s="5" t="str" cm="1">
        <f t="array" ref="AA263">_xlfn.IFS( (S263-K263)&gt;Q263,"Late", (S263-K263)=Q263,"InTime", (S263-K263)&lt;Q263,"BeforeTime" )</f>
        <v>InTime</v>
      </c>
      <c r="AB263" s="3">
        <f>MONTH(Table1[[#This Row],[Order_Date]])</f>
        <v>6</v>
      </c>
    </row>
    <row r="264" spans="1:28" x14ac:dyDescent="0.3">
      <c r="A264" s="3" t="s">
        <v>272</v>
      </c>
      <c r="B264" s="3" t="s">
        <v>273</v>
      </c>
      <c r="C264" s="3" t="s">
        <v>274</v>
      </c>
      <c r="D264" s="3" t="str">
        <f>_xlfn.CONCAT(Table1[[#This Row],[First_Name]],Table1[[#This Row],[Last_Name]])</f>
        <v>LaurenLong</v>
      </c>
      <c r="E264" s="3">
        <v>44</v>
      </c>
      <c r="F264" s="3" t="s">
        <v>29</v>
      </c>
      <c r="G264" s="3" t="s">
        <v>220</v>
      </c>
      <c r="H264" s="3" t="s">
        <v>275</v>
      </c>
      <c r="I264" s="3" t="s">
        <v>276</v>
      </c>
      <c r="J264" s="3" t="s">
        <v>1286</v>
      </c>
      <c r="K264" s="4">
        <v>45547</v>
      </c>
      <c r="L264" s="3" t="s">
        <v>1287</v>
      </c>
      <c r="M264" s="3" t="s">
        <v>287</v>
      </c>
      <c r="N264" s="3">
        <v>157.63999999999999</v>
      </c>
      <c r="O264" s="3">
        <v>2</v>
      </c>
      <c r="P264" s="3" t="s">
        <v>36</v>
      </c>
      <c r="Q264" s="3">
        <v>1</v>
      </c>
      <c r="R264" s="3">
        <v>56</v>
      </c>
      <c r="S264" s="4">
        <v>45552</v>
      </c>
      <c r="T264" s="3" t="s">
        <v>1288</v>
      </c>
      <c r="U264" s="5">
        <f>Table1[[#This Row],[Delivery_Date]]-Table1[[#This Row],[Order_Date]]</f>
        <v>5</v>
      </c>
      <c r="V264" s="5">
        <f>Table1[[#This Row],[Price]]*Table1[[#This Row],[Quantity]]</f>
        <v>315.27999999999997</v>
      </c>
      <c r="W264" s="6" cm="1">
        <f t="array" ref="W264">_xlfn.IFS(
P264="FLAT8",8%,
P264="FLAT10",10%,
P264="FLAT15",15%,P264="FLAT20",20%,P264="DEL0",0%,
TRUE,0%
)</f>
        <v>0.08</v>
      </c>
      <c r="X264" s="5">
        <f>Table1[[#This Row],[Amount]]-(Table1[[#This Row],[Amount]]*Table1[[#This Row],[Discount_Percentage]])</f>
        <v>290.05759999999998</v>
      </c>
      <c r="Y264" s="5">
        <f>IF(P264="DEL0",Table1[[#This Row],[Discount_Amount]],Table1[[#This Row],[Discount_Amount]]+Table1[[#This Row],[Delivery_Charge]])</f>
        <v>346.05759999999998</v>
      </c>
      <c r="Z264" s="7" t="str">
        <f>_xlfn.CONCAT(Table1[[#This Row],[First_Name]],"  ",Table1[[#This Row],[Last_Name]])</f>
        <v>Lauren  Long</v>
      </c>
      <c r="AA264" s="5" t="str" cm="1">
        <f t="array" ref="AA264">_xlfn.IFS( (S264-K264)&gt;Q264,"Late", (S264-K264)=Q264,"InTime", (S264-K264)&lt;Q264,"BeforeTime" )</f>
        <v>Late</v>
      </c>
      <c r="AB264" s="3">
        <f>MONTH(Table1[[#This Row],[Order_Date]])</f>
        <v>9</v>
      </c>
    </row>
    <row r="265" spans="1:28" x14ac:dyDescent="0.3">
      <c r="A265" s="3" t="s">
        <v>255</v>
      </c>
      <c r="B265" s="3" t="s">
        <v>256</v>
      </c>
      <c r="C265" s="3" t="s">
        <v>257</v>
      </c>
      <c r="D265" s="3" t="str">
        <f>_xlfn.CONCAT(Table1[[#This Row],[First_Name]],Table1[[#This Row],[Last_Name]])</f>
        <v>AshleyRose</v>
      </c>
      <c r="E265" s="3">
        <v>60</v>
      </c>
      <c r="F265" s="3" t="s">
        <v>52</v>
      </c>
      <c r="G265" s="3" t="s">
        <v>30</v>
      </c>
      <c r="H265" s="3" t="s">
        <v>258</v>
      </c>
      <c r="I265" s="3" t="s">
        <v>259</v>
      </c>
      <c r="J265" s="3" t="s">
        <v>1289</v>
      </c>
      <c r="K265" s="4">
        <v>44996</v>
      </c>
      <c r="L265" s="3" t="s">
        <v>1290</v>
      </c>
      <c r="M265" s="3" t="s">
        <v>344</v>
      </c>
      <c r="N265" s="3">
        <v>372.62</v>
      </c>
      <c r="O265" s="3">
        <v>4</v>
      </c>
      <c r="P265" s="3" t="s">
        <v>58</v>
      </c>
      <c r="Q265" s="3">
        <v>2</v>
      </c>
      <c r="R265" s="3">
        <v>42</v>
      </c>
      <c r="S265" s="4">
        <v>45001</v>
      </c>
      <c r="T265" s="3" t="s">
        <v>1291</v>
      </c>
      <c r="U265" s="5">
        <f>Table1[[#This Row],[Delivery_Date]]-Table1[[#This Row],[Order_Date]]</f>
        <v>5</v>
      </c>
      <c r="V265" s="5">
        <f>Table1[[#This Row],[Price]]*Table1[[#This Row],[Quantity]]</f>
        <v>1490.48</v>
      </c>
      <c r="W265" s="6" cm="1">
        <f t="array" ref="W265">_xlfn.IFS(
P265="FLAT8",8%,
P265="FLAT10",10%,
P265="FLAT15",15%,P265="FLAT20",20%,P265="DEL0",0%,
TRUE,0%
)</f>
        <v>0.15</v>
      </c>
      <c r="X265" s="5">
        <f>Table1[[#This Row],[Amount]]-(Table1[[#This Row],[Amount]]*Table1[[#This Row],[Discount_Percentage]])</f>
        <v>1266.9079999999999</v>
      </c>
      <c r="Y265" s="5">
        <f>IF(P265="DEL0",Table1[[#This Row],[Discount_Amount]],Table1[[#This Row],[Discount_Amount]]+Table1[[#This Row],[Delivery_Charge]])</f>
        <v>1308.9079999999999</v>
      </c>
      <c r="Z265" s="7" t="str">
        <f>_xlfn.CONCAT(Table1[[#This Row],[First_Name]],"  ",Table1[[#This Row],[Last_Name]])</f>
        <v>Ashley  Rose</v>
      </c>
      <c r="AA265" s="5" t="str" cm="1">
        <f t="array" ref="AA265">_xlfn.IFS( (S265-K265)&gt;Q265,"Late", (S265-K265)=Q265,"InTime", (S265-K265)&lt;Q265,"BeforeTime" )</f>
        <v>Late</v>
      </c>
      <c r="AB265" s="3">
        <f>MONTH(Table1[[#This Row],[Order_Date]])</f>
        <v>3</v>
      </c>
    </row>
    <row r="266" spans="1:28" x14ac:dyDescent="0.3">
      <c r="A266" s="3" t="s">
        <v>1210</v>
      </c>
      <c r="B266" s="3" t="s">
        <v>1211</v>
      </c>
      <c r="C266" s="3" t="s">
        <v>1212</v>
      </c>
      <c r="D266" s="3" t="str">
        <f>_xlfn.CONCAT(Table1[[#This Row],[First_Name]],Table1[[#This Row],[Last_Name]])</f>
        <v>BrendanKelly</v>
      </c>
      <c r="E266" s="3">
        <v>50</v>
      </c>
      <c r="F266" s="3" t="s">
        <v>52</v>
      </c>
      <c r="G266" s="3" t="s">
        <v>168</v>
      </c>
      <c r="H266" s="3" t="s">
        <v>1213</v>
      </c>
      <c r="I266" s="3" t="s">
        <v>1214</v>
      </c>
      <c r="J266" s="3" t="s">
        <v>1292</v>
      </c>
      <c r="K266" s="4">
        <v>45672</v>
      </c>
      <c r="L266" s="3" t="s">
        <v>1293</v>
      </c>
      <c r="M266" s="3" t="s">
        <v>590</v>
      </c>
      <c r="N266" s="3">
        <v>403.03</v>
      </c>
      <c r="O266" s="3">
        <v>2</v>
      </c>
      <c r="P266" s="3" t="s">
        <v>85</v>
      </c>
      <c r="Q266" s="3">
        <v>3</v>
      </c>
      <c r="R266" s="3">
        <v>61</v>
      </c>
      <c r="S266" s="4">
        <v>45677</v>
      </c>
      <c r="T266" s="3" t="s">
        <v>1294</v>
      </c>
      <c r="U266" s="5">
        <f>Table1[[#This Row],[Delivery_Date]]-Table1[[#This Row],[Order_Date]]</f>
        <v>5</v>
      </c>
      <c r="V266" s="5">
        <f>Table1[[#This Row],[Price]]*Table1[[#This Row],[Quantity]]</f>
        <v>806.06</v>
      </c>
      <c r="W266" s="6" cm="1">
        <f t="array" ref="W266">_xlfn.IFS(
P266="FLAT8",8%,
P266="FLAT10",10%,
P266="FLAT15",15%,P266="FLAT20",20%,P266="DEL0",0%,
TRUE,0%
)</f>
        <v>0.2</v>
      </c>
      <c r="X266" s="5">
        <f>Table1[[#This Row],[Amount]]-(Table1[[#This Row],[Amount]]*Table1[[#This Row],[Discount_Percentage]])</f>
        <v>644.84799999999996</v>
      </c>
      <c r="Y266" s="5">
        <f>IF(P266="DEL0",Table1[[#This Row],[Discount_Amount]],Table1[[#This Row],[Discount_Amount]]+Table1[[#This Row],[Delivery_Charge]])</f>
        <v>705.84799999999996</v>
      </c>
      <c r="Z266" s="7" t="str">
        <f>_xlfn.CONCAT(Table1[[#This Row],[First_Name]],"  ",Table1[[#This Row],[Last_Name]])</f>
        <v>Brendan  Kelly</v>
      </c>
      <c r="AA266" s="5" t="str" cm="1">
        <f t="array" ref="AA266">_xlfn.IFS( (S266-K266)&gt;Q266,"Late", (S266-K266)=Q266,"InTime", (S266-K266)&lt;Q266,"BeforeTime" )</f>
        <v>Late</v>
      </c>
      <c r="AB266" s="3">
        <f>MONTH(Table1[[#This Row],[Order_Date]])</f>
        <v>1</v>
      </c>
    </row>
    <row r="267" spans="1:28" x14ac:dyDescent="0.3">
      <c r="A267" s="3" t="s">
        <v>209</v>
      </c>
      <c r="B267" s="3" t="s">
        <v>210</v>
      </c>
      <c r="C267" s="3" t="s">
        <v>211</v>
      </c>
      <c r="D267" s="3" t="str">
        <f>_xlfn.CONCAT(Table1[[#This Row],[First_Name]],Table1[[#This Row],[Last_Name]])</f>
        <v>ChristianClayton</v>
      </c>
      <c r="E267" s="3">
        <v>39</v>
      </c>
      <c r="F267" s="3" t="s">
        <v>41</v>
      </c>
      <c r="G267" s="3" t="s">
        <v>159</v>
      </c>
      <c r="H267" s="3" t="s">
        <v>212</v>
      </c>
      <c r="I267" s="3" t="s">
        <v>213</v>
      </c>
      <c r="J267" s="3" t="s">
        <v>1295</v>
      </c>
      <c r="K267" s="4">
        <v>45366</v>
      </c>
      <c r="L267" s="3" t="s">
        <v>1296</v>
      </c>
      <c r="M267" s="3" t="s">
        <v>199</v>
      </c>
      <c r="N267" s="3">
        <v>20.7</v>
      </c>
      <c r="O267" s="3">
        <v>3</v>
      </c>
      <c r="P267" s="3" t="s">
        <v>63</v>
      </c>
      <c r="Q267" s="3">
        <v>1</v>
      </c>
      <c r="R267" s="3">
        <v>67</v>
      </c>
      <c r="S267" s="4">
        <v>45372</v>
      </c>
      <c r="T267" s="3" t="s">
        <v>1297</v>
      </c>
      <c r="U267" s="5">
        <f>Table1[[#This Row],[Delivery_Date]]-Table1[[#This Row],[Order_Date]]</f>
        <v>6</v>
      </c>
      <c r="V267" s="5">
        <f>Table1[[#This Row],[Price]]*Table1[[#This Row],[Quantity]]</f>
        <v>62.099999999999994</v>
      </c>
      <c r="W267" s="6" cm="1">
        <f t="array" ref="W267">_xlfn.IFS(
P267="FLAT8",8%,
P267="FLAT10",10%,
P267="FLAT15",15%,P267="FLAT20",20%,P267="DEL0",0%,
TRUE,0%
)</f>
        <v>0</v>
      </c>
      <c r="X267" s="5">
        <f>Table1[[#This Row],[Amount]]-(Table1[[#This Row],[Amount]]*Table1[[#This Row],[Discount_Percentage]])</f>
        <v>62.099999999999994</v>
      </c>
      <c r="Y267" s="5">
        <f>IF(P267="DEL0",Table1[[#This Row],[Discount_Amount]],Table1[[#This Row],[Discount_Amount]]+Table1[[#This Row],[Delivery_Charge]])</f>
        <v>62.099999999999994</v>
      </c>
      <c r="Z267" s="7" t="str">
        <f>_xlfn.CONCAT(Table1[[#This Row],[First_Name]],"  ",Table1[[#This Row],[Last_Name]])</f>
        <v>Christian  Clayton</v>
      </c>
      <c r="AA267" s="5" t="str" cm="1">
        <f t="array" ref="AA267">_xlfn.IFS( (S267-K267)&gt;Q267,"Late", (S267-K267)=Q267,"InTime", (S267-K267)&lt;Q267,"BeforeTime" )</f>
        <v>Late</v>
      </c>
      <c r="AB267" s="3">
        <f>MONTH(Table1[[#This Row],[Order_Date]])</f>
        <v>3</v>
      </c>
    </row>
    <row r="268" spans="1:28" x14ac:dyDescent="0.3">
      <c r="A268" s="3" t="s">
        <v>184</v>
      </c>
      <c r="B268" s="3" t="s">
        <v>185</v>
      </c>
      <c r="C268" s="3" t="s">
        <v>186</v>
      </c>
      <c r="D268" s="3" t="str">
        <f>_xlfn.CONCAT(Table1[[#This Row],[First_Name]],Table1[[#This Row],[Last_Name]])</f>
        <v>MalloryMitchell</v>
      </c>
      <c r="E268" s="3">
        <v>42</v>
      </c>
      <c r="F268" s="3" t="s">
        <v>41</v>
      </c>
      <c r="G268" s="3" t="s">
        <v>168</v>
      </c>
      <c r="H268" s="3" t="s">
        <v>187</v>
      </c>
      <c r="I268" s="3" t="s">
        <v>188</v>
      </c>
      <c r="J268" s="3" t="s">
        <v>1298</v>
      </c>
      <c r="K268" s="4">
        <v>45541</v>
      </c>
      <c r="L268" s="3" t="s">
        <v>1299</v>
      </c>
      <c r="M268" s="3" t="s">
        <v>514</v>
      </c>
      <c r="N268" s="3">
        <v>136.30000000000001</v>
      </c>
      <c r="O268" s="3">
        <v>2</v>
      </c>
      <c r="P268" s="3" t="s">
        <v>85</v>
      </c>
      <c r="Q268" s="3">
        <v>2</v>
      </c>
      <c r="R268" s="3">
        <v>45</v>
      </c>
      <c r="S268" s="4">
        <v>45546</v>
      </c>
      <c r="T268" s="3" t="s">
        <v>1300</v>
      </c>
      <c r="U268" s="5">
        <f>Table1[[#This Row],[Delivery_Date]]-Table1[[#This Row],[Order_Date]]</f>
        <v>5</v>
      </c>
      <c r="V268" s="5">
        <f>Table1[[#This Row],[Price]]*Table1[[#This Row],[Quantity]]</f>
        <v>272.60000000000002</v>
      </c>
      <c r="W268" s="6" cm="1">
        <f t="array" ref="W268">_xlfn.IFS(
P268="FLAT8",8%,
P268="FLAT10",10%,
P268="FLAT15",15%,P268="FLAT20",20%,P268="DEL0",0%,
TRUE,0%
)</f>
        <v>0.2</v>
      </c>
      <c r="X268" s="5">
        <f>Table1[[#This Row],[Amount]]-(Table1[[#This Row],[Amount]]*Table1[[#This Row],[Discount_Percentage]])</f>
        <v>218.08</v>
      </c>
      <c r="Y268" s="5">
        <f>IF(P268="DEL0",Table1[[#This Row],[Discount_Amount]],Table1[[#This Row],[Discount_Amount]]+Table1[[#This Row],[Delivery_Charge]])</f>
        <v>263.08000000000004</v>
      </c>
      <c r="Z268" s="7" t="str">
        <f>_xlfn.CONCAT(Table1[[#This Row],[First_Name]],"  ",Table1[[#This Row],[Last_Name]])</f>
        <v>Mallory  Mitchell</v>
      </c>
      <c r="AA268" s="5" t="str" cm="1">
        <f t="array" ref="AA268">_xlfn.IFS( (S268-K268)&gt;Q268,"Late", (S268-K268)=Q268,"InTime", (S268-K268)&lt;Q268,"BeforeTime" )</f>
        <v>Late</v>
      </c>
      <c r="AB268" s="3">
        <f>MONTH(Table1[[#This Row],[Order_Date]])</f>
        <v>9</v>
      </c>
    </row>
    <row r="269" spans="1:28" x14ac:dyDescent="0.3">
      <c r="A269" s="3" t="s">
        <v>705</v>
      </c>
      <c r="B269" s="3" t="s">
        <v>706</v>
      </c>
      <c r="C269" s="3" t="s">
        <v>707</v>
      </c>
      <c r="D269" s="3" t="str">
        <f>_xlfn.CONCAT(Table1[[#This Row],[First_Name]],Table1[[#This Row],[Last_Name]])</f>
        <v>GregoryLee</v>
      </c>
      <c r="E269" s="3">
        <v>26</v>
      </c>
      <c r="F269" s="3" t="s">
        <v>52</v>
      </c>
      <c r="G269" s="3" t="s">
        <v>76</v>
      </c>
      <c r="H269" s="3" t="s">
        <v>708</v>
      </c>
      <c r="I269" s="3" t="s">
        <v>709</v>
      </c>
      <c r="J269" s="3" t="s">
        <v>1301</v>
      </c>
      <c r="K269" s="4">
        <v>45389</v>
      </c>
      <c r="L269" s="3" t="s">
        <v>1302</v>
      </c>
      <c r="M269" s="3" t="s">
        <v>738</v>
      </c>
      <c r="N269" s="3">
        <v>110.95</v>
      </c>
      <c r="O269" s="3">
        <v>2</v>
      </c>
      <c r="P269" s="3" t="s">
        <v>85</v>
      </c>
      <c r="Q269" s="3">
        <v>3</v>
      </c>
      <c r="R269" s="3">
        <v>36</v>
      </c>
      <c r="S269" s="4">
        <v>45394</v>
      </c>
      <c r="T269" s="3" t="s">
        <v>1303</v>
      </c>
      <c r="U269" s="5">
        <f>Table1[[#This Row],[Delivery_Date]]-Table1[[#This Row],[Order_Date]]</f>
        <v>5</v>
      </c>
      <c r="V269" s="5">
        <f>Table1[[#This Row],[Price]]*Table1[[#This Row],[Quantity]]</f>
        <v>221.9</v>
      </c>
      <c r="W269" s="6" cm="1">
        <f t="array" ref="W269">_xlfn.IFS(
P269="FLAT8",8%,
P269="FLAT10",10%,
P269="FLAT15",15%,P269="FLAT20",20%,P269="DEL0",0%,
TRUE,0%
)</f>
        <v>0.2</v>
      </c>
      <c r="X269" s="5">
        <f>Table1[[#This Row],[Amount]]-(Table1[[#This Row],[Amount]]*Table1[[#This Row],[Discount_Percentage]])</f>
        <v>177.52</v>
      </c>
      <c r="Y269" s="5">
        <f>IF(P269="DEL0",Table1[[#This Row],[Discount_Amount]],Table1[[#This Row],[Discount_Amount]]+Table1[[#This Row],[Delivery_Charge]])</f>
        <v>213.52</v>
      </c>
      <c r="Z269" s="7" t="str">
        <f>_xlfn.CONCAT(Table1[[#This Row],[First_Name]],"  ",Table1[[#This Row],[Last_Name]])</f>
        <v>Gregory  Lee</v>
      </c>
      <c r="AA269" s="5" t="str" cm="1">
        <f t="array" ref="AA269">_xlfn.IFS( (S269-K269)&gt;Q269,"Late", (S269-K269)=Q269,"InTime", (S269-K269)&lt;Q269,"BeforeTime" )</f>
        <v>Late</v>
      </c>
      <c r="AB269" s="3">
        <f>MONTH(Table1[[#This Row],[Order_Date]])</f>
        <v>4</v>
      </c>
    </row>
    <row r="270" spans="1:28" x14ac:dyDescent="0.3">
      <c r="A270" s="3" t="s">
        <v>227</v>
      </c>
      <c r="B270" s="3" t="s">
        <v>228</v>
      </c>
      <c r="C270" s="3" t="s">
        <v>229</v>
      </c>
      <c r="D270" s="3" t="str">
        <f>_xlfn.CONCAT(Table1[[#This Row],[First_Name]],Table1[[#This Row],[Last_Name]])</f>
        <v>JohnHerrera</v>
      </c>
      <c r="E270" s="3">
        <v>64</v>
      </c>
      <c r="F270" s="3" t="s">
        <v>41</v>
      </c>
      <c r="G270" s="3" t="s">
        <v>42</v>
      </c>
      <c r="H270" s="3" t="s">
        <v>230</v>
      </c>
      <c r="I270" s="3" t="s">
        <v>231</v>
      </c>
      <c r="J270" s="3" t="s">
        <v>1304</v>
      </c>
      <c r="K270" s="4">
        <v>45351</v>
      </c>
      <c r="L270" s="3" t="s">
        <v>1305</v>
      </c>
      <c r="M270" s="3" t="s">
        <v>344</v>
      </c>
      <c r="N270" s="3">
        <v>372.62</v>
      </c>
      <c r="O270" s="3">
        <v>3</v>
      </c>
      <c r="P270" s="3" t="s">
        <v>63</v>
      </c>
      <c r="Q270" s="3">
        <v>5</v>
      </c>
      <c r="R270" s="3">
        <v>54</v>
      </c>
      <c r="S270" s="4">
        <v>45352</v>
      </c>
      <c r="T270" s="3" t="s">
        <v>1306</v>
      </c>
      <c r="U270" s="5">
        <f>Table1[[#This Row],[Delivery_Date]]-Table1[[#This Row],[Order_Date]]</f>
        <v>1</v>
      </c>
      <c r="V270" s="5">
        <f>Table1[[#This Row],[Price]]*Table1[[#This Row],[Quantity]]</f>
        <v>1117.8600000000001</v>
      </c>
      <c r="W270" s="6" cm="1">
        <f t="array" ref="W270">_xlfn.IFS(
P270="FLAT8",8%,
P270="FLAT10",10%,
P270="FLAT15",15%,P270="FLAT20",20%,P270="DEL0",0%,
TRUE,0%
)</f>
        <v>0</v>
      </c>
      <c r="X270" s="5">
        <f>Table1[[#This Row],[Amount]]-(Table1[[#This Row],[Amount]]*Table1[[#This Row],[Discount_Percentage]])</f>
        <v>1117.8600000000001</v>
      </c>
      <c r="Y270" s="5">
        <f>IF(P270="DEL0",Table1[[#This Row],[Discount_Amount]],Table1[[#This Row],[Discount_Amount]]+Table1[[#This Row],[Delivery_Charge]])</f>
        <v>1117.8600000000001</v>
      </c>
      <c r="Z270" s="7" t="str">
        <f>_xlfn.CONCAT(Table1[[#This Row],[First_Name]],"  ",Table1[[#This Row],[Last_Name]])</f>
        <v>John  Herrera</v>
      </c>
      <c r="AA270" s="5" t="str" cm="1">
        <f t="array" ref="AA270">_xlfn.IFS( (S270-K270)&gt;Q270,"Late", (S270-K270)=Q270,"InTime", (S270-K270)&lt;Q270,"BeforeTime" )</f>
        <v>BeforeTime</v>
      </c>
      <c r="AB270" s="3">
        <f>MONTH(Table1[[#This Row],[Order_Date]])</f>
        <v>2</v>
      </c>
    </row>
    <row r="271" spans="1:28" x14ac:dyDescent="0.3">
      <c r="A271" s="3" t="s">
        <v>1307</v>
      </c>
      <c r="B271" s="3" t="s">
        <v>1308</v>
      </c>
      <c r="C271" s="3" t="s">
        <v>1309</v>
      </c>
      <c r="D271" s="3" t="str">
        <f>_xlfn.CONCAT(Table1[[#This Row],[First_Name]],Table1[[#This Row],[Last_Name]])</f>
        <v>MeganHunt</v>
      </c>
      <c r="E271" s="3">
        <v>63</v>
      </c>
      <c r="F271" s="3" t="s">
        <v>29</v>
      </c>
      <c r="G271" s="3" t="s">
        <v>168</v>
      </c>
      <c r="H271" s="3" t="s">
        <v>1310</v>
      </c>
      <c r="I271" s="3" t="s">
        <v>1311</v>
      </c>
      <c r="J271" s="3" t="s">
        <v>1312</v>
      </c>
      <c r="K271" s="4">
        <v>45083</v>
      </c>
      <c r="L271" s="3" t="s">
        <v>1313</v>
      </c>
      <c r="M271" s="3" t="s">
        <v>287</v>
      </c>
      <c r="N271" s="3">
        <v>157.63999999999999</v>
      </c>
      <c r="O271" s="3">
        <v>2</v>
      </c>
      <c r="P271" s="3" t="s">
        <v>36</v>
      </c>
      <c r="Q271" s="3">
        <v>4</v>
      </c>
      <c r="R271" s="3">
        <v>61</v>
      </c>
      <c r="S271" s="4">
        <v>45090</v>
      </c>
      <c r="T271" s="3" t="s">
        <v>1314</v>
      </c>
      <c r="U271" s="5">
        <f>Table1[[#This Row],[Delivery_Date]]-Table1[[#This Row],[Order_Date]]</f>
        <v>7</v>
      </c>
      <c r="V271" s="5">
        <f>Table1[[#This Row],[Price]]*Table1[[#This Row],[Quantity]]</f>
        <v>315.27999999999997</v>
      </c>
      <c r="W271" s="6" cm="1">
        <f t="array" ref="W271">_xlfn.IFS(
P271="FLAT8",8%,
P271="FLAT10",10%,
P271="FLAT15",15%,P271="FLAT20",20%,P271="DEL0",0%,
TRUE,0%
)</f>
        <v>0.08</v>
      </c>
      <c r="X271" s="5">
        <f>Table1[[#This Row],[Amount]]-(Table1[[#This Row],[Amount]]*Table1[[#This Row],[Discount_Percentage]])</f>
        <v>290.05759999999998</v>
      </c>
      <c r="Y271" s="5">
        <f>IF(P271="DEL0",Table1[[#This Row],[Discount_Amount]],Table1[[#This Row],[Discount_Amount]]+Table1[[#This Row],[Delivery_Charge]])</f>
        <v>351.05759999999998</v>
      </c>
      <c r="Z271" s="7" t="str">
        <f>_xlfn.CONCAT(Table1[[#This Row],[First_Name]],"  ",Table1[[#This Row],[Last_Name]])</f>
        <v>Megan  Hunt</v>
      </c>
      <c r="AA271" s="5" t="str" cm="1">
        <f t="array" ref="AA271">_xlfn.IFS( (S271-K271)&gt;Q271,"Late", (S271-K271)=Q271,"InTime", (S271-K271)&lt;Q271,"BeforeTime" )</f>
        <v>Late</v>
      </c>
      <c r="AB271" s="3">
        <f>MONTH(Table1[[#This Row],[Order_Date]])</f>
        <v>6</v>
      </c>
    </row>
    <row r="272" spans="1:28" x14ac:dyDescent="0.3">
      <c r="A272" s="3" t="s">
        <v>1221</v>
      </c>
      <c r="B272" s="3" t="s">
        <v>1222</v>
      </c>
      <c r="C272" s="3" t="s">
        <v>1223</v>
      </c>
      <c r="D272" s="3" t="str">
        <f>_xlfn.CONCAT(Table1[[#This Row],[First_Name]],Table1[[#This Row],[Last_Name]])</f>
        <v>JessicaRuiz</v>
      </c>
      <c r="E272" s="3">
        <v>19</v>
      </c>
      <c r="F272" s="3" t="s">
        <v>41</v>
      </c>
      <c r="G272" s="3" t="s">
        <v>76</v>
      </c>
      <c r="H272" s="3" t="s">
        <v>1224</v>
      </c>
      <c r="I272" s="3" t="s">
        <v>1225</v>
      </c>
      <c r="J272" s="3" t="s">
        <v>1315</v>
      </c>
      <c r="K272" s="4">
        <v>44997</v>
      </c>
      <c r="L272" s="3" t="s">
        <v>1316</v>
      </c>
      <c r="M272" s="3" t="s">
        <v>145</v>
      </c>
      <c r="N272" s="3">
        <v>190.1</v>
      </c>
      <c r="O272" s="3">
        <v>3</v>
      </c>
      <c r="P272" s="3" t="s">
        <v>36</v>
      </c>
      <c r="Q272" s="3">
        <v>4</v>
      </c>
      <c r="R272" s="3">
        <v>63</v>
      </c>
      <c r="S272" s="4">
        <v>45002</v>
      </c>
      <c r="T272" s="3" t="s">
        <v>1317</v>
      </c>
      <c r="U272" s="5">
        <f>Table1[[#This Row],[Delivery_Date]]-Table1[[#This Row],[Order_Date]]</f>
        <v>5</v>
      </c>
      <c r="V272" s="5">
        <f>Table1[[#This Row],[Price]]*Table1[[#This Row],[Quantity]]</f>
        <v>570.29999999999995</v>
      </c>
      <c r="W272" s="6" cm="1">
        <f t="array" ref="W272">_xlfn.IFS(
P272="FLAT8",8%,
P272="FLAT10",10%,
P272="FLAT15",15%,P272="FLAT20",20%,P272="DEL0",0%,
TRUE,0%
)</f>
        <v>0.08</v>
      </c>
      <c r="X272" s="5">
        <f>Table1[[#This Row],[Amount]]-(Table1[[#This Row],[Amount]]*Table1[[#This Row],[Discount_Percentage]])</f>
        <v>524.67599999999993</v>
      </c>
      <c r="Y272" s="5">
        <f>IF(P272="DEL0",Table1[[#This Row],[Discount_Amount]],Table1[[#This Row],[Discount_Amount]]+Table1[[#This Row],[Delivery_Charge]])</f>
        <v>587.67599999999993</v>
      </c>
      <c r="Z272" s="7" t="str">
        <f>_xlfn.CONCAT(Table1[[#This Row],[First_Name]],"  ",Table1[[#This Row],[Last_Name]])</f>
        <v>Jessica  Ruiz</v>
      </c>
      <c r="AA272" s="5" t="str" cm="1">
        <f t="array" ref="AA272">_xlfn.IFS( (S272-K272)&gt;Q272,"Late", (S272-K272)=Q272,"InTime", (S272-K272)&lt;Q272,"BeforeTime" )</f>
        <v>Late</v>
      </c>
      <c r="AB272" s="3">
        <f>MONTH(Table1[[#This Row],[Order_Date]])</f>
        <v>3</v>
      </c>
    </row>
    <row r="273" spans="1:28" x14ac:dyDescent="0.3">
      <c r="A273" s="3" t="s">
        <v>1318</v>
      </c>
      <c r="B273" s="3" t="s">
        <v>1319</v>
      </c>
      <c r="C273" s="3" t="s">
        <v>1320</v>
      </c>
      <c r="D273" s="3" t="str">
        <f>_xlfn.CONCAT(Table1[[#This Row],[First_Name]],Table1[[#This Row],[Last_Name]])</f>
        <v>JaredHorn</v>
      </c>
      <c r="E273" s="3">
        <v>43</v>
      </c>
      <c r="F273" s="3" t="s">
        <v>29</v>
      </c>
      <c r="G273" s="3" t="s">
        <v>140</v>
      </c>
      <c r="H273" s="3" t="s">
        <v>1321</v>
      </c>
      <c r="I273" s="3" t="s">
        <v>1322</v>
      </c>
      <c r="J273" s="3" t="s">
        <v>1323</v>
      </c>
      <c r="K273" s="4">
        <v>45428</v>
      </c>
      <c r="L273" s="3" t="s">
        <v>1324</v>
      </c>
      <c r="M273" s="3" t="s">
        <v>941</v>
      </c>
      <c r="N273" s="3">
        <v>107.47</v>
      </c>
      <c r="O273" s="3">
        <v>1</v>
      </c>
      <c r="P273" s="3" t="s">
        <v>36</v>
      </c>
      <c r="Q273" s="3">
        <v>4</v>
      </c>
      <c r="R273" s="3">
        <v>36</v>
      </c>
      <c r="S273" s="4">
        <v>45430</v>
      </c>
      <c r="T273" s="3" t="s">
        <v>1325</v>
      </c>
      <c r="U273" s="5">
        <f>Table1[[#This Row],[Delivery_Date]]-Table1[[#This Row],[Order_Date]]</f>
        <v>2</v>
      </c>
      <c r="V273" s="5">
        <f>Table1[[#This Row],[Price]]*Table1[[#This Row],[Quantity]]</f>
        <v>107.47</v>
      </c>
      <c r="W273" s="6" cm="1">
        <f t="array" ref="W273">_xlfn.IFS(
P273="FLAT8",8%,
P273="FLAT10",10%,
P273="FLAT15",15%,P273="FLAT20",20%,P273="DEL0",0%,
TRUE,0%
)</f>
        <v>0.08</v>
      </c>
      <c r="X273" s="5">
        <f>Table1[[#This Row],[Amount]]-(Table1[[#This Row],[Amount]]*Table1[[#This Row],[Discount_Percentage]])</f>
        <v>98.872399999999999</v>
      </c>
      <c r="Y273" s="5">
        <f>IF(P273="DEL0",Table1[[#This Row],[Discount_Amount]],Table1[[#This Row],[Discount_Amount]]+Table1[[#This Row],[Delivery_Charge]])</f>
        <v>134.8724</v>
      </c>
      <c r="Z273" s="7" t="str">
        <f>_xlfn.CONCAT(Table1[[#This Row],[First_Name]],"  ",Table1[[#This Row],[Last_Name]])</f>
        <v>Jared  Horn</v>
      </c>
      <c r="AA273" s="5" t="str" cm="1">
        <f t="array" ref="AA273">_xlfn.IFS( (S273-K273)&gt;Q273,"Late", (S273-K273)=Q273,"InTime", (S273-K273)&lt;Q273,"BeforeTime" )</f>
        <v>BeforeTime</v>
      </c>
      <c r="AB273" s="3">
        <f>MONTH(Table1[[#This Row],[Order_Date]])</f>
        <v>5</v>
      </c>
    </row>
    <row r="274" spans="1:28" x14ac:dyDescent="0.3">
      <c r="A274" s="3" t="s">
        <v>385</v>
      </c>
      <c r="B274" s="3" t="s">
        <v>386</v>
      </c>
      <c r="C274" s="3" t="s">
        <v>387</v>
      </c>
      <c r="D274" s="3" t="str">
        <f>_xlfn.CONCAT(Table1[[#This Row],[First_Name]],Table1[[#This Row],[Last_Name]])</f>
        <v>AaronThompson</v>
      </c>
      <c r="E274" s="3">
        <v>47</v>
      </c>
      <c r="F274" s="3" t="s">
        <v>41</v>
      </c>
      <c r="G274" s="3" t="s">
        <v>90</v>
      </c>
      <c r="H274" s="3" t="s">
        <v>388</v>
      </c>
      <c r="I274" s="3" t="s">
        <v>389</v>
      </c>
      <c r="J274" s="3" t="s">
        <v>1326</v>
      </c>
      <c r="K274" s="4">
        <v>45012</v>
      </c>
      <c r="L274" s="3" t="s">
        <v>1327</v>
      </c>
      <c r="M274" s="3" t="s">
        <v>135</v>
      </c>
      <c r="N274" s="3">
        <v>175.93</v>
      </c>
      <c r="O274" s="3">
        <v>3</v>
      </c>
      <c r="P274" s="3" t="s">
        <v>63</v>
      </c>
      <c r="Q274" s="3">
        <v>3</v>
      </c>
      <c r="R274" s="3">
        <v>58</v>
      </c>
      <c r="S274" s="4">
        <v>45017</v>
      </c>
      <c r="T274" s="3" t="s">
        <v>1328</v>
      </c>
      <c r="U274" s="5">
        <f>Table1[[#This Row],[Delivery_Date]]-Table1[[#This Row],[Order_Date]]</f>
        <v>5</v>
      </c>
      <c r="V274" s="5">
        <f>Table1[[#This Row],[Price]]*Table1[[#This Row],[Quantity]]</f>
        <v>527.79</v>
      </c>
      <c r="W274" s="6" cm="1">
        <f t="array" ref="W274">_xlfn.IFS(
P274="FLAT8",8%,
P274="FLAT10",10%,
P274="FLAT15",15%,P274="FLAT20",20%,P274="DEL0",0%,
TRUE,0%
)</f>
        <v>0</v>
      </c>
      <c r="X274" s="5">
        <f>Table1[[#This Row],[Amount]]-(Table1[[#This Row],[Amount]]*Table1[[#This Row],[Discount_Percentage]])</f>
        <v>527.79</v>
      </c>
      <c r="Y274" s="5">
        <f>IF(P274="DEL0",Table1[[#This Row],[Discount_Amount]],Table1[[#This Row],[Discount_Amount]]+Table1[[#This Row],[Delivery_Charge]])</f>
        <v>527.79</v>
      </c>
      <c r="Z274" s="7" t="str">
        <f>_xlfn.CONCAT(Table1[[#This Row],[First_Name]],"  ",Table1[[#This Row],[Last_Name]])</f>
        <v>Aaron  Thompson</v>
      </c>
      <c r="AA274" s="5" t="str" cm="1">
        <f t="array" ref="AA274">_xlfn.IFS( (S274-K274)&gt;Q274,"Late", (S274-K274)=Q274,"InTime", (S274-K274)&lt;Q274,"BeforeTime" )</f>
        <v>Late</v>
      </c>
      <c r="AB274" s="3">
        <f>MONTH(Table1[[#This Row],[Order_Date]])</f>
        <v>3</v>
      </c>
    </row>
    <row r="275" spans="1:28" x14ac:dyDescent="0.3">
      <c r="A275" s="3" t="s">
        <v>1210</v>
      </c>
      <c r="B275" s="3" t="s">
        <v>1211</v>
      </c>
      <c r="C275" s="3" t="s">
        <v>1212</v>
      </c>
      <c r="D275" s="3" t="str">
        <f>_xlfn.CONCAT(Table1[[#This Row],[First_Name]],Table1[[#This Row],[Last_Name]])</f>
        <v>BrendanKelly</v>
      </c>
      <c r="E275" s="3">
        <v>50</v>
      </c>
      <c r="F275" s="3" t="s">
        <v>52</v>
      </c>
      <c r="G275" s="3" t="s">
        <v>168</v>
      </c>
      <c r="H275" s="3" t="s">
        <v>1213</v>
      </c>
      <c r="I275" s="3" t="s">
        <v>1214</v>
      </c>
      <c r="J275" s="3" t="s">
        <v>1329</v>
      </c>
      <c r="K275" s="4">
        <v>45481</v>
      </c>
      <c r="L275" s="3" t="s">
        <v>1330</v>
      </c>
      <c r="M275" s="3" t="s">
        <v>686</v>
      </c>
      <c r="N275" s="3">
        <v>424.82</v>
      </c>
      <c r="O275" s="3">
        <v>3</v>
      </c>
      <c r="P275" s="3" t="s">
        <v>63</v>
      </c>
      <c r="Q275" s="3">
        <v>3</v>
      </c>
      <c r="R275" s="3">
        <v>42</v>
      </c>
      <c r="S275" s="4">
        <v>45482</v>
      </c>
      <c r="T275" s="3" t="s">
        <v>1331</v>
      </c>
      <c r="U275" s="5">
        <f>Table1[[#This Row],[Delivery_Date]]-Table1[[#This Row],[Order_Date]]</f>
        <v>1</v>
      </c>
      <c r="V275" s="5">
        <f>Table1[[#This Row],[Price]]*Table1[[#This Row],[Quantity]]</f>
        <v>1274.46</v>
      </c>
      <c r="W275" s="6" cm="1">
        <f t="array" ref="W275">_xlfn.IFS(
P275="FLAT8",8%,
P275="FLAT10",10%,
P275="FLAT15",15%,P275="FLAT20",20%,P275="DEL0",0%,
TRUE,0%
)</f>
        <v>0</v>
      </c>
      <c r="X275" s="5">
        <f>Table1[[#This Row],[Amount]]-(Table1[[#This Row],[Amount]]*Table1[[#This Row],[Discount_Percentage]])</f>
        <v>1274.46</v>
      </c>
      <c r="Y275" s="5">
        <f>IF(P275="DEL0",Table1[[#This Row],[Discount_Amount]],Table1[[#This Row],[Discount_Amount]]+Table1[[#This Row],[Delivery_Charge]])</f>
        <v>1274.46</v>
      </c>
      <c r="Z275" s="7" t="str">
        <f>_xlfn.CONCAT(Table1[[#This Row],[First_Name]],"  ",Table1[[#This Row],[Last_Name]])</f>
        <v>Brendan  Kelly</v>
      </c>
      <c r="AA275" s="5" t="str" cm="1">
        <f t="array" ref="AA275">_xlfn.IFS( (S275-K275)&gt;Q275,"Late", (S275-K275)=Q275,"InTime", (S275-K275)&lt;Q275,"BeforeTime" )</f>
        <v>BeforeTime</v>
      </c>
      <c r="AB275" s="3">
        <f>MONTH(Table1[[#This Row],[Order_Date]])</f>
        <v>7</v>
      </c>
    </row>
    <row r="276" spans="1:28" x14ac:dyDescent="0.3">
      <c r="A276" s="3" t="s">
        <v>1332</v>
      </c>
      <c r="B276" s="3" t="s">
        <v>1333</v>
      </c>
      <c r="C276" s="3" t="s">
        <v>395</v>
      </c>
      <c r="D276" s="3" t="str">
        <f>_xlfn.CONCAT(Table1[[#This Row],[First_Name]],Table1[[#This Row],[Last_Name]])</f>
        <v>VeronicaLopez</v>
      </c>
      <c r="E276" s="3">
        <v>18</v>
      </c>
      <c r="F276" s="3" t="s">
        <v>41</v>
      </c>
      <c r="G276" s="3" t="s">
        <v>220</v>
      </c>
      <c r="H276" s="3" t="s">
        <v>1334</v>
      </c>
      <c r="I276" s="3" t="s">
        <v>1335</v>
      </c>
      <c r="J276" s="3" t="s">
        <v>1336</v>
      </c>
      <c r="K276" s="4">
        <v>45332</v>
      </c>
      <c r="L276" s="3" t="s">
        <v>1337</v>
      </c>
      <c r="M276" s="3" t="s">
        <v>323</v>
      </c>
      <c r="N276" s="3">
        <v>481.48</v>
      </c>
      <c r="O276" s="3">
        <v>4</v>
      </c>
      <c r="P276" s="3" t="s">
        <v>63</v>
      </c>
      <c r="Q276" s="3">
        <v>2</v>
      </c>
      <c r="R276" s="3">
        <v>61</v>
      </c>
      <c r="S276" s="4">
        <v>45338</v>
      </c>
      <c r="T276" s="3" t="s">
        <v>1338</v>
      </c>
      <c r="U276" s="5">
        <f>Table1[[#This Row],[Delivery_Date]]-Table1[[#This Row],[Order_Date]]</f>
        <v>6</v>
      </c>
      <c r="V276" s="5">
        <f>Table1[[#This Row],[Price]]*Table1[[#This Row],[Quantity]]</f>
        <v>1925.92</v>
      </c>
      <c r="W276" s="6" cm="1">
        <f t="array" ref="W276">_xlfn.IFS(
P276="FLAT8",8%,
P276="FLAT10",10%,
P276="FLAT15",15%,P276="FLAT20",20%,P276="DEL0",0%,
TRUE,0%
)</f>
        <v>0</v>
      </c>
      <c r="X276" s="5">
        <f>Table1[[#This Row],[Amount]]-(Table1[[#This Row],[Amount]]*Table1[[#This Row],[Discount_Percentage]])</f>
        <v>1925.92</v>
      </c>
      <c r="Y276" s="5">
        <f>IF(P276="DEL0",Table1[[#This Row],[Discount_Amount]],Table1[[#This Row],[Discount_Amount]]+Table1[[#This Row],[Delivery_Charge]])</f>
        <v>1925.92</v>
      </c>
      <c r="Z276" s="7" t="str">
        <f>_xlfn.CONCAT(Table1[[#This Row],[First_Name]],"  ",Table1[[#This Row],[Last_Name]])</f>
        <v>Veronica  Lopez</v>
      </c>
      <c r="AA276" s="5" t="str" cm="1">
        <f t="array" ref="AA276">_xlfn.IFS( (S276-K276)&gt;Q276,"Late", (S276-K276)=Q276,"InTime", (S276-K276)&lt;Q276,"BeforeTime" )</f>
        <v>Late</v>
      </c>
      <c r="AB276" s="3">
        <f>MONTH(Table1[[#This Row],[Order_Date]])</f>
        <v>2</v>
      </c>
    </row>
    <row r="277" spans="1:28" x14ac:dyDescent="0.3">
      <c r="A277" s="3" t="s">
        <v>1210</v>
      </c>
      <c r="B277" s="3" t="s">
        <v>1211</v>
      </c>
      <c r="C277" s="3" t="s">
        <v>1212</v>
      </c>
      <c r="D277" s="3" t="str">
        <f>_xlfn.CONCAT(Table1[[#This Row],[First_Name]],Table1[[#This Row],[Last_Name]])</f>
        <v>BrendanKelly</v>
      </c>
      <c r="E277" s="3">
        <v>50</v>
      </c>
      <c r="F277" s="3" t="s">
        <v>52</v>
      </c>
      <c r="G277" s="3" t="s">
        <v>168</v>
      </c>
      <c r="H277" s="3" t="s">
        <v>1213</v>
      </c>
      <c r="I277" s="3" t="s">
        <v>1214</v>
      </c>
      <c r="J277" s="3" t="s">
        <v>1339</v>
      </c>
      <c r="K277" s="4">
        <v>45599</v>
      </c>
      <c r="L277" s="3" t="s">
        <v>1340</v>
      </c>
      <c r="M277" s="3" t="s">
        <v>182</v>
      </c>
      <c r="N277" s="3">
        <v>104.18</v>
      </c>
      <c r="O277" s="3">
        <v>1</v>
      </c>
      <c r="P277" s="3" t="s">
        <v>36</v>
      </c>
      <c r="Q277" s="3">
        <v>1</v>
      </c>
      <c r="R277" s="3">
        <v>48</v>
      </c>
      <c r="S277" s="4">
        <v>45603</v>
      </c>
      <c r="T277" s="3" t="s">
        <v>1341</v>
      </c>
      <c r="U277" s="5">
        <f>Table1[[#This Row],[Delivery_Date]]-Table1[[#This Row],[Order_Date]]</f>
        <v>4</v>
      </c>
      <c r="V277" s="5">
        <f>Table1[[#This Row],[Price]]*Table1[[#This Row],[Quantity]]</f>
        <v>104.18</v>
      </c>
      <c r="W277" s="6" cm="1">
        <f t="array" ref="W277">_xlfn.IFS(
P277="FLAT8",8%,
P277="FLAT10",10%,
P277="FLAT15",15%,P277="FLAT20",20%,P277="DEL0",0%,
TRUE,0%
)</f>
        <v>0.08</v>
      </c>
      <c r="X277" s="5">
        <f>Table1[[#This Row],[Amount]]-(Table1[[#This Row],[Amount]]*Table1[[#This Row],[Discount_Percentage]])</f>
        <v>95.845600000000005</v>
      </c>
      <c r="Y277" s="5">
        <f>IF(P277="DEL0",Table1[[#This Row],[Discount_Amount]],Table1[[#This Row],[Discount_Amount]]+Table1[[#This Row],[Delivery_Charge]])</f>
        <v>143.84559999999999</v>
      </c>
      <c r="Z277" s="7" t="str">
        <f>_xlfn.CONCAT(Table1[[#This Row],[First_Name]],"  ",Table1[[#This Row],[Last_Name]])</f>
        <v>Brendan  Kelly</v>
      </c>
      <c r="AA277" s="5" t="str" cm="1">
        <f t="array" ref="AA277">_xlfn.IFS( (S277-K277)&gt;Q277,"Late", (S277-K277)=Q277,"InTime", (S277-K277)&lt;Q277,"BeforeTime" )</f>
        <v>Late</v>
      </c>
      <c r="AB277" s="3">
        <f>MONTH(Table1[[#This Row],[Order_Date]])</f>
        <v>11</v>
      </c>
    </row>
    <row r="278" spans="1:28" x14ac:dyDescent="0.3">
      <c r="A278" s="3" t="s">
        <v>1342</v>
      </c>
      <c r="B278" s="3" t="s">
        <v>508</v>
      </c>
      <c r="C278" s="3" t="s">
        <v>1343</v>
      </c>
      <c r="D278" s="3" t="str">
        <f>_xlfn.CONCAT(Table1[[#This Row],[First_Name]],Table1[[#This Row],[Last_Name]])</f>
        <v>SarahBenson</v>
      </c>
      <c r="E278" s="3">
        <v>40</v>
      </c>
      <c r="F278" s="3" t="s">
        <v>52</v>
      </c>
      <c r="G278" s="3" t="s">
        <v>220</v>
      </c>
      <c r="H278" s="3" t="s">
        <v>1344</v>
      </c>
      <c r="I278" s="3" t="s">
        <v>1345</v>
      </c>
      <c r="J278" s="3" t="s">
        <v>1346</v>
      </c>
      <c r="K278" s="4">
        <v>45422</v>
      </c>
      <c r="L278" s="3" t="s">
        <v>1347</v>
      </c>
      <c r="M278" s="3" t="s">
        <v>553</v>
      </c>
      <c r="N278" s="3">
        <v>425.59</v>
      </c>
      <c r="O278" s="3">
        <v>2</v>
      </c>
      <c r="P278" s="3" t="s">
        <v>36</v>
      </c>
      <c r="Q278" s="3">
        <v>3</v>
      </c>
      <c r="R278" s="3">
        <v>47</v>
      </c>
      <c r="S278" s="4">
        <v>45423</v>
      </c>
      <c r="T278" s="3" t="s">
        <v>1348</v>
      </c>
      <c r="U278" s="5">
        <f>Table1[[#This Row],[Delivery_Date]]-Table1[[#This Row],[Order_Date]]</f>
        <v>1</v>
      </c>
      <c r="V278" s="5">
        <f>Table1[[#This Row],[Price]]*Table1[[#This Row],[Quantity]]</f>
        <v>851.18</v>
      </c>
      <c r="W278" s="6" cm="1">
        <f t="array" ref="W278">_xlfn.IFS(
P278="FLAT8",8%,
P278="FLAT10",10%,
P278="FLAT15",15%,P278="FLAT20",20%,P278="DEL0",0%,
TRUE,0%
)</f>
        <v>0.08</v>
      </c>
      <c r="X278" s="5">
        <f>Table1[[#This Row],[Amount]]-(Table1[[#This Row],[Amount]]*Table1[[#This Row],[Discount_Percentage]])</f>
        <v>783.0856</v>
      </c>
      <c r="Y278" s="5">
        <f>IF(P278="DEL0",Table1[[#This Row],[Discount_Amount]],Table1[[#This Row],[Discount_Amount]]+Table1[[#This Row],[Delivery_Charge]])</f>
        <v>830.0856</v>
      </c>
      <c r="Z278" s="7" t="str">
        <f>_xlfn.CONCAT(Table1[[#This Row],[First_Name]],"  ",Table1[[#This Row],[Last_Name]])</f>
        <v>Sarah  Benson</v>
      </c>
      <c r="AA278" s="5" t="str" cm="1">
        <f t="array" ref="AA278">_xlfn.IFS( (S278-K278)&gt;Q278,"Late", (S278-K278)=Q278,"InTime", (S278-K278)&lt;Q278,"BeforeTime" )</f>
        <v>BeforeTime</v>
      </c>
      <c r="AB278" s="3">
        <f>MONTH(Table1[[#This Row],[Order_Date]])</f>
        <v>5</v>
      </c>
    </row>
    <row r="279" spans="1:28" x14ac:dyDescent="0.3">
      <c r="A279" s="3" t="s">
        <v>1221</v>
      </c>
      <c r="B279" s="3" t="s">
        <v>1222</v>
      </c>
      <c r="C279" s="3" t="s">
        <v>1223</v>
      </c>
      <c r="D279" s="3" t="str">
        <f>_xlfn.CONCAT(Table1[[#This Row],[First_Name]],Table1[[#This Row],[Last_Name]])</f>
        <v>JessicaRuiz</v>
      </c>
      <c r="E279" s="3">
        <v>19</v>
      </c>
      <c r="F279" s="3" t="s">
        <v>41</v>
      </c>
      <c r="G279" s="3" t="s">
        <v>76</v>
      </c>
      <c r="H279" s="3" t="s">
        <v>1224</v>
      </c>
      <c r="I279" s="3" t="s">
        <v>1225</v>
      </c>
      <c r="J279" s="3" t="s">
        <v>1349</v>
      </c>
      <c r="K279" s="4">
        <v>45017</v>
      </c>
      <c r="L279" s="3" t="s">
        <v>1350</v>
      </c>
      <c r="M279" s="3" t="s">
        <v>225</v>
      </c>
      <c r="N279" s="3">
        <v>461.07</v>
      </c>
      <c r="O279" s="3">
        <v>4</v>
      </c>
      <c r="P279" s="3" t="s">
        <v>63</v>
      </c>
      <c r="Q279" s="3">
        <v>6</v>
      </c>
      <c r="R279" s="3">
        <v>46</v>
      </c>
      <c r="S279" s="4">
        <v>45022</v>
      </c>
      <c r="T279" s="3" t="s">
        <v>1351</v>
      </c>
      <c r="U279" s="5">
        <f>Table1[[#This Row],[Delivery_Date]]-Table1[[#This Row],[Order_Date]]</f>
        <v>5</v>
      </c>
      <c r="V279" s="5">
        <f>Table1[[#This Row],[Price]]*Table1[[#This Row],[Quantity]]</f>
        <v>1844.28</v>
      </c>
      <c r="W279" s="6" cm="1">
        <f t="array" ref="W279">_xlfn.IFS(
P279="FLAT8",8%,
P279="FLAT10",10%,
P279="FLAT15",15%,P279="FLAT20",20%,P279="DEL0",0%,
TRUE,0%
)</f>
        <v>0</v>
      </c>
      <c r="X279" s="5">
        <f>Table1[[#This Row],[Amount]]-(Table1[[#This Row],[Amount]]*Table1[[#This Row],[Discount_Percentage]])</f>
        <v>1844.28</v>
      </c>
      <c r="Y279" s="5">
        <f>IF(P279="DEL0",Table1[[#This Row],[Discount_Amount]],Table1[[#This Row],[Discount_Amount]]+Table1[[#This Row],[Delivery_Charge]])</f>
        <v>1844.28</v>
      </c>
      <c r="Z279" s="7" t="str">
        <f>_xlfn.CONCAT(Table1[[#This Row],[First_Name]],"  ",Table1[[#This Row],[Last_Name]])</f>
        <v>Jessica  Ruiz</v>
      </c>
      <c r="AA279" s="5" t="str" cm="1">
        <f t="array" ref="AA279">_xlfn.IFS( (S279-K279)&gt;Q279,"Late", (S279-K279)=Q279,"InTime", (S279-K279)&lt;Q279,"BeforeTime" )</f>
        <v>BeforeTime</v>
      </c>
      <c r="AB279" s="3">
        <f>MONTH(Table1[[#This Row],[Order_Date]])</f>
        <v>4</v>
      </c>
    </row>
    <row r="280" spans="1:28" x14ac:dyDescent="0.3">
      <c r="A280" s="3" t="s">
        <v>147</v>
      </c>
      <c r="B280" s="3" t="s">
        <v>148</v>
      </c>
      <c r="C280" s="3" t="s">
        <v>149</v>
      </c>
      <c r="D280" s="3" t="str">
        <f>_xlfn.CONCAT(Table1[[#This Row],[First_Name]],Table1[[#This Row],[Last_Name]])</f>
        <v>AmyReid</v>
      </c>
      <c r="E280" s="3">
        <v>44</v>
      </c>
      <c r="F280" s="3" t="s">
        <v>41</v>
      </c>
      <c r="G280" s="3" t="s">
        <v>90</v>
      </c>
      <c r="H280" s="3" t="s">
        <v>150</v>
      </c>
      <c r="I280" s="3" t="s">
        <v>151</v>
      </c>
      <c r="J280" s="3" t="s">
        <v>1352</v>
      </c>
      <c r="K280" s="4">
        <v>45422</v>
      </c>
      <c r="L280" s="3" t="s">
        <v>1353</v>
      </c>
      <c r="M280" s="3" t="s">
        <v>270</v>
      </c>
      <c r="N280" s="3">
        <v>62.42</v>
      </c>
      <c r="O280" s="3">
        <v>4</v>
      </c>
      <c r="P280" s="3" t="s">
        <v>58</v>
      </c>
      <c r="Q280" s="3">
        <v>1</v>
      </c>
      <c r="R280" s="3">
        <v>67</v>
      </c>
      <c r="S280" s="4">
        <v>45426</v>
      </c>
      <c r="T280" s="3" t="s">
        <v>1354</v>
      </c>
      <c r="U280" s="5">
        <f>Table1[[#This Row],[Delivery_Date]]-Table1[[#This Row],[Order_Date]]</f>
        <v>4</v>
      </c>
      <c r="V280" s="5">
        <f>Table1[[#This Row],[Price]]*Table1[[#This Row],[Quantity]]</f>
        <v>249.68</v>
      </c>
      <c r="W280" s="6" cm="1">
        <f t="array" ref="W280">_xlfn.IFS(
P280="FLAT8",8%,
P280="FLAT10",10%,
P280="FLAT15",15%,P280="FLAT20",20%,P280="DEL0",0%,
TRUE,0%
)</f>
        <v>0.15</v>
      </c>
      <c r="X280" s="5">
        <f>Table1[[#This Row],[Amount]]-(Table1[[#This Row],[Amount]]*Table1[[#This Row],[Discount_Percentage]])</f>
        <v>212.22800000000001</v>
      </c>
      <c r="Y280" s="5">
        <f>IF(P280="DEL0",Table1[[#This Row],[Discount_Amount]],Table1[[#This Row],[Discount_Amount]]+Table1[[#This Row],[Delivery_Charge]])</f>
        <v>279.22800000000001</v>
      </c>
      <c r="Z280" s="7" t="str">
        <f>_xlfn.CONCAT(Table1[[#This Row],[First_Name]],"  ",Table1[[#This Row],[Last_Name]])</f>
        <v>Amy  Reid</v>
      </c>
      <c r="AA280" s="5" t="str" cm="1">
        <f t="array" ref="AA280">_xlfn.IFS( (S280-K280)&gt;Q280,"Late", (S280-K280)=Q280,"InTime", (S280-K280)&lt;Q280,"BeforeTime" )</f>
        <v>Late</v>
      </c>
      <c r="AB280" s="3">
        <f>MONTH(Table1[[#This Row],[Order_Date]])</f>
        <v>5</v>
      </c>
    </row>
    <row r="281" spans="1:28" x14ac:dyDescent="0.3">
      <c r="A281" s="3" t="s">
        <v>38</v>
      </c>
      <c r="B281" s="3" t="s">
        <v>39</v>
      </c>
      <c r="C281" s="3" t="s">
        <v>40</v>
      </c>
      <c r="D281" s="3" t="str">
        <f>_xlfn.CONCAT(Table1[[#This Row],[First_Name]],Table1[[#This Row],[Last_Name]])</f>
        <v>AnthonyThomas</v>
      </c>
      <c r="E281" s="3">
        <v>53</v>
      </c>
      <c r="F281" s="3" t="s">
        <v>41</v>
      </c>
      <c r="G281" s="3" t="s">
        <v>42</v>
      </c>
      <c r="H281" s="3" t="s">
        <v>43</v>
      </c>
      <c r="I281" s="3" t="s">
        <v>44</v>
      </c>
      <c r="J281" s="3" t="s">
        <v>1355</v>
      </c>
      <c r="K281" s="4">
        <v>45186</v>
      </c>
      <c r="L281" s="3" t="s">
        <v>1356</v>
      </c>
      <c r="M281" s="3" t="s">
        <v>126</v>
      </c>
      <c r="N281" s="3">
        <v>257.06</v>
      </c>
      <c r="O281" s="3">
        <v>1</v>
      </c>
      <c r="P281" s="3" t="s">
        <v>85</v>
      </c>
      <c r="Q281" s="3">
        <v>5</v>
      </c>
      <c r="R281" s="3">
        <v>64</v>
      </c>
      <c r="S281" s="4">
        <v>45188</v>
      </c>
      <c r="T281" s="3" t="s">
        <v>1357</v>
      </c>
      <c r="U281" s="5">
        <f>Table1[[#This Row],[Delivery_Date]]-Table1[[#This Row],[Order_Date]]</f>
        <v>2</v>
      </c>
      <c r="V281" s="5">
        <f>Table1[[#This Row],[Price]]*Table1[[#This Row],[Quantity]]</f>
        <v>257.06</v>
      </c>
      <c r="W281" s="6" cm="1">
        <f t="array" ref="W281">_xlfn.IFS(
P281="FLAT8",8%,
P281="FLAT10",10%,
P281="FLAT15",15%,P281="FLAT20",20%,P281="DEL0",0%,
TRUE,0%
)</f>
        <v>0.2</v>
      </c>
      <c r="X281" s="5">
        <f>Table1[[#This Row],[Amount]]-(Table1[[#This Row],[Amount]]*Table1[[#This Row],[Discount_Percentage]])</f>
        <v>205.648</v>
      </c>
      <c r="Y281" s="5">
        <f>IF(P281="DEL0",Table1[[#This Row],[Discount_Amount]],Table1[[#This Row],[Discount_Amount]]+Table1[[#This Row],[Delivery_Charge]])</f>
        <v>269.64800000000002</v>
      </c>
      <c r="Z281" s="7" t="str">
        <f>_xlfn.CONCAT(Table1[[#This Row],[First_Name]],"  ",Table1[[#This Row],[Last_Name]])</f>
        <v>Anthony  Thomas</v>
      </c>
      <c r="AA281" s="5" t="str" cm="1">
        <f t="array" ref="AA281">_xlfn.IFS( (S281-K281)&gt;Q281,"Late", (S281-K281)=Q281,"InTime", (S281-K281)&lt;Q281,"BeforeTime" )</f>
        <v>BeforeTime</v>
      </c>
      <c r="AB281" s="3">
        <f>MONTH(Table1[[#This Row],[Order_Date]])</f>
        <v>9</v>
      </c>
    </row>
    <row r="282" spans="1:28" x14ac:dyDescent="0.3">
      <c r="A282" s="3" t="s">
        <v>546</v>
      </c>
      <c r="B282" s="3" t="s">
        <v>547</v>
      </c>
      <c r="C282" s="3" t="s">
        <v>548</v>
      </c>
      <c r="D282" s="3" t="str">
        <f>_xlfn.CONCAT(Table1[[#This Row],[First_Name]],Table1[[#This Row],[Last_Name]])</f>
        <v>JodiWhitney</v>
      </c>
      <c r="E282" s="3">
        <v>33</v>
      </c>
      <c r="F282" s="3" t="s">
        <v>52</v>
      </c>
      <c r="G282" s="3" t="s">
        <v>168</v>
      </c>
      <c r="H282" s="3" t="s">
        <v>549</v>
      </c>
      <c r="I282" s="3" t="s">
        <v>550</v>
      </c>
      <c r="J282" s="3" t="s">
        <v>1358</v>
      </c>
      <c r="K282" s="4">
        <v>45677</v>
      </c>
      <c r="L282" s="3" t="s">
        <v>1359</v>
      </c>
      <c r="M282" s="3" t="s">
        <v>173</v>
      </c>
      <c r="N282" s="3">
        <v>272.51</v>
      </c>
      <c r="O282" s="3">
        <v>4</v>
      </c>
      <c r="P282" s="3" t="s">
        <v>85</v>
      </c>
      <c r="Q282" s="3">
        <v>6</v>
      </c>
      <c r="R282" s="3">
        <v>39</v>
      </c>
      <c r="S282" s="4">
        <v>45679</v>
      </c>
      <c r="T282" s="3" t="s">
        <v>1360</v>
      </c>
      <c r="U282" s="5">
        <f>Table1[[#This Row],[Delivery_Date]]-Table1[[#This Row],[Order_Date]]</f>
        <v>2</v>
      </c>
      <c r="V282" s="5">
        <f>Table1[[#This Row],[Price]]*Table1[[#This Row],[Quantity]]</f>
        <v>1090.04</v>
      </c>
      <c r="W282" s="6" cm="1">
        <f t="array" ref="W282">_xlfn.IFS(
P282="FLAT8",8%,
P282="FLAT10",10%,
P282="FLAT15",15%,P282="FLAT20",20%,P282="DEL0",0%,
TRUE,0%
)</f>
        <v>0.2</v>
      </c>
      <c r="X282" s="5">
        <f>Table1[[#This Row],[Amount]]-(Table1[[#This Row],[Amount]]*Table1[[#This Row],[Discount_Percentage]])</f>
        <v>872.03199999999993</v>
      </c>
      <c r="Y282" s="5">
        <f>IF(P282="DEL0",Table1[[#This Row],[Discount_Amount]],Table1[[#This Row],[Discount_Amount]]+Table1[[#This Row],[Delivery_Charge]])</f>
        <v>911.03199999999993</v>
      </c>
      <c r="Z282" s="7" t="str">
        <f>_xlfn.CONCAT(Table1[[#This Row],[First_Name]],"  ",Table1[[#This Row],[Last_Name]])</f>
        <v>Jodi  Whitney</v>
      </c>
      <c r="AA282" s="5" t="str" cm="1">
        <f t="array" ref="AA282">_xlfn.IFS( (S282-K282)&gt;Q282,"Late", (S282-K282)=Q282,"InTime", (S282-K282)&lt;Q282,"BeforeTime" )</f>
        <v>BeforeTime</v>
      </c>
      <c r="AB282" s="3">
        <f>MONTH(Table1[[#This Row],[Order_Date]])</f>
        <v>1</v>
      </c>
    </row>
    <row r="283" spans="1:28" x14ac:dyDescent="0.3">
      <c r="A283" s="3" t="s">
        <v>236</v>
      </c>
      <c r="B283" s="3" t="s">
        <v>66</v>
      </c>
      <c r="C283" s="3" t="s">
        <v>237</v>
      </c>
      <c r="D283" s="3" t="str">
        <f>_xlfn.CONCAT(Table1[[#This Row],[First_Name]],Table1[[#This Row],[Last_Name]])</f>
        <v>AngelaEvans</v>
      </c>
      <c r="E283" s="3">
        <v>52</v>
      </c>
      <c r="F283" s="3" t="s">
        <v>52</v>
      </c>
      <c r="G283" s="3" t="s">
        <v>42</v>
      </c>
      <c r="H283" s="3" t="s">
        <v>238</v>
      </c>
      <c r="I283" s="3" t="s">
        <v>239</v>
      </c>
      <c r="J283" s="3" t="s">
        <v>1361</v>
      </c>
      <c r="K283" s="4">
        <v>45242</v>
      </c>
      <c r="L283" s="3" t="s">
        <v>1362</v>
      </c>
      <c r="M283" s="3" t="s">
        <v>590</v>
      </c>
      <c r="N283" s="3">
        <v>403.03</v>
      </c>
      <c r="O283" s="3">
        <v>2</v>
      </c>
      <c r="P283" s="3" t="s">
        <v>36</v>
      </c>
      <c r="Q283" s="3">
        <v>4</v>
      </c>
      <c r="R283" s="3">
        <v>70</v>
      </c>
      <c r="S283" s="4">
        <v>45246</v>
      </c>
      <c r="T283" s="3" t="s">
        <v>1363</v>
      </c>
      <c r="U283" s="5">
        <f>Table1[[#This Row],[Delivery_Date]]-Table1[[#This Row],[Order_Date]]</f>
        <v>4</v>
      </c>
      <c r="V283" s="5">
        <f>Table1[[#This Row],[Price]]*Table1[[#This Row],[Quantity]]</f>
        <v>806.06</v>
      </c>
      <c r="W283" s="6" cm="1">
        <f t="array" ref="W283">_xlfn.IFS(
P283="FLAT8",8%,
P283="FLAT10",10%,
P283="FLAT15",15%,P283="FLAT20",20%,P283="DEL0",0%,
TRUE,0%
)</f>
        <v>0.08</v>
      </c>
      <c r="X283" s="5">
        <f>Table1[[#This Row],[Amount]]-(Table1[[#This Row],[Amount]]*Table1[[#This Row],[Discount_Percentage]])</f>
        <v>741.5752</v>
      </c>
      <c r="Y283" s="5">
        <f>IF(P283="DEL0",Table1[[#This Row],[Discount_Amount]],Table1[[#This Row],[Discount_Amount]]+Table1[[#This Row],[Delivery_Charge]])</f>
        <v>811.5752</v>
      </c>
      <c r="Z283" s="7" t="str">
        <f>_xlfn.CONCAT(Table1[[#This Row],[First_Name]],"  ",Table1[[#This Row],[Last_Name]])</f>
        <v>Angela  Evans</v>
      </c>
      <c r="AA283" s="5" t="str" cm="1">
        <f t="array" ref="AA283">_xlfn.IFS( (S283-K283)&gt;Q283,"Late", (S283-K283)=Q283,"InTime", (S283-K283)&lt;Q283,"BeforeTime" )</f>
        <v>InTime</v>
      </c>
      <c r="AB283" s="3">
        <f>MONTH(Table1[[#This Row],[Order_Date]])</f>
        <v>11</v>
      </c>
    </row>
    <row r="284" spans="1:28" x14ac:dyDescent="0.3">
      <c r="A284" s="3" t="s">
        <v>1221</v>
      </c>
      <c r="B284" s="3" t="s">
        <v>1222</v>
      </c>
      <c r="C284" s="3" t="s">
        <v>1223</v>
      </c>
      <c r="D284" s="3" t="str">
        <f>_xlfn.CONCAT(Table1[[#This Row],[First_Name]],Table1[[#This Row],[Last_Name]])</f>
        <v>JessicaRuiz</v>
      </c>
      <c r="E284" s="3">
        <v>19</v>
      </c>
      <c r="F284" s="3" t="s">
        <v>41</v>
      </c>
      <c r="G284" s="3" t="s">
        <v>76</v>
      </c>
      <c r="H284" s="3" t="s">
        <v>1224</v>
      </c>
      <c r="I284" s="3" t="s">
        <v>1225</v>
      </c>
      <c r="J284" s="3" t="s">
        <v>1364</v>
      </c>
      <c r="K284" s="4">
        <v>45201</v>
      </c>
      <c r="L284" s="3" t="s">
        <v>1365</v>
      </c>
      <c r="M284" s="3" t="s">
        <v>225</v>
      </c>
      <c r="N284" s="3">
        <v>461.07</v>
      </c>
      <c r="O284" s="3">
        <v>3</v>
      </c>
      <c r="P284" s="3" t="s">
        <v>96</v>
      </c>
      <c r="Q284" s="3">
        <v>1</v>
      </c>
      <c r="R284" s="3">
        <v>61</v>
      </c>
      <c r="S284" s="4">
        <v>45202</v>
      </c>
      <c r="T284" s="3" t="s">
        <v>1366</v>
      </c>
      <c r="U284" s="5">
        <f>Table1[[#This Row],[Delivery_Date]]-Table1[[#This Row],[Order_Date]]</f>
        <v>1</v>
      </c>
      <c r="V284" s="5">
        <f>Table1[[#This Row],[Price]]*Table1[[#This Row],[Quantity]]</f>
        <v>1383.21</v>
      </c>
      <c r="W284" s="6" cm="1">
        <f t="array" ref="W284">_xlfn.IFS(
P284="FLAT8",8%,
P284="FLAT10",10%,
P284="FLAT15",15%,P284="FLAT20",20%,P284="DEL0",0%,
TRUE,0%
)</f>
        <v>0.1</v>
      </c>
      <c r="X284" s="5">
        <f>Table1[[#This Row],[Amount]]-(Table1[[#This Row],[Amount]]*Table1[[#This Row],[Discount_Percentage]])</f>
        <v>1244.8890000000001</v>
      </c>
      <c r="Y284" s="5">
        <f>IF(P284="DEL0",Table1[[#This Row],[Discount_Amount]],Table1[[#This Row],[Discount_Amount]]+Table1[[#This Row],[Delivery_Charge]])</f>
        <v>1305.8890000000001</v>
      </c>
      <c r="Z284" s="7" t="str">
        <f>_xlfn.CONCAT(Table1[[#This Row],[First_Name]],"  ",Table1[[#This Row],[Last_Name]])</f>
        <v>Jessica  Ruiz</v>
      </c>
      <c r="AA284" s="5" t="str" cm="1">
        <f t="array" ref="AA284">_xlfn.IFS( (S284-K284)&gt;Q284,"Late", (S284-K284)=Q284,"InTime", (S284-K284)&lt;Q284,"BeforeTime" )</f>
        <v>InTime</v>
      </c>
      <c r="AB284" s="3">
        <f>MONTH(Table1[[#This Row],[Order_Date]])</f>
        <v>10</v>
      </c>
    </row>
    <row r="285" spans="1:28" x14ac:dyDescent="0.3">
      <c r="A285" s="3" t="s">
        <v>1210</v>
      </c>
      <c r="B285" s="3" t="s">
        <v>1211</v>
      </c>
      <c r="C285" s="3" t="s">
        <v>1212</v>
      </c>
      <c r="D285" s="3" t="str">
        <f>_xlfn.CONCAT(Table1[[#This Row],[First_Name]],Table1[[#This Row],[Last_Name]])</f>
        <v>BrendanKelly</v>
      </c>
      <c r="E285" s="3">
        <v>50</v>
      </c>
      <c r="F285" s="3" t="s">
        <v>52</v>
      </c>
      <c r="G285" s="3" t="s">
        <v>168</v>
      </c>
      <c r="H285" s="3" t="s">
        <v>1213</v>
      </c>
      <c r="I285" s="3" t="s">
        <v>1214</v>
      </c>
      <c r="J285" s="3" t="s">
        <v>1367</v>
      </c>
      <c r="K285" s="4">
        <v>45522</v>
      </c>
      <c r="L285" s="3" t="s">
        <v>1368</v>
      </c>
      <c r="M285" s="3" t="s">
        <v>518</v>
      </c>
      <c r="N285" s="3">
        <v>441.03</v>
      </c>
      <c r="O285" s="3">
        <v>3</v>
      </c>
      <c r="P285" s="3" t="s">
        <v>85</v>
      </c>
      <c r="Q285" s="3">
        <v>4</v>
      </c>
      <c r="R285" s="3">
        <v>40</v>
      </c>
      <c r="S285" s="4">
        <v>45528</v>
      </c>
      <c r="T285" s="3" t="s">
        <v>1369</v>
      </c>
      <c r="U285" s="5">
        <f>Table1[[#This Row],[Delivery_Date]]-Table1[[#This Row],[Order_Date]]</f>
        <v>6</v>
      </c>
      <c r="V285" s="5">
        <f>Table1[[#This Row],[Price]]*Table1[[#This Row],[Quantity]]</f>
        <v>1323.09</v>
      </c>
      <c r="W285" s="6" cm="1">
        <f t="array" ref="W285">_xlfn.IFS(
P285="FLAT8",8%,
P285="FLAT10",10%,
P285="FLAT15",15%,P285="FLAT20",20%,P285="DEL0",0%,
TRUE,0%
)</f>
        <v>0.2</v>
      </c>
      <c r="X285" s="5">
        <f>Table1[[#This Row],[Amount]]-(Table1[[#This Row],[Amount]]*Table1[[#This Row],[Discount_Percentage]])</f>
        <v>1058.472</v>
      </c>
      <c r="Y285" s="5">
        <f>IF(P285="DEL0",Table1[[#This Row],[Discount_Amount]],Table1[[#This Row],[Discount_Amount]]+Table1[[#This Row],[Delivery_Charge]])</f>
        <v>1098.472</v>
      </c>
      <c r="Z285" s="7" t="str">
        <f>_xlfn.CONCAT(Table1[[#This Row],[First_Name]],"  ",Table1[[#This Row],[Last_Name]])</f>
        <v>Brendan  Kelly</v>
      </c>
      <c r="AA285" s="5" t="str" cm="1">
        <f t="array" ref="AA285">_xlfn.IFS( (S285-K285)&gt;Q285,"Late", (S285-K285)=Q285,"InTime", (S285-K285)&lt;Q285,"BeforeTime" )</f>
        <v>Late</v>
      </c>
      <c r="AB285" s="3">
        <f>MONTH(Table1[[#This Row],[Order_Date]])</f>
        <v>8</v>
      </c>
    </row>
    <row r="286" spans="1:28" x14ac:dyDescent="0.3">
      <c r="A286" s="3" t="s">
        <v>137</v>
      </c>
      <c r="B286" s="3" t="s">
        <v>138</v>
      </c>
      <c r="C286" s="3" t="s">
        <v>139</v>
      </c>
      <c r="D286" s="3" t="str">
        <f>_xlfn.CONCAT(Table1[[#This Row],[First_Name]],Table1[[#This Row],[Last_Name]])</f>
        <v>KaraBrennan</v>
      </c>
      <c r="E286" s="3">
        <v>25</v>
      </c>
      <c r="F286" s="3" t="s">
        <v>52</v>
      </c>
      <c r="G286" s="3" t="s">
        <v>140</v>
      </c>
      <c r="H286" s="3" t="s">
        <v>141</v>
      </c>
      <c r="I286" s="3" t="s">
        <v>142</v>
      </c>
      <c r="J286" s="3" t="s">
        <v>1370</v>
      </c>
      <c r="K286" s="4">
        <v>45090</v>
      </c>
      <c r="L286" s="3" t="s">
        <v>1371</v>
      </c>
      <c r="M286" s="3" t="s">
        <v>135</v>
      </c>
      <c r="N286" s="3">
        <v>175.93</v>
      </c>
      <c r="O286" s="3">
        <v>4</v>
      </c>
      <c r="P286" s="3" t="s">
        <v>85</v>
      </c>
      <c r="Q286" s="3">
        <v>6</v>
      </c>
      <c r="R286" s="3">
        <v>45</v>
      </c>
      <c r="S286" s="4">
        <v>45097</v>
      </c>
      <c r="T286" s="3" t="s">
        <v>1372</v>
      </c>
      <c r="U286" s="5">
        <f>Table1[[#This Row],[Delivery_Date]]-Table1[[#This Row],[Order_Date]]</f>
        <v>7</v>
      </c>
      <c r="V286" s="5">
        <f>Table1[[#This Row],[Price]]*Table1[[#This Row],[Quantity]]</f>
        <v>703.72</v>
      </c>
      <c r="W286" s="6" cm="1">
        <f t="array" ref="W286">_xlfn.IFS(
P286="FLAT8",8%,
P286="FLAT10",10%,
P286="FLAT15",15%,P286="FLAT20",20%,P286="DEL0",0%,
TRUE,0%
)</f>
        <v>0.2</v>
      </c>
      <c r="X286" s="5">
        <f>Table1[[#This Row],[Amount]]-(Table1[[#This Row],[Amount]]*Table1[[#This Row],[Discount_Percentage]])</f>
        <v>562.976</v>
      </c>
      <c r="Y286" s="5">
        <f>IF(P286="DEL0",Table1[[#This Row],[Discount_Amount]],Table1[[#This Row],[Discount_Amount]]+Table1[[#This Row],[Delivery_Charge]])</f>
        <v>607.976</v>
      </c>
      <c r="Z286" s="7" t="str">
        <f>_xlfn.CONCAT(Table1[[#This Row],[First_Name]],"  ",Table1[[#This Row],[Last_Name]])</f>
        <v>Kara  Brennan</v>
      </c>
      <c r="AA286" s="5" t="str" cm="1">
        <f t="array" ref="AA286">_xlfn.IFS( (S286-K286)&gt;Q286,"Late", (S286-K286)=Q286,"InTime", (S286-K286)&lt;Q286,"BeforeTime" )</f>
        <v>Late</v>
      </c>
      <c r="AB286" s="3">
        <f>MONTH(Table1[[#This Row],[Order_Date]])</f>
        <v>6</v>
      </c>
    </row>
    <row r="287" spans="1:28" x14ac:dyDescent="0.3">
      <c r="A287" s="3" t="s">
        <v>1221</v>
      </c>
      <c r="B287" s="3" t="s">
        <v>1222</v>
      </c>
      <c r="C287" s="3" t="s">
        <v>1223</v>
      </c>
      <c r="D287" s="3" t="str">
        <f>_xlfn.CONCAT(Table1[[#This Row],[First_Name]],Table1[[#This Row],[Last_Name]])</f>
        <v>JessicaRuiz</v>
      </c>
      <c r="E287" s="3">
        <v>19</v>
      </c>
      <c r="F287" s="3" t="s">
        <v>41</v>
      </c>
      <c r="G287" s="3" t="s">
        <v>76</v>
      </c>
      <c r="H287" s="3" t="s">
        <v>1224</v>
      </c>
      <c r="I287" s="3" t="s">
        <v>1225</v>
      </c>
      <c r="J287" s="3" t="s">
        <v>1373</v>
      </c>
      <c r="K287" s="4">
        <v>45049</v>
      </c>
      <c r="L287" s="3" t="s">
        <v>1374</v>
      </c>
      <c r="M287" s="3" t="s">
        <v>430</v>
      </c>
      <c r="N287" s="3">
        <v>369.03</v>
      </c>
      <c r="O287" s="3">
        <v>3</v>
      </c>
      <c r="P287" s="3" t="s">
        <v>36</v>
      </c>
      <c r="Q287" s="3">
        <v>6</v>
      </c>
      <c r="R287" s="3">
        <v>50</v>
      </c>
      <c r="S287" s="4">
        <v>45052</v>
      </c>
      <c r="T287" s="3" t="s">
        <v>1375</v>
      </c>
      <c r="U287" s="5">
        <f>Table1[[#This Row],[Delivery_Date]]-Table1[[#This Row],[Order_Date]]</f>
        <v>3</v>
      </c>
      <c r="V287" s="5">
        <f>Table1[[#This Row],[Price]]*Table1[[#This Row],[Quantity]]</f>
        <v>1107.0899999999999</v>
      </c>
      <c r="W287" s="6" cm="1">
        <f t="array" ref="W287">_xlfn.IFS(
P287="FLAT8",8%,
P287="FLAT10",10%,
P287="FLAT15",15%,P287="FLAT20",20%,P287="DEL0",0%,
TRUE,0%
)</f>
        <v>0.08</v>
      </c>
      <c r="X287" s="5">
        <f>Table1[[#This Row],[Amount]]-(Table1[[#This Row],[Amount]]*Table1[[#This Row],[Discount_Percentage]])</f>
        <v>1018.5228</v>
      </c>
      <c r="Y287" s="5">
        <f>IF(P287="DEL0",Table1[[#This Row],[Discount_Amount]],Table1[[#This Row],[Discount_Amount]]+Table1[[#This Row],[Delivery_Charge]])</f>
        <v>1068.5228</v>
      </c>
      <c r="Z287" s="7" t="str">
        <f>_xlfn.CONCAT(Table1[[#This Row],[First_Name]],"  ",Table1[[#This Row],[Last_Name]])</f>
        <v>Jessica  Ruiz</v>
      </c>
      <c r="AA287" s="5" t="str" cm="1">
        <f t="array" ref="AA287">_xlfn.IFS( (S287-K287)&gt;Q287,"Late", (S287-K287)=Q287,"InTime", (S287-K287)&lt;Q287,"BeforeTime" )</f>
        <v>BeforeTime</v>
      </c>
      <c r="AB287" s="3">
        <f>MONTH(Table1[[#This Row],[Order_Date]])</f>
        <v>5</v>
      </c>
    </row>
    <row r="288" spans="1:28" x14ac:dyDescent="0.3">
      <c r="A288" s="3" t="s">
        <v>716</v>
      </c>
      <c r="B288" s="3" t="s">
        <v>717</v>
      </c>
      <c r="C288" s="3" t="s">
        <v>718</v>
      </c>
      <c r="D288" s="3" t="str">
        <f>_xlfn.CONCAT(Table1[[#This Row],[First_Name]],Table1[[#This Row],[Last_Name]])</f>
        <v>BruceAllen</v>
      </c>
      <c r="E288" s="3">
        <v>32</v>
      </c>
      <c r="F288" s="3" t="s">
        <v>41</v>
      </c>
      <c r="G288" s="3" t="s">
        <v>30</v>
      </c>
      <c r="H288" s="3" t="s">
        <v>719</v>
      </c>
      <c r="I288" s="3" t="s">
        <v>720</v>
      </c>
      <c r="J288" s="3" t="s">
        <v>1376</v>
      </c>
      <c r="K288" s="4">
        <v>45676</v>
      </c>
      <c r="L288" s="3" t="s">
        <v>1377</v>
      </c>
      <c r="M288" s="3" t="s">
        <v>323</v>
      </c>
      <c r="N288" s="3">
        <v>481.48</v>
      </c>
      <c r="O288" s="3">
        <v>2</v>
      </c>
      <c r="P288" s="3" t="s">
        <v>85</v>
      </c>
      <c r="Q288" s="3">
        <v>3</v>
      </c>
      <c r="R288" s="3">
        <v>58</v>
      </c>
      <c r="S288" s="4">
        <v>45683</v>
      </c>
      <c r="T288" s="3" t="s">
        <v>1378</v>
      </c>
      <c r="U288" s="5">
        <f>Table1[[#This Row],[Delivery_Date]]-Table1[[#This Row],[Order_Date]]</f>
        <v>7</v>
      </c>
      <c r="V288" s="5">
        <f>Table1[[#This Row],[Price]]*Table1[[#This Row],[Quantity]]</f>
        <v>962.96</v>
      </c>
      <c r="W288" s="6" cm="1">
        <f t="array" ref="W288">_xlfn.IFS(
P288="FLAT8",8%,
P288="FLAT10",10%,
P288="FLAT15",15%,P288="FLAT20",20%,P288="DEL0",0%,
TRUE,0%
)</f>
        <v>0.2</v>
      </c>
      <c r="X288" s="5">
        <f>Table1[[#This Row],[Amount]]-(Table1[[#This Row],[Amount]]*Table1[[#This Row],[Discount_Percentage]])</f>
        <v>770.36800000000005</v>
      </c>
      <c r="Y288" s="5">
        <f>IF(P288="DEL0",Table1[[#This Row],[Discount_Amount]],Table1[[#This Row],[Discount_Amount]]+Table1[[#This Row],[Delivery_Charge]])</f>
        <v>828.36800000000005</v>
      </c>
      <c r="Z288" s="7" t="str">
        <f>_xlfn.CONCAT(Table1[[#This Row],[First_Name]],"  ",Table1[[#This Row],[Last_Name]])</f>
        <v>Bruce  Allen</v>
      </c>
      <c r="AA288" s="5" t="str" cm="1">
        <f t="array" ref="AA288">_xlfn.IFS( (S288-K288)&gt;Q288,"Late", (S288-K288)=Q288,"InTime", (S288-K288)&lt;Q288,"BeforeTime" )</f>
        <v>Late</v>
      </c>
      <c r="AB288" s="3">
        <f>MONTH(Table1[[#This Row],[Order_Date]])</f>
        <v>1</v>
      </c>
    </row>
    <row r="289" spans="1:28" x14ac:dyDescent="0.3">
      <c r="A289" s="3" t="s">
        <v>986</v>
      </c>
      <c r="B289" s="3" t="s">
        <v>987</v>
      </c>
      <c r="C289" s="3" t="s">
        <v>988</v>
      </c>
      <c r="D289" s="3" t="str">
        <f>_xlfn.CONCAT(Table1[[#This Row],[First_Name]],Table1[[#This Row],[Last_Name]])</f>
        <v>NatashaMichael</v>
      </c>
      <c r="E289" s="3">
        <v>49</v>
      </c>
      <c r="F289" s="3" t="s">
        <v>29</v>
      </c>
      <c r="G289" s="3" t="s">
        <v>42</v>
      </c>
      <c r="H289" s="3" t="s">
        <v>989</v>
      </c>
      <c r="I289" s="3" t="s">
        <v>990</v>
      </c>
      <c r="J289" s="3" t="s">
        <v>1379</v>
      </c>
      <c r="K289" s="4">
        <v>45092</v>
      </c>
      <c r="L289" s="3" t="s">
        <v>1380</v>
      </c>
      <c r="M289" s="3" t="s">
        <v>553</v>
      </c>
      <c r="N289" s="3">
        <v>425.59</v>
      </c>
      <c r="O289" s="3">
        <v>3</v>
      </c>
      <c r="P289" s="3" t="s">
        <v>36</v>
      </c>
      <c r="Q289" s="3">
        <v>6</v>
      </c>
      <c r="R289" s="3">
        <v>55</v>
      </c>
      <c r="S289" s="4">
        <v>45099</v>
      </c>
      <c r="T289" s="3" t="s">
        <v>1381</v>
      </c>
      <c r="U289" s="5">
        <f>Table1[[#This Row],[Delivery_Date]]-Table1[[#This Row],[Order_Date]]</f>
        <v>7</v>
      </c>
      <c r="V289" s="5">
        <f>Table1[[#This Row],[Price]]*Table1[[#This Row],[Quantity]]</f>
        <v>1276.77</v>
      </c>
      <c r="W289" s="6" cm="1">
        <f t="array" ref="W289">_xlfn.IFS(
P289="FLAT8",8%,
P289="FLAT10",10%,
P289="FLAT15",15%,P289="FLAT20",20%,P289="DEL0",0%,
TRUE,0%
)</f>
        <v>0.08</v>
      </c>
      <c r="X289" s="5">
        <f>Table1[[#This Row],[Amount]]-(Table1[[#This Row],[Amount]]*Table1[[#This Row],[Discount_Percentage]])</f>
        <v>1174.6284000000001</v>
      </c>
      <c r="Y289" s="5">
        <f>IF(P289="DEL0",Table1[[#This Row],[Discount_Amount]],Table1[[#This Row],[Discount_Amount]]+Table1[[#This Row],[Delivery_Charge]])</f>
        <v>1229.6284000000001</v>
      </c>
      <c r="Z289" s="7" t="str">
        <f>_xlfn.CONCAT(Table1[[#This Row],[First_Name]],"  ",Table1[[#This Row],[Last_Name]])</f>
        <v>Natasha  Michael</v>
      </c>
      <c r="AA289" s="5" t="str" cm="1">
        <f t="array" ref="AA289">_xlfn.IFS( (S289-K289)&gt;Q289,"Late", (S289-K289)=Q289,"InTime", (S289-K289)&lt;Q289,"BeforeTime" )</f>
        <v>Late</v>
      </c>
      <c r="AB289" s="3">
        <f>MONTH(Table1[[#This Row],[Order_Date]])</f>
        <v>6</v>
      </c>
    </row>
    <row r="290" spans="1:28" x14ac:dyDescent="0.3">
      <c r="A290" s="3" t="s">
        <v>333</v>
      </c>
      <c r="B290" s="3" t="s">
        <v>334</v>
      </c>
      <c r="C290" s="3" t="s">
        <v>335</v>
      </c>
      <c r="D290" s="3" t="str">
        <f>_xlfn.CONCAT(Table1[[#This Row],[First_Name]],Table1[[#This Row],[Last_Name]])</f>
        <v>JulieMeyer</v>
      </c>
      <c r="E290" s="3">
        <v>23</v>
      </c>
      <c r="F290" s="3" t="s">
        <v>29</v>
      </c>
      <c r="G290" s="3" t="s">
        <v>30</v>
      </c>
      <c r="H290" s="3" t="s">
        <v>336</v>
      </c>
      <c r="I290" s="3" t="s">
        <v>337</v>
      </c>
      <c r="J290" s="3" t="s">
        <v>1382</v>
      </c>
      <c r="K290" s="4">
        <v>45659</v>
      </c>
      <c r="L290" s="3" t="s">
        <v>1383</v>
      </c>
      <c r="M290" s="3" t="s">
        <v>984</v>
      </c>
      <c r="N290" s="3">
        <v>33.49</v>
      </c>
      <c r="O290" s="3">
        <v>2</v>
      </c>
      <c r="P290" s="3" t="s">
        <v>36</v>
      </c>
      <c r="Q290" s="3">
        <v>2</v>
      </c>
      <c r="R290" s="3">
        <v>45</v>
      </c>
      <c r="S290" s="4">
        <v>45660</v>
      </c>
      <c r="T290" s="3" t="s">
        <v>1384</v>
      </c>
      <c r="U290" s="5">
        <f>Table1[[#This Row],[Delivery_Date]]-Table1[[#This Row],[Order_Date]]</f>
        <v>1</v>
      </c>
      <c r="V290" s="5">
        <f>Table1[[#This Row],[Price]]*Table1[[#This Row],[Quantity]]</f>
        <v>66.98</v>
      </c>
      <c r="W290" s="6" cm="1">
        <f t="array" ref="W290">_xlfn.IFS(
P290="FLAT8",8%,
P290="FLAT10",10%,
P290="FLAT15",15%,P290="FLAT20",20%,P290="DEL0",0%,
TRUE,0%
)</f>
        <v>0.08</v>
      </c>
      <c r="X290" s="5">
        <f>Table1[[#This Row],[Amount]]-(Table1[[#This Row],[Amount]]*Table1[[#This Row],[Discount_Percentage]])</f>
        <v>61.621600000000001</v>
      </c>
      <c r="Y290" s="5">
        <f>IF(P290="DEL0",Table1[[#This Row],[Discount_Amount]],Table1[[#This Row],[Discount_Amount]]+Table1[[#This Row],[Delivery_Charge]])</f>
        <v>106.6216</v>
      </c>
      <c r="Z290" s="7" t="str">
        <f>_xlfn.CONCAT(Table1[[#This Row],[First_Name]],"  ",Table1[[#This Row],[Last_Name]])</f>
        <v>Julie  Meyer</v>
      </c>
      <c r="AA290" s="5" t="str" cm="1">
        <f t="array" ref="AA290">_xlfn.IFS( (S290-K290)&gt;Q290,"Late", (S290-K290)=Q290,"InTime", (S290-K290)&lt;Q290,"BeforeTime" )</f>
        <v>BeforeTime</v>
      </c>
      <c r="AB290" s="3">
        <f>MONTH(Table1[[#This Row],[Order_Date]])</f>
        <v>1</v>
      </c>
    </row>
    <row r="291" spans="1:28" x14ac:dyDescent="0.3">
      <c r="A291" s="3" t="s">
        <v>490</v>
      </c>
      <c r="B291" s="3" t="s">
        <v>186</v>
      </c>
      <c r="C291" s="3" t="s">
        <v>327</v>
      </c>
      <c r="D291" s="3" t="str">
        <f>_xlfn.CONCAT(Table1[[#This Row],[First_Name]],Table1[[#This Row],[Last_Name]])</f>
        <v>MitchellParker</v>
      </c>
      <c r="E291" s="3">
        <v>39</v>
      </c>
      <c r="F291" s="3" t="s">
        <v>52</v>
      </c>
      <c r="G291" s="3" t="s">
        <v>42</v>
      </c>
      <c r="H291" s="3" t="s">
        <v>491</v>
      </c>
      <c r="I291" s="3" t="s">
        <v>492</v>
      </c>
      <c r="J291" s="3" t="s">
        <v>1385</v>
      </c>
      <c r="K291" s="4">
        <v>45024</v>
      </c>
      <c r="L291" s="3" t="s">
        <v>1386</v>
      </c>
      <c r="M291" s="3" t="s">
        <v>62</v>
      </c>
      <c r="N291" s="3">
        <v>405</v>
      </c>
      <c r="O291" s="3">
        <v>4</v>
      </c>
      <c r="P291" s="3" t="s">
        <v>96</v>
      </c>
      <c r="Q291" s="3">
        <v>7</v>
      </c>
      <c r="R291" s="3">
        <v>70</v>
      </c>
      <c r="S291" s="4">
        <v>45029</v>
      </c>
      <c r="T291" s="3" t="s">
        <v>1387</v>
      </c>
      <c r="U291" s="5">
        <f>Table1[[#This Row],[Delivery_Date]]-Table1[[#This Row],[Order_Date]]</f>
        <v>5</v>
      </c>
      <c r="V291" s="5">
        <f>Table1[[#This Row],[Price]]*Table1[[#This Row],[Quantity]]</f>
        <v>1620</v>
      </c>
      <c r="W291" s="6" cm="1">
        <f t="array" ref="W291">_xlfn.IFS(
P291="FLAT8",8%,
P291="FLAT10",10%,
P291="FLAT15",15%,P291="FLAT20",20%,P291="DEL0",0%,
TRUE,0%
)</f>
        <v>0.1</v>
      </c>
      <c r="X291" s="5">
        <f>Table1[[#This Row],[Amount]]-(Table1[[#This Row],[Amount]]*Table1[[#This Row],[Discount_Percentage]])</f>
        <v>1458</v>
      </c>
      <c r="Y291" s="5">
        <f>IF(P291="DEL0",Table1[[#This Row],[Discount_Amount]],Table1[[#This Row],[Discount_Amount]]+Table1[[#This Row],[Delivery_Charge]])</f>
        <v>1528</v>
      </c>
      <c r="Z291" s="7" t="str">
        <f>_xlfn.CONCAT(Table1[[#This Row],[First_Name]],"  ",Table1[[#This Row],[Last_Name]])</f>
        <v>Mitchell  Parker</v>
      </c>
      <c r="AA291" s="5" t="str" cm="1">
        <f t="array" ref="AA291">_xlfn.IFS( (S291-K291)&gt;Q291,"Late", (S291-K291)=Q291,"InTime", (S291-K291)&lt;Q291,"BeforeTime" )</f>
        <v>BeforeTime</v>
      </c>
      <c r="AB291" s="3">
        <f>MONTH(Table1[[#This Row],[Order_Date]])</f>
        <v>4</v>
      </c>
    </row>
    <row r="292" spans="1:28" x14ac:dyDescent="0.3">
      <c r="A292" s="3" t="s">
        <v>401</v>
      </c>
      <c r="B292" s="3" t="s">
        <v>402</v>
      </c>
      <c r="C292" s="3" t="s">
        <v>403</v>
      </c>
      <c r="D292" s="3" t="str">
        <f>_xlfn.CONCAT(Table1[[#This Row],[First_Name]],Table1[[#This Row],[Last_Name]])</f>
        <v>AlexandraSmith</v>
      </c>
      <c r="E292" s="3">
        <v>70</v>
      </c>
      <c r="F292" s="3" t="s">
        <v>29</v>
      </c>
      <c r="G292" s="3" t="s">
        <v>30</v>
      </c>
      <c r="H292" s="3" t="s">
        <v>404</v>
      </c>
      <c r="I292" s="3" t="s">
        <v>405</v>
      </c>
      <c r="J292" s="3" t="s">
        <v>1388</v>
      </c>
      <c r="K292" s="4">
        <v>45455</v>
      </c>
      <c r="L292" s="3" t="s">
        <v>1389</v>
      </c>
      <c r="M292" s="3" t="s">
        <v>323</v>
      </c>
      <c r="N292" s="3">
        <v>481.48</v>
      </c>
      <c r="O292" s="3">
        <v>3</v>
      </c>
      <c r="P292" s="3" t="s">
        <v>85</v>
      </c>
      <c r="Q292" s="3">
        <v>5</v>
      </c>
      <c r="R292" s="3">
        <v>49</v>
      </c>
      <c r="S292" s="4">
        <v>45462</v>
      </c>
      <c r="T292" s="3" t="s">
        <v>1390</v>
      </c>
      <c r="U292" s="5">
        <f>Table1[[#This Row],[Delivery_Date]]-Table1[[#This Row],[Order_Date]]</f>
        <v>7</v>
      </c>
      <c r="V292" s="5">
        <f>Table1[[#This Row],[Price]]*Table1[[#This Row],[Quantity]]</f>
        <v>1444.44</v>
      </c>
      <c r="W292" s="6" cm="1">
        <f t="array" ref="W292">_xlfn.IFS(
P292="FLAT8",8%,
P292="FLAT10",10%,
P292="FLAT15",15%,P292="FLAT20",20%,P292="DEL0",0%,
TRUE,0%
)</f>
        <v>0.2</v>
      </c>
      <c r="X292" s="5">
        <f>Table1[[#This Row],[Amount]]-(Table1[[#This Row],[Amount]]*Table1[[#This Row],[Discount_Percentage]])</f>
        <v>1155.5520000000001</v>
      </c>
      <c r="Y292" s="5">
        <f>IF(P292="DEL0",Table1[[#This Row],[Discount_Amount]],Table1[[#This Row],[Discount_Amount]]+Table1[[#This Row],[Delivery_Charge]])</f>
        <v>1204.5520000000001</v>
      </c>
      <c r="Z292" s="7" t="str">
        <f>_xlfn.CONCAT(Table1[[#This Row],[First_Name]],"  ",Table1[[#This Row],[Last_Name]])</f>
        <v>Alexandra  Smith</v>
      </c>
      <c r="AA292" s="5" t="str" cm="1">
        <f t="array" ref="AA292">_xlfn.IFS( (S292-K292)&gt;Q292,"Late", (S292-K292)=Q292,"InTime", (S292-K292)&lt;Q292,"BeforeTime" )</f>
        <v>Late</v>
      </c>
      <c r="AB292" s="3">
        <f>MONTH(Table1[[#This Row],[Order_Date]])</f>
        <v>6</v>
      </c>
    </row>
    <row r="293" spans="1:28" x14ac:dyDescent="0.3">
      <c r="A293" s="3" t="s">
        <v>393</v>
      </c>
      <c r="B293" s="3" t="s">
        <v>394</v>
      </c>
      <c r="C293" s="3" t="s">
        <v>395</v>
      </c>
      <c r="D293" s="3" t="str">
        <f>_xlfn.CONCAT(Table1[[#This Row],[First_Name]],Table1[[#This Row],[Last_Name]])</f>
        <v>JasonLopez</v>
      </c>
      <c r="E293" s="3">
        <v>40</v>
      </c>
      <c r="F293" s="3" t="s">
        <v>52</v>
      </c>
      <c r="G293" s="3" t="s">
        <v>168</v>
      </c>
      <c r="H293" s="3" t="s">
        <v>396</v>
      </c>
      <c r="I293" s="3" t="s">
        <v>397</v>
      </c>
      <c r="J293" s="3" t="s">
        <v>1391</v>
      </c>
      <c r="K293" s="4">
        <v>45058</v>
      </c>
      <c r="L293" s="3" t="s">
        <v>1392</v>
      </c>
      <c r="M293" s="3" t="s">
        <v>563</v>
      </c>
      <c r="N293" s="3">
        <v>133.62</v>
      </c>
      <c r="O293" s="3">
        <v>2</v>
      </c>
      <c r="P293" s="3" t="s">
        <v>96</v>
      </c>
      <c r="Q293" s="3">
        <v>4</v>
      </c>
      <c r="R293" s="3">
        <v>36</v>
      </c>
      <c r="S293" s="4">
        <v>45059</v>
      </c>
      <c r="T293" s="3" t="s">
        <v>1393</v>
      </c>
      <c r="U293" s="5">
        <f>Table1[[#This Row],[Delivery_Date]]-Table1[[#This Row],[Order_Date]]</f>
        <v>1</v>
      </c>
      <c r="V293" s="5">
        <f>Table1[[#This Row],[Price]]*Table1[[#This Row],[Quantity]]</f>
        <v>267.24</v>
      </c>
      <c r="W293" s="6" cm="1">
        <f t="array" ref="W293">_xlfn.IFS(
P293="FLAT8",8%,
P293="FLAT10",10%,
P293="FLAT15",15%,P293="FLAT20",20%,P293="DEL0",0%,
TRUE,0%
)</f>
        <v>0.1</v>
      </c>
      <c r="X293" s="5">
        <f>Table1[[#This Row],[Amount]]-(Table1[[#This Row],[Amount]]*Table1[[#This Row],[Discount_Percentage]])</f>
        <v>240.51600000000002</v>
      </c>
      <c r="Y293" s="5">
        <f>IF(P293="DEL0",Table1[[#This Row],[Discount_Amount]],Table1[[#This Row],[Discount_Amount]]+Table1[[#This Row],[Delivery_Charge]])</f>
        <v>276.51600000000002</v>
      </c>
      <c r="Z293" s="7" t="str">
        <f>_xlfn.CONCAT(Table1[[#This Row],[First_Name]],"  ",Table1[[#This Row],[Last_Name]])</f>
        <v>Jason  Lopez</v>
      </c>
      <c r="AA293" s="5" t="str" cm="1">
        <f t="array" ref="AA293">_xlfn.IFS( (S293-K293)&gt;Q293,"Late", (S293-K293)=Q293,"InTime", (S293-K293)&lt;Q293,"BeforeTime" )</f>
        <v>BeforeTime</v>
      </c>
      <c r="AB293" s="3">
        <f>MONTH(Table1[[#This Row],[Order_Date]])</f>
        <v>5</v>
      </c>
    </row>
    <row r="294" spans="1:28" x14ac:dyDescent="0.3">
      <c r="A294" s="3" t="s">
        <v>1079</v>
      </c>
      <c r="B294" s="3" t="s">
        <v>218</v>
      </c>
      <c r="C294" s="3" t="s">
        <v>1080</v>
      </c>
      <c r="D294" s="3" t="str">
        <f>_xlfn.CONCAT(Table1[[#This Row],[First_Name]],Table1[[#This Row],[Last_Name]])</f>
        <v>MarkSummers</v>
      </c>
      <c r="E294" s="3">
        <v>55</v>
      </c>
      <c r="F294" s="3" t="s">
        <v>41</v>
      </c>
      <c r="G294" s="3" t="s">
        <v>159</v>
      </c>
      <c r="H294" s="3" t="s">
        <v>1081</v>
      </c>
      <c r="I294" s="3" t="s">
        <v>1082</v>
      </c>
      <c r="J294" s="3" t="s">
        <v>1394</v>
      </c>
      <c r="K294" s="4">
        <v>45414</v>
      </c>
      <c r="L294" s="3" t="s">
        <v>1395</v>
      </c>
      <c r="M294" s="3" t="s">
        <v>270</v>
      </c>
      <c r="N294" s="3">
        <v>62.42</v>
      </c>
      <c r="O294" s="3">
        <v>4</v>
      </c>
      <c r="P294" s="3" t="s">
        <v>96</v>
      </c>
      <c r="Q294" s="3">
        <v>6</v>
      </c>
      <c r="R294" s="3">
        <v>43</v>
      </c>
      <c r="S294" s="4">
        <v>45420</v>
      </c>
      <c r="T294" s="3" t="s">
        <v>1396</v>
      </c>
      <c r="U294" s="5">
        <f>Table1[[#This Row],[Delivery_Date]]-Table1[[#This Row],[Order_Date]]</f>
        <v>6</v>
      </c>
      <c r="V294" s="5">
        <f>Table1[[#This Row],[Price]]*Table1[[#This Row],[Quantity]]</f>
        <v>249.68</v>
      </c>
      <c r="W294" s="6" cm="1">
        <f t="array" ref="W294">_xlfn.IFS(
P294="FLAT8",8%,
P294="FLAT10",10%,
P294="FLAT15",15%,P294="FLAT20",20%,P294="DEL0",0%,
TRUE,0%
)</f>
        <v>0.1</v>
      </c>
      <c r="X294" s="5">
        <f>Table1[[#This Row],[Amount]]-(Table1[[#This Row],[Amount]]*Table1[[#This Row],[Discount_Percentage]])</f>
        <v>224.71199999999999</v>
      </c>
      <c r="Y294" s="5">
        <f>IF(P294="DEL0",Table1[[#This Row],[Discount_Amount]],Table1[[#This Row],[Discount_Amount]]+Table1[[#This Row],[Delivery_Charge]])</f>
        <v>267.71199999999999</v>
      </c>
      <c r="Z294" s="7" t="str">
        <f>_xlfn.CONCAT(Table1[[#This Row],[First_Name]],"  ",Table1[[#This Row],[Last_Name]])</f>
        <v>Mark  Summers</v>
      </c>
      <c r="AA294" s="5" t="str" cm="1">
        <f t="array" ref="AA294">_xlfn.IFS( (S294-K294)&gt;Q294,"Late", (S294-K294)=Q294,"InTime", (S294-K294)&lt;Q294,"BeforeTime" )</f>
        <v>InTime</v>
      </c>
      <c r="AB294" s="3">
        <f>MONTH(Table1[[#This Row],[Order_Date]])</f>
        <v>5</v>
      </c>
    </row>
    <row r="295" spans="1:28" x14ac:dyDescent="0.3">
      <c r="A295" s="3" t="s">
        <v>1168</v>
      </c>
      <c r="B295" s="3" t="s">
        <v>1169</v>
      </c>
      <c r="C295" s="3" t="s">
        <v>1170</v>
      </c>
      <c r="D295" s="3" t="str">
        <f>_xlfn.CONCAT(Table1[[#This Row],[First_Name]],Table1[[#This Row],[Last_Name]])</f>
        <v>MikeCarter</v>
      </c>
      <c r="E295" s="3">
        <v>59</v>
      </c>
      <c r="F295" s="3" t="s">
        <v>52</v>
      </c>
      <c r="G295" s="3" t="s">
        <v>168</v>
      </c>
      <c r="H295" s="3" t="s">
        <v>1171</v>
      </c>
      <c r="I295" s="3" t="s">
        <v>1172</v>
      </c>
      <c r="J295" s="3" t="s">
        <v>1397</v>
      </c>
      <c r="K295" s="4">
        <v>45527</v>
      </c>
      <c r="L295" s="3" t="s">
        <v>1398</v>
      </c>
      <c r="M295" s="3" t="s">
        <v>356</v>
      </c>
      <c r="N295" s="3">
        <v>496.59</v>
      </c>
      <c r="O295" s="3">
        <v>2</v>
      </c>
      <c r="P295" s="3" t="s">
        <v>36</v>
      </c>
      <c r="Q295" s="3">
        <v>3</v>
      </c>
      <c r="R295" s="3">
        <v>55</v>
      </c>
      <c r="S295" s="4">
        <v>45528</v>
      </c>
      <c r="T295" s="3" t="s">
        <v>1399</v>
      </c>
      <c r="U295" s="5">
        <f>Table1[[#This Row],[Delivery_Date]]-Table1[[#This Row],[Order_Date]]</f>
        <v>1</v>
      </c>
      <c r="V295" s="5">
        <f>Table1[[#This Row],[Price]]*Table1[[#This Row],[Quantity]]</f>
        <v>993.18</v>
      </c>
      <c r="W295" s="6" cm="1">
        <f t="array" ref="W295">_xlfn.IFS(
P295="FLAT8",8%,
P295="FLAT10",10%,
P295="FLAT15",15%,P295="FLAT20",20%,P295="DEL0",0%,
TRUE,0%
)</f>
        <v>0.08</v>
      </c>
      <c r="X295" s="5">
        <f>Table1[[#This Row],[Amount]]-(Table1[[#This Row],[Amount]]*Table1[[#This Row],[Discount_Percentage]])</f>
        <v>913.72559999999999</v>
      </c>
      <c r="Y295" s="5">
        <f>IF(P295="DEL0",Table1[[#This Row],[Discount_Amount]],Table1[[#This Row],[Discount_Amount]]+Table1[[#This Row],[Delivery_Charge]])</f>
        <v>968.72559999999999</v>
      </c>
      <c r="Z295" s="7" t="str">
        <f>_xlfn.CONCAT(Table1[[#This Row],[First_Name]],"  ",Table1[[#This Row],[Last_Name]])</f>
        <v>Mike  Carter</v>
      </c>
      <c r="AA295" s="5" t="str" cm="1">
        <f t="array" ref="AA295">_xlfn.IFS( (S295-K295)&gt;Q295,"Late", (S295-K295)=Q295,"InTime", (S295-K295)&lt;Q295,"BeforeTime" )</f>
        <v>BeforeTime</v>
      </c>
      <c r="AB295" s="3">
        <f>MONTH(Table1[[#This Row],[Order_Date]])</f>
        <v>8</v>
      </c>
    </row>
    <row r="296" spans="1:28" x14ac:dyDescent="0.3">
      <c r="A296" s="3" t="s">
        <v>520</v>
      </c>
      <c r="B296" s="3" t="s">
        <v>521</v>
      </c>
      <c r="C296" s="3" t="s">
        <v>522</v>
      </c>
      <c r="D296" s="3" t="str">
        <f>_xlfn.CONCAT(Table1[[#This Row],[First_Name]],Table1[[#This Row],[Last_Name]])</f>
        <v>KatherineWeber</v>
      </c>
      <c r="E296" s="3">
        <v>42</v>
      </c>
      <c r="F296" s="3" t="s">
        <v>52</v>
      </c>
      <c r="G296" s="3" t="s">
        <v>76</v>
      </c>
      <c r="H296" s="3" t="s">
        <v>523</v>
      </c>
      <c r="I296" s="3" t="s">
        <v>524</v>
      </c>
      <c r="J296" s="3" t="s">
        <v>1400</v>
      </c>
      <c r="K296" s="4">
        <v>45233</v>
      </c>
      <c r="L296" s="3" t="s">
        <v>1401</v>
      </c>
      <c r="M296" s="3" t="s">
        <v>383</v>
      </c>
      <c r="N296" s="3">
        <v>431.44</v>
      </c>
      <c r="O296" s="3">
        <v>4</v>
      </c>
      <c r="P296" s="3" t="s">
        <v>63</v>
      </c>
      <c r="Q296" s="3">
        <v>3</v>
      </c>
      <c r="R296" s="3">
        <v>65</v>
      </c>
      <c r="S296" s="4">
        <v>45239</v>
      </c>
      <c r="T296" s="3" t="s">
        <v>1402</v>
      </c>
      <c r="U296" s="5">
        <f>Table1[[#This Row],[Delivery_Date]]-Table1[[#This Row],[Order_Date]]</f>
        <v>6</v>
      </c>
      <c r="V296" s="5">
        <f>Table1[[#This Row],[Price]]*Table1[[#This Row],[Quantity]]</f>
        <v>1725.76</v>
      </c>
      <c r="W296" s="6" cm="1">
        <f t="array" ref="W296">_xlfn.IFS(
P296="FLAT8",8%,
P296="FLAT10",10%,
P296="FLAT15",15%,P296="FLAT20",20%,P296="DEL0",0%,
TRUE,0%
)</f>
        <v>0</v>
      </c>
      <c r="X296" s="5">
        <f>Table1[[#This Row],[Amount]]-(Table1[[#This Row],[Amount]]*Table1[[#This Row],[Discount_Percentage]])</f>
        <v>1725.76</v>
      </c>
      <c r="Y296" s="5">
        <f>IF(P296="DEL0",Table1[[#This Row],[Discount_Amount]],Table1[[#This Row],[Discount_Amount]]+Table1[[#This Row],[Delivery_Charge]])</f>
        <v>1725.76</v>
      </c>
      <c r="Z296" s="7" t="str">
        <f>_xlfn.CONCAT(Table1[[#This Row],[First_Name]],"  ",Table1[[#This Row],[Last_Name]])</f>
        <v>Katherine  Weber</v>
      </c>
      <c r="AA296" s="5" t="str" cm="1">
        <f t="array" ref="AA296">_xlfn.IFS( (S296-K296)&gt;Q296,"Late", (S296-K296)=Q296,"InTime", (S296-K296)&lt;Q296,"BeforeTime" )</f>
        <v>Late</v>
      </c>
      <c r="AB296" s="3">
        <f>MONTH(Table1[[#This Row],[Order_Date]])</f>
        <v>11</v>
      </c>
    </row>
    <row r="297" spans="1:28" x14ac:dyDescent="0.3">
      <c r="A297" s="3" t="s">
        <v>385</v>
      </c>
      <c r="B297" s="3" t="s">
        <v>386</v>
      </c>
      <c r="C297" s="3" t="s">
        <v>387</v>
      </c>
      <c r="D297" s="3" t="str">
        <f>_xlfn.CONCAT(Table1[[#This Row],[First_Name]],Table1[[#This Row],[Last_Name]])</f>
        <v>AaronThompson</v>
      </c>
      <c r="E297" s="3">
        <v>47</v>
      </c>
      <c r="F297" s="3" t="s">
        <v>41</v>
      </c>
      <c r="G297" s="3" t="s">
        <v>90</v>
      </c>
      <c r="H297" s="3" t="s">
        <v>388</v>
      </c>
      <c r="I297" s="3" t="s">
        <v>389</v>
      </c>
      <c r="J297" s="3" t="s">
        <v>1403</v>
      </c>
      <c r="K297" s="4">
        <v>45513</v>
      </c>
      <c r="L297" s="3" t="s">
        <v>1404</v>
      </c>
      <c r="M297" s="3" t="s">
        <v>686</v>
      </c>
      <c r="N297" s="3">
        <v>424.82</v>
      </c>
      <c r="O297" s="3">
        <v>2</v>
      </c>
      <c r="P297" s="3" t="s">
        <v>63</v>
      </c>
      <c r="Q297" s="3">
        <v>2</v>
      </c>
      <c r="R297" s="3">
        <v>57</v>
      </c>
      <c r="S297" s="4">
        <v>45520</v>
      </c>
      <c r="T297" s="3" t="s">
        <v>1405</v>
      </c>
      <c r="U297" s="5">
        <f>Table1[[#This Row],[Delivery_Date]]-Table1[[#This Row],[Order_Date]]</f>
        <v>7</v>
      </c>
      <c r="V297" s="5">
        <f>Table1[[#This Row],[Price]]*Table1[[#This Row],[Quantity]]</f>
        <v>849.64</v>
      </c>
      <c r="W297" s="6" cm="1">
        <f t="array" ref="W297">_xlfn.IFS(
P297="FLAT8",8%,
P297="FLAT10",10%,
P297="FLAT15",15%,P297="FLAT20",20%,P297="DEL0",0%,
TRUE,0%
)</f>
        <v>0</v>
      </c>
      <c r="X297" s="5">
        <f>Table1[[#This Row],[Amount]]-(Table1[[#This Row],[Amount]]*Table1[[#This Row],[Discount_Percentage]])</f>
        <v>849.64</v>
      </c>
      <c r="Y297" s="5">
        <f>IF(P297="DEL0",Table1[[#This Row],[Discount_Amount]],Table1[[#This Row],[Discount_Amount]]+Table1[[#This Row],[Delivery_Charge]])</f>
        <v>849.64</v>
      </c>
      <c r="Z297" s="7" t="str">
        <f>_xlfn.CONCAT(Table1[[#This Row],[First_Name]],"  ",Table1[[#This Row],[Last_Name]])</f>
        <v>Aaron  Thompson</v>
      </c>
      <c r="AA297" s="5" t="str" cm="1">
        <f t="array" ref="AA297">_xlfn.IFS( (S297-K297)&gt;Q297,"Late", (S297-K297)=Q297,"InTime", (S297-K297)&lt;Q297,"BeforeTime" )</f>
        <v>Late</v>
      </c>
      <c r="AB297" s="3">
        <f>MONTH(Table1[[#This Row],[Order_Date]])</f>
        <v>8</v>
      </c>
    </row>
    <row r="298" spans="1:28" x14ac:dyDescent="0.3">
      <c r="A298" s="3" t="s">
        <v>1079</v>
      </c>
      <c r="B298" s="3" t="s">
        <v>218</v>
      </c>
      <c r="C298" s="3" t="s">
        <v>1080</v>
      </c>
      <c r="D298" s="3" t="str">
        <f>_xlfn.CONCAT(Table1[[#This Row],[First_Name]],Table1[[#This Row],[Last_Name]])</f>
        <v>MarkSummers</v>
      </c>
      <c r="E298" s="3">
        <v>55</v>
      </c>
      <c r="F298" s="3" t="s">
        <v>41</v>
      </c>
      <c r="G298" s="3" t="s">
        <v>159</v>
      </c>
      <c r="H298" s="3" t="s">
        <v>1081</v>
      </c>
      <c r="I298" s="3" t="s">
        <v>1082</v>
      </c>
      <c r="J298" s="3" t="s">
        <v>1406</v>
      </c>
      <c r="K298" s="4">
        <v>45567</v>
      </c>
      <c r="L298" s="3" t="s">
        <v>1407</v>
      </c>
      <c r="M298" s="3" t="s">
        <v>495</v>
      </c>
      <c r="N298" s="3">
        <v>421.7</v>
      </c>
      <c r="O298" s="3">
        <v>3</v>
      </c>
      <c r="P298" s="3" t="s">
        <v>36</v>
      </c>
      <c r="Q298" s="3">
        <v>5</v>
      </c>
      <c r="R298" s="3">
        <v>54</v>
      </c>
      <c r="S298" s="4">
        <v>45571</v>
      </c>
      <c r="T298" s="3" t="s">
        <v>1408</v>
      </c>
      <c r="U298" s="5">
        <f>Table1[[#This Row],[Delivery_Date]]-Table1[[#This Row],[Order_Date]]</f>
        <v>4</v>
      </c>
      <c r="V298" s="5">
        <f>Table1[[#This Row],[Price]]*Table1[[#This Row],[Quantity]]</f>
        <v>1265.0999999999999</v>
      </c>
      <c r="W298" s="6" cm="1">
        <f t="array" ref="W298">_xlfn.IFS(
P298="FLAT8",8%,
P298="FLAT10",10%,
P298="FLAT15",15%,P298="FLAT20",20%,P298="DEL0",0%,
TRUE,0%
)</f>
        <v>0.08</v>
      </c>
      <c r="X298" s="5">
        <f>Table1[[#This Row],[Amount]]-(Table1[[#This Row],[Amount]]*Table1[[#This Row],[Discount_Percentage]])</f>
        <v>1163.8919999999998</v>
      </c>
      <c r="Y298" s="5">
        <f>IF(P298="DEL0",Table1[[#This Row],[Discount_Amount]],Table1[[#This Row],[Discount_Amount]]+Table1[[#This Row],[Delivery_Charge]])</f>
        <v>1217.8919999999998</v>
      </c>
      <c r="Z298" s="7" t="str">
        <f>_xlfn.CONCAT(Table1[[#This Row],[First_Name]],"  ",Table1[[#This Row],[Last_Name]])</f>
        <v>Mark  Summers</v>
      </c>
      <c r="AA298" s="5" t="str" cm="1">
        <f t="array" ref="AA298">_xlfn.IFS( (S298-K298)&gt;Q298,"Late", (S298-K298)=Q298,"InTime", (S298-K298)&lt;Q298,"BeforeTime" )</f>
        <v>BeforeTime</v>
      </c>
      <c r="AB298" s="3">
        <f>MONTH(Table1[[#This Row],[Order_Date]])</f>
        <v>10</v>
      </c>
    </row>
    <row r="299" spans="1:28" x14ac:dyDescent="0.3">
      <c r="A299" s="3" t="s">
        <v>1238</v>
      </c>
      <c r="B299" s="3" t="s">
        <v>1239</v>
      </c>
      <c r="C299" s="3" t="s">
        <v>1240</v>
      </c>
      <c r="D299" s="3" t="str">
        <f>_xlfn.CONCAT(Table1[[#This Row],[First_Name]],Table1[[#This Row],[Last_Name]])</f>
        <v>HannahGutierrez</v>
      </c>
      <c r="E299" s="3">
        <v>55</v>
      </c>
      <c r="F299" s="3" t="s">
        <v>41</v>
      </c>
      <c r="G299" s="3" t="s">
        <v>159</v>
      </c>
      <c r="H299" s="3" t="s">
        <v>1241</v>
      </c>
      <c r="I299" s="3" t="s">
        <v>1242</v>
      </c>
      <c r="J299" s="3" t="s">
        <v>1409</v>
      </c>
      <c r="K299" s="4">
        <v>45157</v>
      </c>
      <c r="L299" s="3" t="s">
        <v>1410</v>
      </c>
      <c r="M299" s="3" t="s">
        <v>344</v>
      </c>
      <c r="N299" s="3">
        <v>372.62</v>
      </c>
      <c r="O299" s="3">
        <v>1</v>
      </c>
      <c r="P299" s="3" t="s">
        <v>96</v>
      </c>
      <c r="Q299" s="3">
        <v>5</v>
      </c>
      <c r="R299" s="3">
        <v>45</v>
      </c>
      <c r="S299" s="4">
        <v>45164</v>
      </c>
      <c r="T299" s="3" t="s">
        <v>1411</v>
      </c>
      <c r="U299" s="5">
        <f>Table1[[#This Row],[Delivery_Date]]-Table1[[#This Row],[Order_Date]]</f>
        <v>7</v>
      </c>
      <c r="V299" s="5">
        <f>Table1[[#This Row],[Price]]*Table1[[#This Row],[Quantity]]</f>
        <v>372.62</v>
      </c>
      <c r="W299" s="6" cm="1">
        <f t="array" ref="W299">_xlfn.IFS(
P299="FLAT8",8%,
P299="FLAT10",10%,
P299="FLAT15",15%,P299="FLAT20",20%,P299="DEL0",0%,
TRUE,0%
)</f>
        <v>0.1</v>
      </c>
      <c r="X299" s="5">
        <f>Table1[[#This Row],[Amount]]-(Table1[[#This Row],[Amount]]*Table1[[#This Row],[Discount_Percentage]])</f>
        <v>335.358</v>
      </c>
      <c r="Y299" s="5">
        <f>IF(P299="DEL0",Table1[[#This Row],[Discount_Amount]],Table1[[#This Row],[Discount_Amount]]+Table1[[#This Row],[Delivery_Charge]])</f>
        <v>380.358</v>
      </c>
      <c r="Z299" s="7" t="str">
        <f>_xlfn.CONCAT(Table1[[#This Row],[First_Name]],"  ",Table1[[#This Row],[Last_Name]])</f>
        <v>Hannah  Gutierrez</v>
      </c>
      <c r="AA299" s="5" t="str" cm="1">
        <f t="array" ref="AA299">_xlfn.IFS( (S299-K299)&gt;Q299,"Late", (S299-K299)=Q299,"InTime", (S299-K299)&lt;Q299,"BeforeTime" )</f>
        <v>Late</v>
      </c>
      <c r="AB299" s="3">
        <f>MONTH(Table1[[#This Row],[Order_Date]])</f>
        <v>8</v>
      </c>
    </row>
    <row r="300" spans="1:28" x14ac:dyDescent="0.3">
      <c r="A300" s="3" t="s">
        <v>1210</v>
      </c>
      <c r="B300" s="3" t="s">
        <v>1211</v>
      </c>
      <c r="C300" s="3" t="s">
        <v>1212</v>
      </c>
      <c r="D300" s="3" t="str">
        <f>_xlfn.CONCAT(Table1[[#This Row],[First_Name]],Table1[[#This Row],[Last_Name]])</f>
        <v>BrendanKelly</v>
      </c>
      <c r="E300" s="3">
        <v>50</v>
      </c>
      <c r="F300" s="3" t="s">
        <v>52</v>
      </c>
      <c r="G300" s="3" t="s">
        <v>168</v>
      </c>
      <c r="H300" s="3" t="s">
        <v>1213</v>
      </c>
      <c r="I300" s="3" t="s">
        <v>1214</v>
      </c>
      <c r="J300" s="3" t="s">
        <v>1412</v>
      </c>
      <c r="K300" s="4">
        <v>45557</v>
      </c>
      <c r="L300" s="3" t="s">
        <v>1413</v>
      </c>
      <c r="M300" s="3" t="s">
        <v>182</v>
      </c>
      <c r="N300" s="3">
        <v>104.18</v>
      </c>
      <c r="O300" s="3">
        <v>1</v>
      </c>
      <c r="P300" s="3" t="s">
        <v>36</v>
      </c>
      <c r="Q300" s="3">
        <v>3</v>
      </c>
      <c r="R300" s="3">
        <v>60</v>
      </c>
      <c r="S300" s="4">
        <v>45563</v>
      </c>
      <c r="T300" s="3" t="s">
        <v>1414</v>
      </c>
      <c r="U300" s="5">
        <f>Table1[[#This Row],[Delivery_Date]]-Table1[[#This Row],[Order_Date]]</f>
        <v>6</v>
      </c>
      <c r="V300" s="5">
        <f>Table1[[#This Row],[Price]]*Table1[[#This Row],[Quantity]]</f>
        <v>104.18</v>
      </c>
      <c r="W300" s="6" cm="1">
        <f t="array" ref="W300">_xlfn.IFS(
P300="FLAT8",8%,
P300="FLAT10",10%,
P300="FLAT15",15%,P300="FLAT20",20%,P300="DEL0",0%,
TRUE,0%
)</f>
        <v>0.08</v>
      </c>
      <c r="X300" s="5">
        <f>Table1[[#This Row],[Amount]]-(Table1[[#This Row],[Amount]]*Table1[[#This Row],[Discount_Percentage]])</f>
        <v>95.845600000000005</v>
      </c>
      <c r="Y300" s="5">
        <f>IF(P300="DEL0",Table1[[#This Row],[Discount_Amount]],Table1[[#This Row],[Discount_Amount]]+Table1[[#This Row],[Delivery_Charge]])</f>
        <v>155.84559999999999</v>
      </c>
      <c r="Z300" s="7" t="str">
        <f>_xlfn.CONCAT(Table1[[#This Row],[First_Name]],"  ",Table1[[#This Row],[Last_Name]])</f>
        <v>Brendan  Kelly</v>
      </c>
      <c r="AA300" s="5" t="str" cm="1">
        <f t="array" ref="AA300">_xlfn.IFS( (S300-K300)&gt;Q300,"Late", (S300-K300)=Q300,"InTime", (S300-K300)&lt;Q300,"BeforeTime" )</f>
        <v>Late</v>
      </c>
      <c r="AB300" s="3">
        <f>MONTH(Table1[[#This Row],[Order_Date]])</f>
        <v>9</v>
      </c>
    </row>
    <row r="301" spans="1:28" x14ac:dyDescent="0.3">
      <c r="A301" s="3" t="s">
        <v>839</v>
      </c>
      <c r="B301" s="3" t="s">
        <v>840</v>
      </c>
      <c r="C301" s="3" t="s">
        <v>841</v>
      </c>
      <c r="D301" s="3" t="str">
        <f>_xlfn.CONCAT(Table1[[#This Row],[First_Name]],Table1[[#This Row],[Last_Name]])</f>
        <v>LeslieMontgomery</v>
      </c>
      <c r="E301" s="3">
        <v>26</v>
      </c>
      <c r="F301" s="3" t="s">
        <v>41</v>
      </c>
      <c r="G301" s="3" t="s">
        <v>159</v>
      </c>
      <c r="H301" s="3" t="s">
        <v>842</v>
      </c>
      <c r="I301" s="3" t="s">
        <v>843</v>
      </c>
      <c r="J301" s="3" t="s">
        <v>1415</v>
      </c>
      <c r="K301" s="4">
        <v>45104</v>
      </c>
      <c r="L301" s="3" t="s">
        <v>1416</v>
      </c>
      <c r="M301" s="3" t="s">
        <v>135</v>
      </c>
      <c r="N301" s="3">
        <v>175.93</v>
      </c>
      <c r="O301" s="3">
        <v>2</v>
      </c>
      <c r="P301" s="3" t="s">
        <v>36</v>
      </c>
      <c r="Q301" s="3">
        <v>5</v>
      </c>
      <c r="R301" s="3">
        <v>49</v>
      </c>
      <c r="S301" s="4">
        <v>45106</v>
      </c>
      <c r="T301" s="3" t="s">
        <v>1417</v>
      </c>
      <c r="U301" s="5">
        <f>Table1[[#This Row],[Delivery_Date]]-Table1[[#This Row],[Order_Date]]</f>
        <v>2</v>
      </c>
      <c r="V301" s="5">
        <f>Table1[[#This Row],[Price]]*Table1[[#This Row],[Quantity]]</f>
        <v>351.86</v>
      </c>
      <c r="W301" s="6" cm="1">
        <f t="array" ref="W301">_xlfn.IFS(
P301="FLAT8",8%,
P301="FLAT10",10%,
P301="FLAT15",15%,P301="FLAT20",20%,P301="DEL0",0%,
TRUE,0%
)</f>
        <v>0.08</v>
      </c>
      <c r="X301" s="5">
        <f>Table1[[#This Row],[Amount]]-(Table1[[#This Row],[Amount]]*Table1[[#This Row],[Discount_Percentage]])</f>
        <v>323.71120000000002</v>
      </c>
      <c r="Y301" s="5">
        <f>IF(P301="DEL0",Table1[[#This Row],[Discount_Amount]],Table1[[#This Row],[Discount_Amount]]+Table1[[#This Row],[Delivery_Charge]])</f>
        <v>372.71120000000002</v>
      </c>
      <c r="Z301" s="7" t="str">
        <f>_xlfn.CONCAT(Table1[[#This Row],[First_Name]],"  ",Table1[[#This Row],[Last_Name]])</f>
        <v>Leslie  Montgomery</v>
      </c>
      <c r="AA301" s="5" t="str" cm="1">
        <f t="array" ref="AA301">_xlfn.IFS( (S301-K301)&gt;Q301,"Late", (S301-K301)=Q301,"InTime", (S301-K301)&lt;Q301,"BeforeTime" )</f>
        <v>BeforeTime</v>
      </c>
      <c r="AB301" s="3">
        <f>MONTH(Table1[[#This Row],[Order_Date]])</f>
        <v>6</v>
      </c>
    </row>
    <row r="302" spans="1:28" x14ac:dyDescent="0.3">
      <c r="A302" s="3" t="s">
        <v>1103</v>
      </c>
      <c r="B302" s="3" t="s">
        <v>1104</v>
      </c>
      <c r="C302" s="3" t="s">
        <v>1105</v>
      </c>
      <c r="D302" s="3" t="str">
        <f>_xlfn.CONCAT(Table1[[#This Row],[First_Name]],Table1[[#This Row],[Last_Name]])</f>
        <v>GaryHuff</v>
      </c>
      <c r="E302" s="3">
        <v>18</v>
      </c>
      <c r="F302" s="3" t="s">
        <v>29</v>
      </c>
      <c r="G302" s="3" t="s">
        <v>76</v>
      </c>
      <c r="H302" s="3" t="s">
        <v>1106</v>
      </c>
      <c r="I302" s="3" t="s">
        <v>1107</v>
      </c>
      <c r="J302" s="3" t="s">
        <v>1418</v>
      </c>
      <c r="K302" s="4">
        <v>45563</v>
      </c>
      <c r="L302" s="3" t="s">
        <v>1419</v>
      </c>
      <c r="M302" s="3" t="s">
        <v>270</v>
      </c>
      <c r="N302" s="3">
        <v>62.42</v>
      </c>
      <c r="O302" s="3">
        <v>1</v>
      </c>
      <c r="P302" s="3" t="s">
        <v>36</v>
      </c>
      <c r="Q302" s="3">
        <v>3</v>
      </c>
      <c r="R302" s="3">
        <v>46</v>
      </c>
      <c r="S302" s="4">
        <v>45565</v>
      </c>
      <c r="T302" s="3" t="s">
        <v>1420</v>
      </c>
      <c r="U302" s="5">
        <f>Table1[[#This Row],[Delivery_Date]]-Table1[[#This Row],[Order_Date]]</f>
        <v>2</v>
      </c>
      <c r="V302" s="5">
        <f>Table1[[#This Row],[Price]]*Table1[[#This Row],[Quantity]]</f>
        <v>62.42</v>
      </c>
      <c r="W302" s="6" cm="1">
        <f t="array" ref="W302">_xlfn.IFS(
P302="FLAT8",8%,
P302="FLAT10",10%,
P302="FLAT15",15%,P302="FLAT20",20%,P302="DEL0",0%,
TRUE,0%
)</f>
        <v>0.08</v>
      </c>
      <c r="X302" s="5">
        <f>Table1[[#This Row],[Amount]]-(Table1[[#This Row],[Amount]]*Table1[[#This Row],[Discount_Percentage]])</f>
        <v>57.426400000000001</v>
      </c>
      <c r="Y302" s="5">
        <f>IF(P302="DEL0",Table1[[#This Row],[Discount_Amount]],Table1[[#This Row],[Discount_Amount]]+Table1[[#This Row],[Delivery_Charge]])</f>
        <v>103.4264</v>
      </c>
      <c r="Z302" s="7" t="str">
        <f>_xlfn.CONCAT(Table1[[#This Row],[First_Name]],"  ",Table1[[#This Row],[Last_Name]])</f>
        <v>Gary  Huff</v>
      </c>
      <c r="AA302" s="5" t="str" cm="1">
        <f t="array" ref="AA302">_xlfn.IFS( (S302-K302)&gt;Q302,"Late", (S302-K302)=Q302,"InTime", (S302-K302)&lt;Q302,"BeforeTime" )</f>
        <v>BeforeTime</v>
      </c>
      <c r="AB302" s="3">
        <f>MONTH(Table1[[#This Row],[Order_Date]])</f>
        <v>9</v>
      </c>
    </row>
    <row r="303" spans="1:28" x14ac:dyDescent="0.3">
      <c r="A303" s="3" t="s">
        <v>420</v>
      </c>
      <c r="B303" s="3" t="s">
        <v>421</v>
      </c>
      <c r="C303" s="3" t="s">
        <v>422</v>
      </c>
      <c r="D303" s="3" t="str">
        <f>_xlfn.CONCAT(Table1[[#This Row],[First_Name]],Table1[[#This Row],[Last_Name]])</f>
        <v>AmandaHoward</v>
      </c>
      <c r="E303" s="3">
        <v>52</v>
      </c>
      <c r="F303" s="3" t="s">
        <v>52</v>
      </c>
      <c r="G303" s="3" t="s">
        <v>220</v>
      </c>
      <c r="H303" s="3" t="s">
        <v>423</v>
      </c>
      <c r="I303" s="3" t="s">
        <v>424</v>
      </c>
      <c r="J303" s="3" t="s">
        <v>1421</v>
      </c>
      <c r="K303" s="4">
        <v>45279</v>
      </c>
      <c r="L303" s="3" t="s">
        <v>1422</v>
      </c>
      <c r="M303" s="3" t="s">
        <v>199</v>
      </c>
      <c r="N303" s="3">
        <v>20.7</v>
      </c>
      <c r="O303" s="3">
        <v>2</v>
      </c>
      <c r="P303" s="3" t="s">
        <v>36</v>
      </c>
      <c r="Q303" s="3">
        <v>7</v>
      </c>
      <c r="R303" s="3">
        <v>39</v>
      </c>
      <c r="S303" s="4">
        <v>45286</v>
      </c>
      <c r="T303" s="3" t="s">
        <v>1423</v>
      </c>
      <c r="U303" s="5">
        <f>Table1[[#This Row],[Delivery_Date]]-Table1[[#This Row],[Order_Date]]</f>
        <v>7</v>
      </c>
      <c r="V303" s="5">
        <f>Table1[[#This Row],[Price]]*Table1[[#This Row],[Quantity]]</f>
        <v>41.4</v>
      </c>
      <c r="W303" s="6" cm="1">
        <f t="array" ref="W303">_xlfn.IFS(
P303="FLAT8",8%,
P303="FLAT10",10%,
P303="FLAT15",15%,P303="FLAT20",20%,P303="DEL0",0%,
TRUE,0%
)</f>
        <v>0.08</v>
      </c>
      <c r="X303" s="5">
        <f>Table1[[#This Row],[Amount]]-(Table1[[#This Row],[Amount]]*Table1[[#This Row],[Discount_Percentage]])</f>
        <v>38.088000000000001</v>
      </c>
      <c r="Y303" s="5">
        <f>IF(P303="DEL0",Table1[[#This Row],[Discount_Amount]],Table1[[#This Row],[Discount_Amount]]+Table1[[#This Row],[Delivery_Charge]])</f>
        <v>77.087999999999994</v>
      </c>
      <c r="Z303" s="7" t="str">
        <f>_xlfn.CONCAT(Table1[[#This Row],[First_Name]],"  ",Table1[[#This Row],[Last_Name]])</f>
        <v>Amanda  Howard</v>
      </c>
      <c r="AA303" s="5" t="str" cm="1">
        <f t="array" ref="AA303">_xlfn.IFS( (S303-K303)&gt;Q303,"Late", (S303-K303)=Q303,"InTime", (S303-K303)&lt;Q303,"BeforeTime" )</f>
        <v>InTime</v>
      </c>
      <c r="AB303" s="3">
        <f>MONTH(Table1[[#This Row],[Order_Date]])</f>
        <v>12</v>
      </c>
    </row>
    <row r="304" spans="1:28" x14ac:dyDescent="0.3">
      <c r="A304" s="3" t="s">
        <v>156</v>
      </c>
      <c r="B304" s="3" t="s">
        <v>157</v>
      </c>
      <c r="C304" s="3" t="s">
        <v>158</v>
      </c>
      <c r="D304" s="3" t="str">
        <f>_xlfn.CONCAT(Table1[[#This Row],[First_Name]],Table1[[#This Row],[Last_Name]])</f>
        <v>JoshuaCampbell</v>
      </c>
      <c r="E304" s="3">
        <v>24</v>
      </c>
      <c r="F304" s="3" t="s">
        <v>29</v>
      </c>
      <c r="G304" s="3" t="s">
        <v>159</v>
      </c>
      <c r="H304" s="3" t="s">
        <v>160</v>
      </c>
      <c r="I304" s="3" t="s">
        <v>161</v>
      </c>
      <c r="J304" s="3" t="s">
        <v>1424</v>
      </c>
      <c r="K304" s="4">
        <v>45206</v>
      </c>
      <c r="L304" s="3" t="s">
        <v>1425</v>
      </c>
      <c r="M304" s="3" t="s">
        <v>145</v>
      </c>
      <c r="N304" s="3">
        <v>190.1</v>
      </c>
      <c r="O304" s="3">
        <v>1</v>
      </c>
      <c r="P304" s="3" t="s">
        <v>85</v>
      </c>
      <c r="Q304" s="3">
        <v>3</v>
      </c>
      <c r="R304" s="3">
        <v>63</v>
      </c>
      <c r="S304" s="4">
        <v>45207</v>
      </c>
      <c r="T304" s="3" t="s">
        <v>1426</v>
      </c>
      <c r="U304" s="5">
        <f>Table1[[#This Row],[Delivery_Date]]-Table1[[#This Row],[Order_Date]]</f>
        <v>1</v>
      </c>
      <c r="V304" s="5">
        <f>Table1[[#This Row],[Price]]*Table1[[#This Row],[Quantity]]</f>
        <v>190.1</v>
      </c>
      <c r="W304" s="6" cm="1">
        <f t="array" ref="W304">_xlfn.IFS(
P304="FLAT8",8%,
P304="FLAT10",10%,
P304="FLAT15",15%,P304="FLAT20",20%,P304="DEL0",0%,
TRUE,0%
)</f>
        <v>0.2</v>
      </c>
      <c r="X304" s="5">
        <f>Table1[[#This Row],[Amount]]-(Table1[[#This Row],[Amount]]*Table1[[#This Row],[Discount_Percentage]])</f>
        <v>152.07999999999998</v>
      </c>
      <c r="Y304" s="5">
        <f>IF(P304="DEL0",Table1[[#This Row],[Discount_Amount]],Table1[[#This Row],[Discount_Amount]]+Table1[[#This Row],[Delivery_Charge]])</f>
        <v>215.07999999999998</v>
      </c>
      <c r="Z304" s="7" t="str">
        <f>_xlfn.CONCAT(Table1[[#This Row],[First_Name]],"  ",Table1[[#This Row],[Last_Name]])</f>
        <v>Joshua  Campbell</v>
      </c>
      <c r="AA304" s="5" t="str" cm="1">
        <f t="array" ref="AA304">_xlfn.IFS( (S304-K304)&gt;Q304,"Late", (S304-K304)=Q304,"InTime", (S304-K304)&lt;Q304,"BeforeTime" )</f>
        <v>BeforeTime</v>
      </c>
      <c r="AB304" s="3">
        <f>MONTH(Table1[[#This Row],[Order_Date]])</f>
        <v>10</v>
      </c>
    </row>
    <row r="305" spans="1:28" x14ac:dyDescent="0.3">
      <c r="A305" s="3" t="s">
        <v>1191</v>
      </c>
      <c r="B305" s="3" t="s">
        <v>40</v>
      </c>
      <c r="C305" s="3" t="s">
        <v>1192</v>
      </c>
      <c r="D305" s="3" t="str">
        <f>_xlfn.CONCAT(Table1[[#This Row],[First_Name]],Table1[[#This Row],[Last_Name]])</f>
        <v>ThomasOwens</v>
      </c>
      <c r="E305" s="3">
        <v>34</v>
      </c>
      <c r="F305" s="3" t="s">
        <v>52</v>
      </c>
      <c r="G305" s="3" t="s">
        <v>220</v>
      </c>
      <c r="H305" s="3" t="s">
        <v>1193</v>
      </c>
      <c r="I305" s="3" t="s">
        <v>1194</v>
      </c>
      <c r="J305" s="3" t="s">
        <v>1427</v>
      </c>
      <c r="K305" s="4">
        <v>45324</v>
      </c>
      <c r="L305" s="3" t="s">
        <v>1428</v>
      </c>
      <c r="M305" s="3" t="s">
        <v>291</v>
      </c>
      <c r="N305" s="3">
        <v>158.53</v>
      </c>
      <c r="O305" s="3">
        <v>3</v>
      </c>
      <c r="P305" s="3" t="s">
        <v>85</v>
      </c>
      <c r="Q305" s="3">
        <v>6</v>
      </c>
      <c r="R305" s="3">
        <v>38</v>
      </c>
      <c r="S305" s="4">
        <v>45331</v>
      </c>
      <c r="T305" s="3" t="s">
        <v>1429</v>
      </c>
      <c r="U305" s="5">
        <f>Table1[[#This Row],[Delivery_Date]]-Table1[[#This Row],[Order_Date]]</f>
        <v>7</v>
      </c>
      <c r="V305" s="5">
        <f>Table1[[#This Row],[Price]]*Table1[[#This Row],[Quantity]]</f>
        <v>475.59000000000003</v>
      </c>
      <c r="W305" s="6" cm="1">
        <f t="array" ref="W305">_xlfn.IFS(
P305="FLAT8",8%,
P305="FLAT10",10%,
P305="FLAT15",15%,P305="FLAT20",20%,P305="DEL0",0%,
TRUE,0%
)</f>
        <v>0.2</v>
      </c>
      <c r="X305" s="5">
        <f>Table1[[#This Row],[Amount]]-(Table1[[#This Row],[Amount]]*Table1[[#This Row],[Discount_Percentage]])</f>
        <v>380.47200000000004</v>
      </c>
      <c r="Y305" s="5">
        <f>IF(P305="DEL0",Table1[[#This Row],[Discount_Amount]],Table1[[#This Row],[Discount_Amount]]+Table1[[#This Row],[Delivery_Charge]])</f>
        <v>418.47200000000004</v>
      </c>
      <c r="Z305" s="7" t="str">
        <f>_xlfn.CONCAT(Table1[[#This Row],[First_Name]],"  ",Table1[[#This Row],[Last_Name]])</f>
        <v>Thomas  Owens</v>
      </c>
      <c r="AA305" s="5" t="str" cm="1">
        <f t="array" ref="AA305">_xlfn.IFS( (S305-K305)&gt;Q305,"Late", (S305-K305)=Q305,"InTime", (S305-K305)&lt;Q305,"BeforeTime" )</f>
        <v>Late</v>
      </c>
      <c r="AB305" s="3">
        <f>MONTH(Table1[[#This Row],[Order_Date]])</f>
        <v>2</v>
      </c>
    </row>
    <row r="306" spans="1:28" x14ac:dyDescent="0.3">
      <c r="A306" s="3" t="s">
        <v>1221</v>
      </c>
      <c r="B306" s="3" t="s">
        <v>1222</v>
      </c>
      <c r="C306" s="3" t="s">
        <v>1223</v>
      </c>
      <c r="D306" s="3" t="str">
        <f>_xlfn.CONCAT(Table1[[#This Row],[First_Name]],Table1[[#This Row],[Last_Name]])</f>
        <v>JessicaRuiz</v>
      </c>
      <c r="E306" s="3">
        <v>19</v>
      </c>
      <c r="F306" s="3" t="s">
        <v>41</v>
      </c>
      <c r="G306" s="3" t="s">
        <v>76</v>
      </c>
      <c r="H306" s="3" t="s">
        <v>1224</v>
      </c>
      <c r="I306" s="3" t="s">
        <v>1225</v>
      </c>
      <c r="J306" s="3" t="s">
        <v>1430</v>
      </c>
      <c r="K306" s="4">
        <v>45272</v>
      </c>
      <c r="L306" s="3" t="s">
        <v>1431</v>
      </c>
      <c r="M306" s="3" t="s">
        <v>418</v>
      </c>
      <c r="N306" s="3">
        <v>44.5</v>
      </c>
      <c r="O306" s="3">
        <v>1</v>
      </c>
      <c r="P306" s="3" t="s">
        <v>96</v>
      </c>
      <c r="Q306" s="3">
        <v>4</v>
      </c>
      <c r="R306" s="3">
        <v>49</v>
      </c>
      <c r="S306" s="4">
        <v>45278</v>
      </c>
      <c r="T306" s="3" t="s">
        <v>1432</v>
      </c>
      <c r="U306" s="5">
        <f>Table1[[#This Row],[Delivery_Date]]-Table1[[#This Row],[Order_Date]]</f>
        <v>6</v>
      </c>
      <c r="V306" s="5">
        <f>Table1[[#This Row],[Price]]*Table1[[#This Row],[Quantity]]</f>
        <v>44.5</v>
      </c>
      <c r="W306" s="6" cm="1">
        <f t="array" ref="W306">_xlfn.IFS(
P306="FLAT8",8%,
P306="FLAT10",10%,
P306="FLAT15",15%,P306="FLAT20",20%,P306="DEL0",0%,
TRUE,0%
)</f>
        <v>0.1</v>
      </c>
      <c r="X306" s="5">
        <f>Table1[[#This Row],[Amount]]-(Table1[[#This Row],[Amount]]*Table1[[#This Row],[Discount_Percentage]])</f>
        <v>40.049999999999997</v>
      </c>
      <c r="Y306" s="5">
        <f>IF(P306="DEL0",Table1[[#This Row],[Discount_Amount]],Table1[[#This Row],[Discount_Amount]]+Table1[[#This Row],[Delivery_Charge]])</f>
        <v>89.05</v>
      </c>
      <c r="Z306" s="7" t="str">
        <f>_xlfn.CONCAT(Table1[[#This Row],[First_Name]],"  ",Table1[[#This Row],[Last_Name]])</f>
        <v>Jessica  Ruiz</v>
      </c>
      <c r="AA306" s="5" t="str" cm="1">
        <f t="array" ref="AA306">_xlfn.IFS( (S306-K306)&gt;Q306,"Late", (S306-K306)=Q306,"InTime", (S306-K306)&lt;Q306,"BeforeTime" )</f>
        <v>Late</v>
      </c>
      <c r="AB306" s="3">
        <f>MONTH(Table1[[#This Row],[Order_Date]])</f>
        <v>12</v>
      </c>
    </row>
    <row r="307" spans="1:28" x14ac:dyDescent="0.3">
      <c r="A307" s="3" t="s">
        <v>325</v>
      </c>
      <c r="B307" s="3" t="s">
        <v>326</v>
      </c>
      <c r="C307" s="3" t="s">
        <v>327</v>
      </c>
      <c r="D307" s="3" t="str">
        <f>_xlfn.CONCAT(Table1[[#This Row],[First_Name]],Table1[[#This Row],[Last_Name]])</f>
        <v>CourtneyParker</v>
      </c>
      <c r="E307" s="3">
        <v>29</v>
      </c>
      <c r="F307" s="3" t="s">
        <v>52</v>
      </c>
      <c r="G307" s="3" t="s">
        <v>90</v>
      </c>
      <c r="H307" s="3" t="s">
        <v>328</v>
      </c>
      <c r="I307" s="3" t="s">
        <v>329</v>
      </c>
      <c r="J307" s="3" t="s">
        <v>1433</v>
      </c>
      <c r="K307" s="4">
        <v>45616</v>
      </c>
      <c r="L307" s="3" t="s">
        <v>1434</v>
      </c>
      <c r="M307" s="3" t="s">
        <v>308</v>
      </c>
      <c r="N307" s="3">
        <v>129.75</v>
      </c>
      <c r="O307" s="3">
        <v>2</v>
      </c>
      <c r="P307" s="3" t="s">
        <v>63</v>
      </c>
      <c r="Q307" s="3">
        <v>4</v>
      </c>
      <c r="R307" s="3">
        <v>53</v>
      </c>
      <c r="S307" s="4">
        <v>45620</v>
      </c>
      <c r="T307" s="3" t="s">
        <v>1435</v>
      </c>
      <c r="U307" s="5">
        <f>Table1[[#This Row],[Delivery_Date]]-Table1[[#This Row],[Order_Date]]</f>
        <v>4</v>
      </c>
      <c r="V307" s="5">
        <f>Table1[[#This Row],[Price]]*Table1[[#This Row],[Quantity]]</f>
        <v>259.5</v>
      </c>
      <c r="W307" s="6" cm="1">
        <f t="array" ref="W307">_xlfn.IFS(
P307="FLAT8",8%,
P307="FLAT10",10%,
P307="FLAT15",15%,P307="FLAT20",20%,P307="DEL0",0%,
TRUE,0%
)</f>
        <v>0</v>
      </c>
      <c r="X307" s="5">
        <f>Table1[[#This Row],[Amount]]-(Table1[[#This Row],[Amount]]*Table1[[#This Row],[Discount_Percentage]])</f>
        <v>259.5</v>
      </c>
      <c r="Y307" s="5">
        <f>IF(P307="DEL0",Table1[[#This Row],[Discount_Amount]],Table1[[#This Row],[Discount_Amount]]+Table1[[#This Row],[Delivery_Charge]])</f>
        <v>259.5</v>
      </c>
      <c r="Z307" s="7" t="str">
        <f>_xlfn.CONCAT(Table1[[#This Row],[First_Name]],"  ",Table1[[#This Row],[Last_Name]])</f>
        <v>Courtney  Parker</v>
      </c>
      <c r="AA307" s="5" t="str" cm="1">
        <f t="array" ref="AA307">_xlfn.IFS( (S307-K307)&gt;Q307,"Late", (S307-K307)=Q307,"InTime", (S307-K307)&lt;Q307,"BeforeTime" )</f>
        <v>InTime</v>
      </c>
      <c r="AB307" s="3">
        <f>MONTH(Table1[[#This Row],[Order_Date]])</f>
        <v>11</v>
      </c>
    </row>
    <row r="308" spans="1:28" x14ac:dyDescent="0.3">
      <c r="A308" s="3" t="s">
        <v>1079</v>
      </c>
      <c r="B308" s="3" t="s">
        <v>218</v>
      </c>
      <c r="C308" s="3" t="s">
        <v>1080</v>
      </c>
      <c r="D308" s="3" t="str">
        <f>_xlfn.CONCAT(Table1[[#This Row],[First_Name]],Table1[[#This Row],[Last_Name]])</f>
        <v>MarkSummers</v>
      </c>
      <c r="E308" s="3">
        <v>55</v>
      </c>
      <c r="F308" s="3" t="s">
        <v>41</v>
      </c>
      <c r="G308" s="3" t="s">
        <v>159</v>
      </c>
      <c r="H308" s="3" t="s">
        <v>1081</v>
      </c>
      <c r="I308" s="3" t="s">
        <v>1082</v>
      </c>
      <c r="J308" s="3" t="s">
        <v>1436</v>
      </c>
      <c r="K308" s="4">
        <v>45324</v>
      </c>
      <c r="L308" s="3" t="s">
        <v>1437</v>
      </c>
      <c r="M308" s="3" t="s">
        <v>135</v>
      </c>
      <c r="N308" s="3">
        <v>175.93</v>
      </c>
      <c r="O308" s="3">
        <v>2</v>
      </c>
      <c r="P308" s="3" t="s">
        <v>63</v>
      </c>
      <c r="Q308" s="3">
        <v>6</v>
      </c>
      <c r="R308" s="3">
        <v>50</v>
      </c>
      <c r="S308" s="4">
        <v>45325</v>
      </c>
      <c r="T308" s="3" t="s">
        <v>1438</v>
      </c>
      <c r="U308" s="5">
        <f>Table1[[#This Row],[Delivery_Date]]-Table1[[#This Row],[Order_Date]]</f>
        <v>1</v>
      </c>
      <c r="V308" s="5">
        <f>Table1[[#This Row],[Price]]*Table1[[#This Row],[Quantity]]</f>
        <v>351.86</v>
      </c>
      <c r="W308" s="6" cm="1">
        <f t="array" ref="W308">_xlfn.IFS(
P308="FLAT8",8%,
P308="FLAT10",10%,
P308="FLAT15",15%,P308="FLAT20",20%,P308="DEL0",0%,
TRUE,0%
)</f>
        <v>0</v>
      </c>
      <c r="X308" s="5">
        <f>Table1[[#This Row],[Amount]]-(Table1[[#This Row],[Amount]]*Table1[[#This Row],[Discount_Percentage]])</f>
        <v>351.86</v>
      </c>
      <c r="Y308" s="5">
        <f>IF(P308="DEL0",Table1[[#This Row],[Discount_Amount]],Table1[[#This Row],[Discount_Amount]]+Table1[[#This Row],[Delivery_Charge]])</f>
        <v>351.86</v>
      </c>
      <c r="Z308" s="7" t="str">
        <f>_xlfn.CONCAT(Table1[[#This Row],[First_Name]],"  ",Table1[[#This Row],[Last_Name]])</f>
        <v>Mark  Summers</v>
      </c>
      <c r="AA308" s="5" t="str" cm="1">
        <f t="array" ref="AA308">_xlfn.IFS( (S308-K308)&gt;Q308,"Late", (S308-K308)=Q308,"InTime", (S308-K308)&lt;Q308,"BeforeTime" )</f>
        <v>BeforeTime</v>
      </c>
      <c r="AB308" s="3">
        <f>MONTH(Table1[[#This Row],[Order_Date]])</f>
        <v>2</v>
      </c>
    </row>
    <row r="309" spans="1:28" x14ac:dyDescent="0.3">
      <c r="A309" s="3" t="s">
        <v>847</v>
      </c>
      <c r="B309" s="3" t="s">
        <v>848</v>
      </c>
      <c r="C309" s="3" t="s">
        <v>387</v>
      </c>
      <c r="D309" s="3" t="str">
        <f>_xlfn.CONCAT(Table1[[#This Row],[First_Name]],Table1[[#This Row],[Last_Name]])</f>
        <v>SusanThompson</v>
      </c>
      <c r="E309" s="3">
        <v>37</v>
      </c>
      <c r="F309" s="3" t="s">
        <v>52</v>
      </c>
      <c r="G309" s="3" t="s">
        <v>220</v>
      </c>
      <c r="H309" s="3" t="s">
        <v>849</v>
      </c>
      <c r="I309" s="3" t="s">
        <v>850</v>
      </c>
      <c r="J309" s="3" t="s">
        <v>1439</v>
      </c>
      <c r="K309" s="4">
        <v>45671</v>
      </c>
      <c r="L309" s="3" t="s">
        <v>1440</v>
      </c>
      <c r="M309" s="3" t="s">
        <v>495</v>
      </c>
      <c r="N309" s="3">
        <v>421.7</v>
      </c>
      <c r="O309" s="3">
        <v>5</v>
      </c>
      <c r="P309" s="3" t="s">
        <v>58</v>
      </c>
      <c r="Q309" s="3">
        <v>2</v>
      </c>
      <c r="R309" s="3">
        <v>56</v>
      </c>
      <c r="S309" s="4">
        <v>45674</v>
      </c>
      <c r="T309" s="3" t="s">
        <v>1441</v>
      </c>
      <c r="U309" s="5">
        <f>Table1[[#This Row],[Delivery_Date]]-Table1[[#This Row],[Order_Date]]</f>
        <v>3</v>
      </c>
      <c r="V309" s="5">
        <f>Table1[[#This Row],[Price]]*Table1[[#This Row],[Quantity]]</f>
        <v>2108.5</v>
      </c>
      <c r="W309" s="6" cm="1">
        <f t="array" ref="W309">_xlfn.IFS(
P309="FLAT8",8%,
P309="FLAT10",10%,
P309="FLAT15",15%,P309="FLAT20",20%,P309="DEL0",0%,
TRUE,0%
)</f>
        <v>0.15</v>
      </c>
      <c r="X309" s="5">
        <f>Table1[[#This Row],[Amount]]-(Table1[[#This Row],[Amount]]*Table1[[#This Row],[Discount_Percentage]])</f>
        <v>1792.2249999999999</v>
      </c>
      <c r="Y309" s="5">
        <f>IF(P309="DEL0",Table1[[#This Row],[Discount_Amount]],Table1[[#This Row],[Discount_Amount]]+Table1[[#This Row],[Delivery_Charge]])</f>
        <v>1848.2249999999999</v>
      </c>
      <c r="Z309" s="7" t="str">
        <f>_xlfn.CONCAT(Table1[[#This Row],[First_Name]],"  ",Table1[[#This Row],[Last_Name]])</f>
        <v>Susan  Thompson</v>
      </c>
      <c r="AA309" s="5" t="str" cm="1">
        <f t="array" ref="AA309">_xlfn.IFS( (S309-K309)&gt;Q309,"Late", (S309-K309)=Q309,"InTime", (S309-K309)&lt;Q309,"BeforeTime" )</f>
        <v>Late</v>
      </c>
      <c r="AB309" s="3">
        <f>MONTH(Table1[[#This Row],[Order_Date]])</f>
        <v>1</v>
      </c>
    </row>
    <row r="310" spans="1:28" x14ac:dyDescent="0.3">
      <c r="A310" s="3" t="s">
        <v>592</v>
      </c>
      <c r="B310" s="3" t="s">
        <v>593</v>
      </c>
      <c r="C310" s="3" t="s">
        <v>594</v>
      </c>
      <c r="D310" s="3" t="str">
        <f>_xlfn.CONCAT(Table1[[#This Row],[First_Name]],Table1[[#This Row],[Last_Name]])</f>
        <v>WilliamMann</v>
      </c>
      <c r="E310" s="3">
        <v>21</v>
      </c>
      <c r="F310" s="3" t="s">
        <v>29</v>
      </c>
      <c r="G310" s="3" t="s">
        <v>42</v>
      </c>
      <c r="H310" s="3" t="s">
        <v>595</v>
      </c>
      <c r="I310" s="3" t="s">
        <v>596</v>
      </c>
      <c r="J310" s="3" t="s">
        <v>1442</v>
      </c>
      <c r="K310" s="4">
        <v>45064</v>
      </c>
      <c r="L310" s="3" t="s">
        <v>1443</v>
      </c>
      <c r="M310" s="3" t="s">
        <v>637</v>
      </c>
      <c r="N310" s="3">
        <v>445.81</v>
      </c>
      <c r="O310" s="3">
        <v>1</v>
      </c>
      <c r="P310" s="3" t="s">
        <v>85</v>
      </c>
      <c r="Q310" s="3">
        <v>7</v>
      </c>
      <c r="R310" s="3">
        <v>41</v>
      </c>
      <c r="S310" s="4">
        <v>45071</v>
      </c>
      <c r="T310" s="3" t="s">
        <v>1444</v>
      </c>
      <c r="U310" s="5">
        <f>Table1[[#This Row],[Delivery_Date]]-Table1[[#This Row],[Order_Date]]</f>
        <v>7</v>
      </c>
      <c r="V310" s="5">
        <f>Table1[[#This Row],[Price]]*Table1[[#This Row],[Quantity]]</f>
        <v>445.81</v>
      </c>
      <c r="W310" s="6" cm="1">
        <f t="array" ref="W310">_xlfn.IFS(
P310="FLAT8",8%,
P310="FLAT10",10%,
P310="FLAT15",15%,P310="FLAT20",20%,P310="DEL0",0%,
TRUE,0%
)</f>
        <v>0.2</v>
      </c>
      <c r="X310" s="5">
        <f>Table1[[#This Row],[Amount]]-(Table1[[#This Row],[Amount]]*Table1[[#This Row],[Discount_Percentage]])</f>
        <v>356.64800000000002</v>
      </c>
      <c r="Y310" s="5">
        <f>IF(P310="DEL0",Table1[[#This Row],[Discount_Amount]],Table1[[#This Row],[Discount_Amount]]+Table1[[#This Row],[Delivery_Charge]])</f>
        <v>397.64800000000002</v>
      </c>
      <c r="Z310" s="7" t="str">
        <f>_xlfn.CONCAT(Table1[[#This Row],[First_Name]],"  ",Table1[[#This Row],[Last_Name]])</f>
        <v>William  Mann</v>
      </c>
      <c r="AA310" s="5" t="str" cm="1">
        <f t="array" ref="AA310">_xlfn.IFS( (S310-K310)&gt;Q310,"Late", (S310-K310)=Q310,"InTime", (S310-K310)&lt;Q310,"BeforeTime" )</f>
        <v>InTime</v>
      </c>
      <c r="AB310" s="3">
        <f>MONTH(Table1[[#This Row],[Order_Date]])</f>
        <v>5</v>
      </c>
    </row>
    <row r="311" spans="1:28" x14ac:dyDescent="0.3">
      <c r="A311" s="3" t="s">
        <v>679</v>
      </c>
      <c r="B311" s="3" t="s">
        <v>680</v>
      </c>
      <c r="C311" s="3" t="s">
        <v>681</v>
      </c>
      <c r="D311" s="3" t="str">
        <f>_xlfn.CONCAT(Table1[[#This Row],[First_Name]],Table1[[#This Row],[Last_Name]])</f>
        <v>TroyGomez</v>
      </c>
      <c r="E311" s="3">
        <v>68</v>
      </c>
      <c r="F311" s="3" t="s">
        <v>29</v>
      </c>
      <c r="G311" s="3" t="s">
        <v>220</v>
      </c>
      <c r="H311" s="3" t="s">
        <v>682</v>
      </c>
      <c r="I311" s="3" t="s">
        <v>683</v>
      </c>
      <c r="J311" s="3" t="s">
        <v>1445</v>
      </c>
      <c r="K311" s="4">
        <v>44973</v>
      </c>
      <c r="L311" s="3" t="s">
        <v>1446</v>
      </c>
      <c r="M311" s="3" t="s">
        <v>553</v>
      </c>
      <c r="N311" s="3">
        <v>425.59</v>
      </c>
      <c r="O311" s="3">
        <v>2</v>
      </c>
      <c r="P311" s="3" t="s">
        <v>63</v>
      </c>
      <c r="Q311" s="3">
        <v>2</v>
      </c>
      <c r="R311" s="3">
        <v>67</v>
      </c>
      <c r="S311" s="4">
        <v>44977</v>
      </c>
      <c r="T311" s="3" t="s">
        <v>1447</v>
      </c>
      <c r="U311" s="5">
        <f>Table1[[#This Row],[Delivery_Date]]-Table1[[#This Row],[Order_Date]]</f>
        <v>4</v>
      </c>
      <c r="V311" s="5">
        <f>Table1[[#This Row],[Price]]*Table1[[#This Row],[Quantity]]</f>
        <v>851.18</v>
      </c>
      <c r="W311" s="6" cm="1">
        <f t="array" ref="W311">_xlfn.IFS(
P311="FLAT8",8%,
P311="FLAT10",10%,
P311="FLAT15",15%,P311="FLAT20",20%,P311="DEL0",0%,
TRUE,0%
)</f>
        <v>0</v>
      </c>
      <c r="X311" s="5">
        <f>Table1[[#This Row],[Amount]]-(Table1[[#This Row],[Amount]]*Table1[[#This Row],[Discount_Percentage]])</f>
        <v>851.18</v>
      </c>
      <c r="Y311" s="5">
        <f>IF(P311="DEL0",Table1[[#This Row],[Discount_Amount]],Table1[[#This Row],[Discount_Amount]]+Table1[[#This Row],[Delivery_Charge]])</f>
        <v>851.18</v>
      </c>
      <c r="Z311" s="7" t="str">
        <f>_xlfn.CONCAT(Table1[[#This Row],[First_Name]],"  ",Table1[[#This Row],[Last_Name]])</f>
        <v>Troy  Gomez</v>
      </c>
      <c r="AA311" s="5" t="str" cm="1">
        <f t="array" ref="AA311">_xlfn.IFS( (S311-K311)&gt;Q311,"Late", (S311-K311)=Q311,"InTime", (S311-K311)&lt;Q311,"BeforeTime" )</f>
        <v>Late</v>
      </c>
      <c r="AB311" s="3">
        <f>MONTH(Table1[[#This Row],[Order_Date]])</f>
        <v>2</v>
      </c>
    </row>
    <row r="312" spans="1:28" x14ac:dyDescent="0.3">
      <c r="A312" s="3" t="s">
        <v>358</v>
      </c>
      <c r="B312" s="3" t="s">
        <v>359</v>
      </c>
      <c r="C312" s="3" t="s">
        <v>360</v>
      </c>
      <c r="D312" s="3" t="str">
        <f>_xlfn.CONCAT(Table1[[#This Row],[First_Name]],Table1[[#This Row],[Last_Name]])</f>
        <v>RobertCastillo</v>
      </c>
      <c r="E312" s="3">
        <v>32</v>
      </c>
      <c r="F312" s="3" t="s">
        <v>41</v>
      </c>
      <c r="G312" s="3" t="s">
        <v>168</v>
      </c>
      <c r="H312" s="3" t="s">
        <v>361</v>
      </c>
      <c r="I312" s="3" t="s">
        <v>362</v>
      </c>
      <c r="J312" s="3" t="s">
        <v>1448</v>
      </c>
      <c r="K312" s="4">
        <v>45515</v>
      </c>
      <c r="L312" s="3" t="s">
        <v>1449</v>
      </c>
      <c r="M312" s="3" t="s">
        <v>553</v>
      </c>
      <c r="N312" s="3">
        <v>425.59</v>
      </c>
      <c r="O312" s="3">
        <v>1</v>
      </c>
      <c r="P312" s="3" t="s">
        <v>36</v>
      </c>
      <c r="Q312" s="3">
        <v>1</v>
      </c>
      <c r="R312" s="3">
        <v>62</v>
      </c>
      <c r="S312" s="4">
        <v>45518</v>
      </c>
      <c r="T312" s="3" t="s">
        <v>1450</v>
      </c>
      <c r="U312" s="5">
        <f>Table1[[#This Row],[Delivery_Date]]-Table1[[#This Row],[Order_Date]]</f>
        <v>3</v>
      </c>
      <c r="V312" s="5">
        <f>Table1[[#This Row],[Price]]*Table1[[#This Row],[Quantity]]</f>
        <v>425.59</v>
      </c>
      <c r="W312" s="6" cm="1">
        <f t="array" ref="W312">_xlfn.IFS(
P312="FLAT8",8%,
P312="FLAT10",10%,
P312="FLAT15",15%,P312="FLAT20",20%,P312="DEL0",0%,
TRUE,0%
)</f>
        <v>0.08</v>
      </c>
      <c r="X312" s="5">
        <f>Table1[[#This Row],[Amount]]-(Table1[[#This Row],[Amount]]*Table1[[#This Row],[Discount_Percentage]])</f>
        <v>391.5428</v>
      </c>
      <c r="Y312" s="5">
        <f>IF(P312="DEL0",Table1[[#This Row],[Discount_Amount]],Table1[[#This Row],[Discount_Amount]]+Table1[[#This Row],[Delivery_Charge]])</f>
        <v>453.5428</v>
      </c>
      <c r="Z312" s="7" t="str">
        <f>_xlfn.CONCAT(Table1[[#This Row],[First_Name]],"  ",Table1[[#This Row],[Last_Name]])</f>
        <v>Robert  Castillo</v>
      </c>
      <c r="AA312" s="5" t="str" cm="1">
        <f t="array" ref="AA312">_xlfn.IFS( (S312-K312)&gt;Q312,"Late", (S312-K312)=Q312,"InTime", (S312-K312)&lt;Q312,"BeforeTime" )</f>
        <v>Late</v>
      </c>
      <c r="AB312" s="3">
        <f>MONTH(Table1[[#This Row],[Order_Date]])</f>
        <v>8</v>
      </c>
    </row>
    <row r="313" spans="1:28" x14ac:dyDescent="0.3">
      <c r="A313" s="3" t="s">
        <v>1079</v>
      </c>
      <c r="B313" s="3" t="s">
        <v>218</v>
      </c>
      <c r="C313" s="3" t="s">
        <v>1080</v>
      </c>
      <c r="D313" s="3" t="str">
        <f>_xlfn.CONCAT(Table1[[#This Row],[First_Name]],Table1[[#This Row],[Last_Name]])</f>
        <v>MarkSummers</v>
      </c>
      <c r="E313" s="3">
        <v>55</v>
      </c>
      <c r="F313" s="3" t="s">
        <v>41</v>
      </c>
      <c r="G313" s="3" t="s">
        <v>159</v>
      </c>
      <c r="H313" s="3" t="s">
        <v>1081</v>
      </c>
      <c r="I313" s="3" t="s">
        <v>1082</v>
      </c>
      <c r="J313" s="3" t="s">
        <v>1451</v>
      </c>
      <c r="K313" s="4">
        <v>44976</v>
      </c>
      <c r="L313" s="3" t="s">
        <v>1452</v>
      </c>
      <c r="M313" s="3" t="s">
        <v>250</v>
      </c>
      <c r="N313" s="3">
        <v>128.13999999999999</v>
      </c>
      <c r="O313" s="3">
        <v>1</v>
      </c>
      <c r="P313" s="3" t="s">
        <v>96</v>
      </c>
      <c r="Q313" s="3">
        <v>1</v>
      </c>
      <c r="R313" s="3">
        <v>39</v>
      </c>
      <c r="S313" s="4">
        <v>44982</v>
      </c>
      <c r="T313" s="3" t="s">
        <v>1453</v>
      </c>
      <c r="U313" s="5">
        <f>Table1[[#This Row],[Delivery_Date]]-Table1[[#This Row],[Order_Date]]</f>
        <v>6</v>
      </c>
      <c r="V313" s="5">
        <f>Table1[[#This Row],[Price]]*Table1[[#This Row],[Quantity]]</f>
        <v>128.13999999999999</v>
      </c>
      <c r="W313" s="6" cm="1">
        <f t="array" ref="W313">_xlfn.IFS(
P313="FLAT8",8%,
P313="FLAT10",10%,
P313="FLAT15",15%,P313="FLAT20",20%,P313="DEL0",0%,
TRUE,0%
)</f>
        <v>0.1</v>
      </c>
      <c r="X313" s="5">
        <f>Table1[[#This Row],[Amount]]-(Table1[[#This Row],[Amount]]*Table1[[#This Row],[Discount_Percentage]])</f>
        <v>115.32599999999999</v>
      </c>
      <c r="Y313" s="5">
        <f>IF(P313="DEL0",Table1[[#This Row],[Discount_Amount]],Table1[[#This Row],[Discount_Amount]]+Table1[[#This Row],[Delivery_Charge]])</f>
        <v>154.32599999999999</v>
      </c>
      <c r="Z313" s="7" t="str">
        <f>_xlfn.CONCAT(Table1[[#This Row],[First_Name]],"  ",Table1[[#This Row],[Last_Name]])</f>
        <v>Mark  Summers</v>
      </c>
      <c r="AA313" s="5" t="str" cm="1">
        <f t="array" ref="AA313">_xlfn.IFS( (S313-K313)&gt;Q313,"Late", (S313-K313)=Q313,"InTime", (S313-K313)&lt;Q313,"BeforeTime" )</f>
        <v>Late</v>
      </c>
      <c r="AB313" s="3">
        <f>MONTH(Table1[[#This Row],[Order_Date]])</f>
        <v>2</v>
      </c>
    </row>
    <row r="314" spans="1:28" x14ac:dyDescent="0.3">
      <c r="A314" s="3" t="s">
        <v>1210</v>
      </c>
      <c r="B314" s="3" t="s">
        <v>1211</v>
      </c>
      <c r="C314" s="3" t="s">
        <v>1212</v>
      </c>
      <c r="D314" s="3" t="str">
        <f>_xlfn.CONCAT(Table1[[#This Row],[First_Name]],Table1[[#This Row],[Last_Name]])</f>
        <v>BrendanKelly</v>
      </c>
      <c r="E314" s="3">
        <v>50</v>
      </c>
      <c r="F314" s="3" t="s">
        <v>52</v>
      </c>
      <c r="G314" s="3" t="s">
        <v>168</v>
      </c>
      <c r="H314" s="3" t="s">
        <v>1213</v>
      </c>
      <c r="I314" s="3" t="s">
        <v>1214</v>
      </c>
      <c r="J314" s="3" t="s">
        <v>1454</v>
      </c>
      <c r="K314" s="4">
        <v>45684</v>
      </c>
      <c r="L314" s="3" t="s">
        <v>1455</v>
      </c>
      <c r="M314" s="3" t="s">
        <v>657</v>
      </c>
      <c r="N314" s="3">
        <v>235.63</v>
      </c>
      <c r="O314" s="3">
        <v>1</v>
      </c>
      <c r="P314" s="3" t="s">
        <v>85</v>
      </c>
      <c r="Q314" s="3">
        <v>7</v>
      </c>
      <c r="R314" s="3">
        <v>46</v>
      </c>
      <c r="S314" s="4">
        <v>45689</v>
      </c>
      <c r="T314" s="3" t="s">
        <v>1456</v>
      </c>
      <c r="U314" s="5">
        <f>Table1[[#This Row],[Delivery_Date]]-Table1[[#This Row],[Order_Date]]</f>
        <v>5</v>
      </c>
      <c r="V314" s="5">
        <f>Table1[[#This Row],[Price]]*Table1[[#This Row],[Quantity]]</f>
        <v>235.63</v>
      </c>
      <c r="W314" s="6" cm="1">
        <f t="array" ref="W314">_xlfn.IFS(
P314="FLAT8",8%,
P314="FLAT10",10%,
P314="FLAT15",15%,P314="FLAT20",20%,P314="DEL0",0%,
TRUE,0%
)</f>
        <v>0.2</v>
      </c>
      <c r="X314" s="5">
        <f>Table1[[#This Row],[Amount]]-(Table1[[#This Row],[Amount]]*Table1[[#This Row],[Discount_Percentage]])</f>
        <v>188.50399999999999</v>
      </c>
      <c r="Y314" s="5">
        <f>IF(P314="DEL0",Table1[[#This Row],[Discount_Amount]],Table1[[#This Row],[Discount_Amount]]+Table1[[#This Row],[Delivery_Charge]])</f>
        <v>234.50399999999999</v>
      </c>
      <c r="Z314" s="7" t="str">
        <f>_xlfn.CONCAT(Table1[[#This Row],[First_Name]],"  ",Table1[[#This Row],[Last_Name]])</f>
        <v>Brendan  Kelly</v>
      </c>
      <c r="AA314" s="5" t="str" cm="1">
        <f t="array" ref="AA314">_xlfn.IFS( (S314-K314)&gt;Q314,"Late", (S314-K314)=Q314,"InTime", (S314-K314)&lt;Q314,"BeforeTime" )</f>
        <v>BeforeTime</v>
      </c>
      <c r="AB314" s="3">
        <f>MONTH(Table1[[#This Row],[Order_Date]])</f>
        <v>1</v>
      </c>
    </row>
    <row r="315" spans="1:28" x14ac:dyDescent="0.3">
      <c r="A315" s="3" t="s">
        <v>1457</v>
      </c>
      <c r="B315" s="3" t="s">
        <v>273</v>
      </c>
      <c r="C315" s="3" t="s">
        <v>1458</v>
      </c>
      <c r="D315" s="3" t="str">
        <f>_xlfn.CONCAT(Table1[[#This Row],[First_Name]],Table1[[#This Row],[Last_Name]])</f>
        <v>LaurenLane</v>
      </c>
      <c r="E315" s="3">
        <v>30</v>
      </c>
      <c r="F315" s="3" t="s">
        <v>29</v>
      </c>
      <c r="G315" s="3" t="s">
        <v>220</v>
      </c>
      <c r="H315" s="3" t="s">
        <v>1459</v>
      </c>
      <c r="I315" s="3" t="s">
        <v>1460</v>
      </c>
      <c r="J315" s="3" t="s">
        <v>1461</v>
      </c>
      <c r="K315" s="4">
        <v>45400</v>
      </c>
      <c r="L315" s="3" t="s">
        <v>1462</v>
      </c>
      <c r="M315" s="3" t="s">
        <v>287</v>
      </c>
      <c r="N315" s="3">
        <v>157.63999999999999</v>
      </c>
      <c r="O315" s="3">
        <v>2</v>
      </c>
      <c r="P315" s="3" t="s">
        <v>85</v>
      </c>
      <c r="Q315" s="3">
        <v>1</v>
      </c>
      <c r="R315" s="3">
        <v>57</v>
      </c>
      <c r="S315" s="4">
        <v>45401</v>
      </c>
      <c r="T315" s="3" t="s">
        <v>1463</v>
      </c>
      <c r="U315" s="5">
        <f>Table1[[#This Row],[Delivery_Date]]-Table1[[#This Row],[Order_Date]]</f>
        <v>1</v>
      </c>
      <c r="V315" s="5">
        <f>Table1[[#This Row],[Price]]*Table1[[#This Row],[Quantity]]</f>
        <v>315.27999999999997</v>
      </c>
      <c r="W315" s="6" cm="1">
        <f t="array" ref="W315">_xlfn.IFS(
P315="FLAT8",8%,
P315="FLAT10",10%,
P315="FLAT15",15%,P315="FLAT20",20%,P315="DEL0",0%,
TRUE,0%
)</f>
        <v>0.2</v>
      </c>
      <c r="X315" s="5">
        <f>Table1[[#This Row],[Amount]]-(Table1[[#This Row],[Amount]]*Table1[[#This Row],[Discount_Percentage]])</f>
        <v>252.22399999999999</v>
      </c>
      <c r="Y315" s="5">
        <f>IF(P315="DEL0",Table1[[#This Row],[Discount_Amount]],Table1[[#This Row],[Discount_Amount]]+Table1[[#This Row],[Delivery_Charge]])</f>
        <v>309.22399999999999</v>
      </c>
      <c r="Z315" s="7" t="str">
        <f>_xlfn.CONCAT(Table1[[#This Row],[First_Name]],"  ",Table1[[#This Row],[Last_Name]])</f>
        <v>Lauren  Lane</v>
      </c>
      <c r="AA315" s="5" t="str" cm="1">
        <f t="array" ref="AA315">_xlfn.IFS( (S315-K315)&gt;Q315,"Late", (S315-K315)=Q315,"InTime", (S315-K315)&lt;Q315,"BeforeTime" )</f>
        <v>InTime</v>
      </c>
      <c r="AB315" s="3">
        <f>MONTH(Table1[[#This Row],[Order_Date]])</f>
        <v>4</v>
      </c>
    </row>
    <row r="316" spans="1:28" x14ac:dyDescent="0.3">
      <c r="A316" s="3" t="s">
        <v>894</v>
      </c>
      <c r="B316" s="3" t="s">
        <v>148</v>
      </c>
      <c r="C316" s="3" t="s">
        <v>895</v>
      </c>
      <c r="D316" s="3" t="str">
        <f>_xlfn.CONCAT(Table1[[#This Row],[First_Name]],Table1[[#This Row],[Last_Name]])</f>
        <v>AmyGriffin</v>
      </c>
      <c r="E316" s="3">
        <v>29</v>
      </c>
      <c r="F316" s="3" t="s">
        <v>29</v>
      </c>
      <c r="G316" s="3" t="s">
        <v>42</v>
      </c>
      <c r="H316" s="3" t="s">
        <v>896</v>
      </c>
      <c r="I316" s="3" t="s">
        <v>897</v>
      </c>
      <c r="J316" s="3" t="s">
        <v>1464</v>
      </c>
      <c r="K316" s="4">
        <v>45108</v>
      </c>
      <c r="L316" s="3" t="s">
        <v>1465</v>
      </c>
      <c r="M316" s="3" t="s">
        <v>234</v>
      </c>
      <c r="N316" s="3">
        <v>132.97</v>
      </c>
      <c r="O316" s="3">
        <v>3</v>
      </c>
      <c r="P316" s="3" t="s">
        <v>58</v>
      </c>
      <c r="Q316" s="3">
        <v>3</v>
      </c>
      <c r="R316" s="3">
        <v>36</v>
      </c>
      <c r="S316" s="4">
        <v>45110</v>
      </c>
      <c r="T316" s="3" t="s">
        <v>1466</v>
      </c>
      <c r="U316" s="5">
        <f>Table1[[#This Row],[Delivery_Date]]-Table1[[#This Row],[Order_Date]]</f>
        <v>2</v>
      </c>
      <c r="V316" s="5">
        <f>Table1[[#This Row],[Price]]*Table1[[#This Row],[Quantity]]</f>
        <v>398.90999999999997</v>
      </c>
      <c r="W316" s="6" cm="1">
        <f t="array" ref="W316">_xlfn.IFS(
P316="FLAT8",8%,
P316="FLAT10",10%,
P316="FLAT15",15%,P316="FLAT20",20%,P316="DEL0",0%,
TRUE,0%
)</f>
        <v>0.15</v>
      </c>
      <c r="X316" s="5">
        <f>Table1[[#This Row],[Amount]]-(Table1[[#This Row],[Amount]]*Table1[[#This Row],[Discount_Percentage]])</f>
        <v>339.07349999999997</v>
      </c>
      <c r="Y316" s="5">
        <f>IF(P316="DEL0",Table1[[#This Row],[Discount_Amount]],Table1[[#This Row],[Discount_Amount]]+Table1[[#This Row],[Delivery_Charge]])</f>
        <v>375.07349999999997</v>
      </c>
      <c r="Z316" s="7" t="str">
        <f>_xlfn.CONCAT(Table1[[#This Row],[First_Name]],"  ",Table1[[#This Row],[Last_Name]])</f>
        <v>Amy  Griffin</v>
      </c>
      <c r="AA316" s="5" t="str" cm="1">
        <f t="array" ref="AA316">_xlfn.IFS( (S316-K316)&gt;Q316,"Late", (S316-K316)=Q316,"InTime", (S316-K316)&lt;Q316,"BeforeTime" )</f>
        <v>BeforeTime</v>
      </c>
      <c r="AB316" s="3">
        <f>MONTH(Table1[[#This Row],[Order_Date]])</f>
        <v>7</v>
      </c>
    </row>
    <row r="317" spans="1:28" x14ac:dyDescent="0.3">
      <c r="A317" s="3" t="s">
        <v>358</v>
      </c>
      <c r="B317" s="3" t="s">
        <v>359</v>
      </c>
      <c r="C317" s="3" t="s">
        <v>360</v>
      </c>
      <c r="D317" s="3" t="str">
        <f>_xlfn.CONCAT(Table1[[#This Row],[First_Name]],Table1[[#This Row],[Last_Name]])</f>
        <v>RobertCastillo</v>
      </c>
      <c r="E317" s="3">
        <v>32</v>
      </c>
      <c r="F317" s="3" t="s">
        <v>41</v>
      </c>
      <c r="G317" s="3" t="s">
        <v>168</v>
      </c>
      <c r="H317" s="3" t="s">
        <v>361</v>
      </c>
      <c r="I317" s="3" t="s">
        <v>362</v>
      </c>
      <c r="J317" s="3" t="s">
        <v>1467</v>
      </c>
      <c r="K317" s="4">
        <v>45143</v>
      </c>
      <c r="L317" s="3" t="s">
        <v>1468</v>
      </c>
      <c r="M317" s="3" t="s">
        <v>323</v>
      </c>
      <c r="N317" s="3">
        <v>481.48</v>
      </c>
      <c r="O317" s="3">
        <v>1</v>
      </c>
      <c r="P317" s="3" t="s">
        <v>58</v>
      </c>
      <c r="Q317" s="3">
        <v>4</v>
      </c>
      <c r="R317" s="3">
        <v>67</v>
      </c>
      <c r="S317" s="4">
        <v>45150</v>
      </c>
      <c r="T317" s="3" t="s">
        <v>1469</v>
      </c>
      <c r="U317" s="5">
        <f>Table1[[#This Row],[Delivery_Date]]-Table1[[#This Row],[Order_Date]]</f>
        <v>7</v>
      </c>
      <c r="V317" s="5">
        <f>Table1[[#This Row],[Price]]*Table1[[#This Row],[Quantity]]</f>
        <v>481.48</v>
      </c>
      <c r="W317" s="6" cm="1">
        <f t="array" ref="W317">_xlfn.IFS(
P317="FLAT8",8%,
P317="FLAT10",10%,
P317="FLAT15",15%,P317="FLAT20",20%,P317="DEL0",0%,
TRUE,0%
)</f>
        <v>0.15</v>
      </c>
      <c r="X317" s="5">
        <f>Table1[[#This Row],[Amount]]-(Table1[[#This Row],[Amount]]*Table1[[#This Row],[Discount_Percentage]])</f>
        <v>409.25800000000004</v>
      </c>
      <c r="Y317" s="5">
        <f>IF(P317="DEL0",Table1[[#This Row],[Discount_Amount]],Table1[[#This Row],[Discount_Amount]]+Table1[[#This Row],[Delivery_Charge]])</f>
        <v>476.25800000000004</v>
      </c>
      <c r="Z317" s="7" t="str">
        <f>_xlfn.CONCAT(Table1[[#This Row],[First_Name]],"  ",Table1[[#This Row],[Last_Name]])</f>
        <v>Robert  Castillo</v>
      </c>
      <c r="AA317" s="5" t="str" cm="1">
        <f t="array" ref="AA317">_xlfn.IFS( (S317-K317)&gt;Q317,"Late", (S317-K317)=Q317,"InTime", (S317-K317)&lt;Q317,"BeforeTime" )</f>
        <v>Late</v>
      </c>
      <c r="AB317" s="3">
        <f>MONTH(Table1[[#This Row],[Order_Date]])</f>
        <v>8</v>
      </c>
    </row>
    <row r="318" spans="1:28" x14ac:dyDescent="0.3">
      <c r="A318" s="3" t="s">
        <v>137</v>
      </c>
      <c r="B318" s="3" t="s">
        <v>138</v>
      </c>
      <c r="C318" s="3" t="s">
        <v>139</v>
      </c>
      <c r="D318" s="3" t="str">
        <f>_xlfn.CONCAT(Table1[[#This Row],[First_Name]],Table1[[#This Row],[Last_Name]])</f>
        <v>KaraBrennan</v>
      </c>
      <c r="E318" s="3">
        <v>25</v>
      </c>
      <c r="F318" s="3" t="s">
        <v>52</v>
      </c>
      <c r="G318" s="3" t="s">
        <v>140</v>
      </c>
      <c r="H318" s="3" t="s">
        <v>141</v>
      </c>
      <c r="I318" s="3" t="s">
        <v>142</v>
      </c>
      <c r="J318" s="3" t="s">
        <v>1470</v>
      </c>
      <c r="K318" s="4">
        <v>45211</v>
      </c>
      <c r="L318" s="3" t="s">
        <v>1471</v>
      </c>
      <c r="M318" s="3" t="s">
        <v>323</v>
      </c>
      <c r="N318" s="3">
        <v>481.48</v>
      </c>
      <c r="O318" s="3">
        <v>2</v>
      </c>
      <c r="P318" s="3" t="s">
        <v>96</v>
      </c>
      <c r="Q318" s="3">
        <v>7</v>
      </c>
      <c r="R318" s="3">
        <v>66</v>
      </c>
      <c r="S318" s="4">
        <v>45218</v>
      </c>
      <c r="T318" s="3" t="s">
        <v>1472</v>
      </c>
      <c r="U318" s="5">
        <f>Table1[[#This Row],[Delivery_Date]]-Table1[[#This Row],[Order_Date]]</f>
        <v>7</v>
      </c>
      <c r="V318" s="5">
        <f>Table1[[#This Row],[Price]]*Table1[[#This Row],[Quantity]]</f>
        <v>962.96</v>
      </c>
      <c r="W318" s="6" cm="1">
        <f t="array" ref="W318">_xlfn.IFS(
P318="FLAT8",8%,
P318="FLAT10",10%,
P318="FLAT15",15%,P318="FLAT20",20%,P318="DEL0",0%,
TRUE,0%
)</f>
        <v>0.1</v>
      </c>
      <c r="X318" s="5">
        <f>Table1[[#This Row],[Amount]]-(Table1[[#This Row],[Amount]]*Table1[[#This Row],[Discount_Percentage]])</f>
        <v>866.66399999999999</v>
      </c>
      <c r="Y318" s="5">
        <f>IF(P318="DEL0",Table1[[#This Row],[Discount_Amount]],Table1[[#This Row],[Discount_Amount]]+Table1[[#This Row],[Delivery_Charge]])</f>
        <v>932.66399999999999</v>
      </c>
      <c r="Z318" s="7" t="str">
        <f>_xlfn.CONCAT(Table1[[#This Row],[First_Name]],"  ",Table1[[#This Row],[Last_Name]])</f>
        <v>Kara  Brennan</v>
      </c>
      <c r="AA318" s="5" t="str" cm="1">
        <f t="array" ref="AA318">_xlfn.IFS( (S318-K318)&gt;Q318,"Late", (S318-K318)=Q318,"InTime", (S318-K318)&lt;Q318,"BeforeTime" )</f>
        <v>InTime</v>
      </c>
      <c r="AB318" s="3">
        <f>MONTH(Table1[[#This Row],[Order_Date]])</f>
        <v>10</v>
      </c>
    </row>
    <row r="319" spans="1:28" x14ac:dyDescent="0.3">
      <c r="A319" s="3" t="s">
        <v>1473</v>
      </c>
      <c r="B319" s="3" t="s">
        <v>593</v>
      </c>
      <c r="C319" s="3" t="s">
        <v>1474</v>
      </c>
      <c r="D319" s="3" t="str">
        <f>_xlfn.CONCAT(Table1[[#This Row],[First_Name]],Table1[[#This Row],[Last_Name]])</f>
        <v>WilliamRichmond</v>
      </c>
      <c r="E319" s="3">
        <v>57</v>
      </c>
      <c r="F319" s="3" t="s">
        <v>52</v>
      </c>
      <c r="G319" s="3" t="s">
        <v>140</v>
      </c>
      <c r="H319" s="3" t="s">
        <v>1475</v>
      </c>
      <c r="I319" s="3" t="s">
        <v>1476</v>
      </c>
      <c r="J319" s="3" t="s">
        <v>1477</v>
      </c>
      <c r="K319" s="4">
        <v>45147</v>
      </c>
      <c r="L319" s="3" t="s">
        <v>1478</v>
      </c>
      <c r="M319" s="3" t="s">
        <v>291</v>
      </c>
      <c r="N319" s="3">
        <v>158.53</v>
      </c>
      <c r="O319" s="3">
        <v>5</v>
      </c>
      <c r="P319" s="3" t="s">
        <v>85</v>
      </c>
      <c r="Q319" s="3">
        <v>1</v>
      </c>
      <c r="R319" s="3">
        <v>46</v>
      </c>
      <c r="S319" s="4">
        <v>45151</v>
      </c>
      <c r="T319" s="3" t="s">
        <v>1479</v>
      </c>
      <c r="U319" s="5">
        <f>Table1[[#This Row],[Delivery_Date]]-Table1[[#This Row],[Order_Date]]</f>
        <v>4</v>
      </c>
      <c r="V319" s="5">
        <f>Table1[[#This Row],[Price]]*Table1[[#This Row],[Quantity]]</f>
        <v>792.65</v>
      </c>
      <c r="W319" s="6" cm="1">
        <f t="array" ref="W319">_xlfn.IFS(
P319="FLAT8",8%,
P319="FLAT10",10%,
P319="FLAT15",15%,P319="FLAT20",20%,P319="DEL0",0%,
TRUE,0%
)</f>
        <v>0.2</v>
      </c>
      <c r="X319" s="5">
        <f>Table1[[#This Row],[Amount]]-(Table1[[#This Row],[Amount]]*Table1[[#This Row],[Discount_Percentage]])</f>
        <v>634.12</v>
      </c>
      <c r="Y319" s="5">
        <f>IF(P319="DEL0",Table1[[#This Row],[Discount_Amount]],Table1[[#This Row],[Discount_Amount]]+Table1[[#This Row],[Delivery_Charge]])</f>
        <v>680.12</v>
      </c>
      <c r="Z319" s="7" t="str">
        <f>_xlfn.CONCAT(Table1[[#This Row],[First_Name]],"  ",Table1[[#This Row],[Last_Name]])</f>
        <v>William  Richmond</v>
      </c>
      <c r="AA319" s="5" t="str" cm="1">
        <f t="array" ref="AA319">_xlfn.IFS( (S319-K319)&gt;Q319,"Late", (S319-K319)=Q319,"InTime", (S319-K319)&lt;Q319,"BeforeTime" )</f>
        <v>Late</v>
      </c>
      <c r="AB319" s="3">
        <f>MONTH(Table1[[#This Row],[Order_Date]])</f>
        <v>8</v>
      </c>
    </row>
    <row r="320" spans="1:28" x14ac:dyDescent="0.3">
      <c r="A320" s="3" t="s">
        <v>1318</v>
      </c>
      <c r="B320" s="3" t="s">
        <v>1319</v>
      </c>
      <c r="C320" s="3" t="s">
        <v>1320</v>
      </c>
      <c r="D320" s="3" t="str">
        <f>_xlfn.CONCAT(Table1[[#This Row],[First_Name]],Table1[[#This Row],[Last_Name]])</f>
        <v>JaredHorn</v>
      </c>
      <c r="E320" s="3">
        <v>43</v>
      </c>
      <c r="F320" s="3" t="s">
        <v>29</v>
      </c>
      <c r="G320" s="3" t="s">
        <v>140</v>
      </c>
      <c r="H320" s="3" t="s">
        <v>1321</v>
      </c>
      <c r="I320" s="3" t="s">
        <v>1322</v>
      </c>
      <c r="J320" s="3" t="s">
        <v>1480</v>
      </c>
      <c r="K320" s="4">
        <v>45637</v>
      </c>
      <c r="L320" s="3" t="s">
        <v>1481</v>
      </c>
      <c r="M320" s="3" t="s">
        <v>173</v>
      </c>
      <c r="N320" s="3">
        <v>272.51</v>
      </c>
      <c r="O320" s="3">
        <v>2</v>
      </c>
      <c r="P320" s="3" t="s">
        <v>85</v>
      </c>
      <c r="Q320" s="3">
        <v>5</v>
      </c>
      <c r="R320" s="3">
        <v>37</v>
      </c>
      <c r="S320" s="4">
        <v>45640</v>
      </c>
      <c r="T320" s="3" t="s">
        <v>1482</v>
      </c>
      <c r="U320" s="5">
        <f>Table1[[#This Row],[Delivery_Date]]-Table1[[#This Row],[Order_Date]]</f>
        <v>3</v>
      </c>
      <c r="V320" s="5">
        <f>Table1[[#This Row],[Price]]*Table1[[#This Row],[Quantity]]</f>
        <v>545.02</v>
      </c>
      <c r="W320" s="6" cm="1">
        <f t="array" ref="W320">_xlfn.IFS(
P320="FLAT8",8%,
P320="FLAT10",10%,
P320="FLAT15",15%,P320="FLAT20",20%,P320="DEL0",0%,
TRUE,0%
)</f>
        <v>0.2</v>
      </c>
      <c r="X320" s="5">
        <f>Table1[[#This Row],[Amount]]-(Table1[[#This Row],[Amount]]*Table1[[#This Row],[Discount_Percentage]])</f>
        <v>436.01599999999996</v>
      </c>
      <c r="Y320" s="5">
        <f>IF(P320="DEL0",Table1[[#This Row],[Discount_Amount]],Table1[[#This Row],[Discount_Amount]]+Table1[[#This Row],[Delivery_Charge]])</f>
        <v>473.01599999999996</v>
      </c>
      <c r="Z320" s="7" t="str">
        <f>_xlfn.CONCAT(Table1[[#This Row],[First_Name]],"  ",Table1[[#This Row],[Last_Name]])</f>
        <v>Jared  Horn</v>
      </c>
      <c r="AA320" s="5" t="str" cm="1">
        <f t="array" ref="AA320">_xlfn.IFS( (S320-K320)&gt;Q320,"Late", (S320-K320)=Q320,"InTime", (S320-K320)&lt;Q320,"BeforeTime" )</f>
        <v>BeforeTime</v>
      </c>
      <c r="AB320" s="3">
        <f>MONTH(Table1[[#This Row],[Order_Date]])</f>
        <v>12</v>
      </c>
    </row>
    <row r="321" spans="1:28" x14ac:dyDescent="0.3">
      <c r="A321" s="3" t="s">
        <v>1210</v>
      </c>
      <c r="B321" s="3" t="s">
        <v>1211</v>
      </c>
      <c r="C321" s="3" t="s">
        <v>1212</v>
      </c>
      <c r="D321" s="3" t="str">
        <f>_xlfn.CONCAT(Table1[[#This Row],[First_Name]],Table1[[#This Row],[Last_Name]])</f>
        <v>BrendanKelly</v>
      </c>
      <c r="E321" s="3">
        <v>50</v>
      </c>
      <c r="F321" s="3" t="s">
        <v>52</v>
      </c>
      <c r="G321" s="3" t="s">
        <v>168</v>
      </c>
      <c r="H321" s="3" t="s">
        <v>1213</v>
      </c>
      <c r="I321" s="3" t="s">
        <v>1214</v>
      </c>
      <c r="J321" s="3" t="s">
        <v>1483</v>
      </c>
      <c r="K321" s="4">
        <v>45656</v>
      </c>
      <c r="L321" s="3" t="s">
        <v>1484</v>
      </c>
      <c r="M321" s="3" t="s">
        <v>182</v>
      </c>
      <c r="N321" s="3">
        <v>104.18</v>
      </c>
      <c r="O321" s="3">
        <v>2</v>
      </c>
      <c r="P321" s="3" t="s">
        <v>58</v>
      </c>
      <c r="Q321" s="3">
        <v>5</v>
      </c>
      <c r="R321" s="3">
        <v>65</v>
      </c>
      <c r="S321" s="4">
        <v>45657</v>
      </c>
      <c r="T321" s="3" t="s">
        <v>1485</v>
      </c>
      <c r="U321" s="5">
        <f>Table1[[#This Row],[Delivery_Date]]-Table1[[#This Row],[Order_Date]]</f>
        <v>1</v>
      </c>
      <c r="V321" s="5">
        <f>Table1[[#This Row],[Price]]*Table1[[#This Row],[Quantity]]</f>
        <v>208.36</v>
      </c>
      <c r="W321" s="6" cm="1">
        <f t="array" ref="W321">_xlfn.IFS(
P321="FLAT8",8%,
P321="FLAT10",10%,
P321="FLAT15",15%,P321="FLAT20",20%,P321="DEL0",0%,
TRUE,0%
)</f>
        <v>0.15</v>
      </c>
      <c r="X321" s="5">
        <f>Table1[[#This Row],[Amount]]-(Table1[[#This Row],[Amount]]*Table1[[#This Row],[Discount_Percentage]])</f>
        <v>177.10600000000002</v>
      </c>
      <c r="Y321" s="5">
        <f>IF(P321="DEL0",Table1[[#This Row],[Discount_Amount]],Table1[[#This Row],[Discount_Amount]]+Table1[[#This Row],[Delivery_Charge]])</f>
        <v>242.10600000000002</v>
      </c>
      <c r="Z321" s="7" t="str">
        <f>_xlfn.CONCAT(Table1[[#This Row],[First_Name]],"  ",Table1[[#This Row],[Last_Name]])</f>
        <v>Brendan  Kelly</v>
      </c>
      <c r="AA321" s="5" t="str" cm="1">
        <f t="array" ref="AA321">_xlfn.IFS( (S321-K321)&gt;Q321,"Late", (S321-K321)=Q321,"InTime", (S321-K321)&lt;Q321,"BeforeTime" )</f>
        <v>BeforeTime</v>
      </c>
      <c r="AB321" s="3">
        <f>MONTH(Table1[[#This Row],[Order_Date]])</f>
        <v>12</v>
      </c>
    </row>
    <row r="322" spans="1:28" x14ac:dyDescent="0.3">
      <c r="A322" s="3" t="s">
        <v>165</v>
      </c>
      <c r="B322" s="3" t="s">
        <v>166</v>
      </c>
      <c r="C322" s="3" t="s">
        <v>167</v>
      </c>
      <c r="D322" s="3" t="str">
        <f>_xlfn.CONCAT(Table1[[#This Row],[First_Name]],Table1[[#This Row],[Last_Name]])</f>
        <v>ErinMiller</v>
      </c>
      <c r="E322" s="3">
        <v>46</v>
      </c>
      <c r="F322" s="3" t="s">
        <v>29</v>
      </c>
      <c r="G322" s="3" t="s">
        <v>168</v>
      </c>
      <c r="H322" s="3" t="s">
        <v>169</v>
      </c>
      <c r="I322" s="3" t="s">
        <v>170</v>
      </c>
      <c r="J322" s="3" t="s">
        <v>1486</v>
      </c>
      <c r="K322" s="4">
        <v>45479</v>
      </c>
      <c r="L322" s="3" t="s">
        <v>1487</v>
      </c>
      <c r="M322" s="3" t="s">
        <v>774</v>
      </c>
      <c r="N322" s="3">
        <v>20</v>
      </c>
      <c r="O322" s="3">
        <v>2</v>
      </c>
      <c r="P322" s="3" t="s">
        <v>96</v>
      </c>
      <c r="Q322" s="3">
        <v>3</v>
      </c>
      <c r="R322" s="3">
        <v>38</v>
      </c>
      <c r="S322" s="4">
        <v>45485</v>
      </c>
      <c r="T322" s="3" t="s">
        <v>1488</v>
      </c>
      <c r="U322" s="5">
        <f>Table1[[#This Row],[Delivery_Date]]-Table1[[#This Row],[Order_Date]]</f>
        <v>6</v>
      </c>
      <c r="V322" s="5">
        <f>Table1[[#This Row],[Price]]*Table1[[#This Row],[Quantity]]</f>
        <v>40</v>
      </c>
      <c r="W322" s="6" cm="1">
        <f t="array" ref="W322">_xlfn.IFS(
P322="FLAT8",8%,
P322="FLAT10",10%,
P322="FLAT15",15%,P322="FLAT20",20%,P322="DEL0",0%,
TRUE,0%
)</f>
        <v>0.1</v>
      </c>
      <c r="X322" s="5">
        <f>Table1[[#This Row],[Amount]]-(Table1[[#This Row],[Amount]]*Table1[[#This Row],[Discount_Percentage]])</f>
        <v>36</v>
      </c>
      <c r="Y322" s="5">
        <f>IF(P322="DEL0",Table1[[#This Row],[Discount_Amount]],Table1[[#This Row],[Discount_Amount]]+Table1[[#This Row],[Delivery_Charge]])</f>
        <v>74</v>
      </c>
      <c r="Z322" s="7" t="str">
        <f>_xlfn.CONCAT(Table1[[#This Row],[First_Name]],"  ",Table1[[#This Row],[Last_Name]])</f>
        <v>Erin  Miller</v>
      </c>
      <c r="AA322" s="5" t="str" cm="1">
        <f t="array" ref="AA322">_xlfn.IFS( (S322-K322)&gt;Q322,"Late", (S322-K322)=Q322,"InTime", (S322-K322)&lt;Q322,"BeforeTime" )</f>
        <v>Late</v>
      </c>
      <c r="AB322" s="3">
        <f>MONTH(Table1[[#This Row],[Order_Date]])</f>
        <v>7</v>
      </c>
    </row>
    <row r="323" spans="1:28" x14ac:dyDescent="0.3">
      <c r="A323" s="3" t="s">
        <v>435</v>
      </c>
      <c r="B323" s="3" t="s">
        <v>436</v>
      </c>
      <c r="C323" s="3" t="s">
        <v>437</v>
      </c>
      <c r="D323" s="3" t="str">
        <f>_xlfn.CONCAT(Table1[[#This Row],[First_Name]],Table1[[#This Row],[Last_Name]])</f>
        <v>MaryKnight</v>
      </c>
      <c r="E323" s="3">
        <v>28</v>
      </c>
      <c r="F323" s="3" t="s">
        <v>52</v>
      </c>
      <c r="G323" s="3" t="s">
        <v>76</v>
      </c>
      <c r="H323" s="3" t="s">
        <v>438</v>
      </c>
      <c r="I323" s="3" t="s">
        <v>439</v>
      </c>
      <c r="J323" s="3" t="s">
        <v>1489</v>
      </c>
      <c r="K323" s="4">
        <v>45501</v>
      </c>
      <c r="L323" s="3" t="s">
        <v>1490</v>
      </c>
      <c r="M323" s="3" t="s">
        <v>686</v>
      </c>
      <c r="N323" s="3">
        <v>424.82</v>
      </c>
      <c r="O323" s="3">
        <v>1</v>
      </c>
      <c r="P323" s="3" t="s">
        <v>36</v>
      </c>
      <c r="Q323" s="3">
        <v>5</v>
      </c>
      <c r="R323" s="3">
        <v>49</v>
      </c>
      <c r="S323" s="4">
        <v>45508</v>
      </c>
      <c r="T323" s="3" t="s">
        <v>1491</v>
      </c>
      <c r="U323" s="5">
        <f>Table1[[#This Row],[Delivery_Date]]-Table1[[#This Row],[Order_Date]]</f>
        <v>7</v>
      </c>
      <c r="V323" s="5">
        <f>Table1[[#This Row],[Price]]*Table1[[#This Row],[Quantity]]</f>
        <v>424.82</v>
      </c>
      <c r="W323" s="6" cm="1">
        <f t="array" ref="W323">_xlfn.IFS(
P323="FLAT8",8%,
P323="FLAT10",10%,
P323="FLAT15",15%,P323="FLAT20",20%,P323="DEL0",0%,
TRUE,0%
)</f>
        <v>0.08</v>
      </c>
      <c r="X323" s="5">
        <f>Table1[[#This Row],[Amount]]-(Table1[[#This Row],[Amount]]*Table1[[#This Row],[Discount_Percentage]])</f>
        <v>390.83440000000002</v>
      </c>
      <c r="Y323" s="5">
        <f>IF(P323="DEL0",Table1[[#This Row],[Discount_Amount]],Table1[[#This Row],[Discount_Amount]]+Table1[[#This Row],[Delivery_Charge]])</f>
        <v>439.83440000000002</v>
      </c>
      <c r="Z323" s="7" t="str">
        <f>_xlfn.CONCAT(Table1[[#This Row],[First_Name]],"  ",Table1[[#This Row],[Last_Name]])</f>
        <v>Mary  Knight</v>
      </c>
      <c r="AA323" s="5" t="str" cm="1">
        <f t="array" ref="AA323">_xlfn.IFS( (S323-K323)&gt;Q323,"Late", (S323-K323)=Q323,"InTime", (S323-K323)&lt;Q323,"BeforeTime" )</f>
        <v>Late</v>
      </c>
      <c r="AB323" s="3">
        <f>MONTH(Table1[[#This Row],[Order_Date]])</f>
        <v>7</v>
      </c>
    </row>
    <row r="324" spans="1:28" x14ac:dyDescent="0.3">
      <c r="A324" s="3" t="s">
        <v>1307</v>
      </c>
      <c r="B324" s="3" t="s">
        <v>1308</v>
      </c>
      <c r="C324" s="3" t="s">
        <v>1309</v>
      </c>
      <c r="D324" s="3" t="str">
        <f>_xlfn.CONCAT(Table1[[#This Row],[First_Name]],Table1[[#This Row],[Last_Name]])</f>
        <v>MeganHunt</v>
      </c>
      <c r="E324" s="3">
        <v>63</v>
      </c>
      <c r="F324" s="3" t="s">
        <v>29</v>
      </c>
      <c r="G324" s="3" t="s">
        <v>168</v>
      </c>
      <c r="H324" s="3" t="s">
        <v>1310</v>
      </c>
      <c r="I324" s="3" t="s">
        <v>1311</v>
      </c>
      <c r="J324" s="3" t="s">
        <v>1492</v>
      </c>
      <c r="K324" s="4">
        <v>45107</v>
      </c>
      <c r="L324" s="3" t="s">
        <v>1493</v>
      </c>
      <c r="M324" s="3" t="s">
        <v>154</v>
      </c>
      <c r="N324" s="3">
        <v>220.27</v>
      </c>
      <c r="O324" s="3">
        <v>5</v>
      </c>
      <c r="P324" s="3" t="s">
        <v>85</v>
      </c>
      <c r="Q324" s="3">
        <v>6</v>
      </c>
      <c r="R324" s="3">
        <v>57</v>
      </c>
      <c r="S324" s="4">
        <v>45109</v>
      </c>
      <c r="T324" s="3" t="s">
        <v>1494</v>
      </c>
      <c r="U324" s="5">
        <f>Table1[[#This Row],[Delivery_Date]]-Table1[[#This Row],[Order_Date]]</f>
        <v>2</v>
      </c>
      <c r="V324" s="5">
        <f>Table1[[#This Row],[Price]]*Table1[[#This Row],[Quantity]]</f>
        <v>1101.3500000000001</v>
      </c>
      <c r="W324" s="6" cm="1">
        <f t="array" ref="W324">_xlfn.IFS(
P324="FLAT8",8%,
P324="FLAT10",10%,
P324="FLAT15",15%,P324="FLAT20",20%,P324="DEL0",0%,
TRUE,0%
)</f>
        <v>0.2</v>
      </c>
      <c r="X324" s="5">
        <f>Table1[[#This Row],[Amount]]-(Table1[[#This Row],[Amount]]*Table1[[#This Row],[Discount_Percentage]])</f>
        <v>881.08000000000015</v>
      </c>
      <c r="Y324" s="5">
        <f>IF(P324="DEL0",Table1[[#This Row],[Discount_Amount]],Table1[[#This Row],[Discount_Amount]]+Table1[[#This Row],[Delivery_Charge]])</f>
        <v>938.08000000000015</v>
      </c>
      <c r="Z324" s="7" t="str">
        <f>_xlfn.CONCAT(Table1[[#This Row],[First_Name]],"  ",Table1[[#This Row],[Last_Name]])</f>
        <v>Megan  Hunt</v>
      </c>
      <c r="AA324" s="5" t="str" cm="1">
        <f t="array" ref="AA324">_xlfn.IFS( (S324-K324)&gt;Q324,"Late", (S324-K324)=Q324,"InTime", (S324-K324)&lt;Q324,"BeforeTime" )</f>
        <v>BeforeTime</v>
      </c>
      <c r="AB324" s="3">
        <f>MONTH(Table1[[#This Row],[Order_Date]])</f>
        <v>6</v>
      </c>
    </row>
    <row r="325" spans="1:28" x14ac:dyDescent="0.3">
      <c r="A325" s="3" t="s">
        <v>393</v>
      </c>
      <c r="B325" s="3" t="s">
        <v>394</v>
      </c>
      <c r="C325" s="3" t="s">
        <v>395</v>
      </c>
      <c r="D325" s="3" t="str">
        <f>_xlfn.CONCAT(Table1[[#This Row],[First_Name]],Table1[[#This Row],[Last_Name]])</f>
        <v>JasonLopez</v>
      </c>
      <c r="E325" s="3">
        <v>40</v>
      </c>
      <c r="F325" s="3" t="s">
        <v>52</v>
      </c>
      <c r="G325" s="3" t="s">
        <v>168</v>
      </c>
      <c r="H325" s="3" t="s">
        <v>396</v>
      </c>
      <c r="I325" s="3" t="s">
        <v>397</v>
      </c>
      <c r="J325" s="3" t="s">
        <v>1495</v>
      </c>
      <c r="K325" s="4">
        <v>45527</v>
      </c>
      <c r="L325" s="3" t="s">
        <v>1496</v>
      </c>
      <c r="M325" s="3" t="s">
        <v>553</v>
      </c>
      <c r="N325" s="3">
        <v>425.59</v>
      </c>
      <c r="O325" s="3">
        <v>5</v>
      </c>
      <c r="P325" s="3" t="s">
        <v>63</v>
      </c>
      <c r="Q325" s="3">
        <v>4</v>
      </c>
      <c r="R325" s="3">
        <v>43</v>
      </c>
      <c r="S325" s="4">
        <v>45531</v>
      </c>
      <c r="T325" s="3" t="s">
        <v>1497</v>
      </c>
      <c r="U325" s="5">
        <f>Table1[[#This Row],[Delivery_Date]]-Table1[[#This Row],[Order_Date]]</f>
        <v>4</v>
      </c>
      <c r="V325" s="5">
        <f>Table1[[#This Row],[Price]]*Table1[[#This Row],[Quantity]]</f>
        <v>2127.9499999999998</v>
      </c>
      <c r="W325" s="6" cm="1">
        <f t="array" ref="W325">_xlfn.IFS(
P325="FLAT8",8%,
P325="FLAT10",10%,
P325="FLAT15",15%,P325="FLAT20",20%,P325="DEL0",0%,
TRUE,0%
)</f>
        <v>0</v>
      </c>
      <c r="X325" s="5">
        <f>Table1[[#This Row],[Amount]]-(Table1[[#This Row],[Amount]]*Table1[[#This Row],[Discount_Percentage]])</f>
        <v>2127.9499999999998</v>
      </c>
      <c r="Y325" s="5">
        <f>IF(P325="DEL0",Table1[[#This Row],[Discount_Amount]],Table1[[#This Row],[Discount_Amount]]+Table1[[#This Row],[Delivery_Charge]])</f>
        <v>2127.9499999999998</v>
      </c>
      <c r="Z325" s="7" t="str">
        <f>_xlfn.CONCAT(Table1[[#This Row],[First_Name]],"  ",Table1[[#This Row],[Last_Name]])</f>
        <v>Jason  Lopez</v>
      </c>
      <c r="AA325" s="5" t="str" cm="1">
        <f t="array" ref="AA325">_xlfn.IFS( (S325-K325)&gt;Q325,"Late", (S325-K325)=Q325,"InTime", (S325-K325)&lt;Q325,"BeforeTime" )</f>
        <v>InTime</v>
      </c>
      <c r="AB325" s="3">
        <f>MONTH(Table1[[#This Row],[Order_Date]])</f>
        <v>8</v>
      </c>
    </row>
    <row r="326" spans="1:28" x14ac:dyDescent="0.3">
      <c r="A326" s="3" t="s">
        <v>1457</v>
      </c>
      <c r="B326" s="3" t="s">
        <v>273</v>
      </c>
      <c r="C326" s="3" t="s">
        <v>1458</v>
      </c>
      <c r="D326" s="3" t="str">
        <f>_xlfn.CONCAT(Table1[[#This Row],[First_Name]],Table1[[#This Row],[Last_Name]])</f>
        <v>LaurenLane</v>
      </c>
      <c r="E326" s="3">
        <v>30</v>
      </c>
      <c r="F326" s="3" t="s">
        <v>29</v>
      </c>
      <c r="G326" s="3" t="s">
        <v>220</v>
      </c>
      <c r="H326" s="3" t="s">
        <v>1459</v>
      </c>
      <c r="I326" s="3" t="s">
        <v>1460</v>
      </c>
      <c r="J326" s="3" t="s">
        <v>1498</v>
      </c>
      <c r="K326" s="4">
        <v>45420</v>
      </c>
      <c r="L326" s="3" t="s">
        <v>1499</v>
      </c>
      <c r="M326" s="3" t="s">
        <v>114</v>
      </c>
      <c r="N326" s="3">
        <v>48.45</v>
      </c>
      <c r="O326" s="3">
        <v>3</v>
      </c>
      <c r="P326" s="3" t="s">
        <v>96</v>
      </c>
      <c r="Q326" s="3">
        <v>2</v>
      </c>
      <c r="R326" s="3">
        <v>63</v>
      </c>
      <c r="S326" s="4">
        <v>45422</v>
      </c>
      <c r="T326" s="3" t="s">
        <v>1500</v>
      </c>
      <c r="U326" s="5">
        <f>Table1[[#This Row],[Delivery_Date]]-Table1[[#This Row],[Order_Date]]</f>
        <v>2</v>
      </c>
      <c r="V326" s="5">
        <f>Table1[[#This Row],[Price]]*Table1[[#This Row],[Quantity]]</f>
        <v>145.35000000000002</v>
      </c>
      <c r="W326" s="6" cm="1">
        <f t="array" ref="W326">_xlfn.IFS(
P326="FLAT8",8%,
P326="FLAT10",10%,
P326="FLAT15",15%,P326="FLAT20",20%,P326="DEL0",0%,
TRUE,0%
)</f>
        <v>0.1</v>
      </c>
      <c r="X326" s="5">
        <f>Table1[[#This Row],[Amount]]-(Table1[[#This Row],[Amount]]*Table1[[#This Row],[Discount_Percentage]])</f>
        <v>130.81500000000003</v>
      </c>
      <c r="Y326" s="5">
        <f>IF(P326="DEL0",Table1[[#This Row],[Discount_Amount]],Table1[[#This Row],[Discount_Amount]]+Table1[[#This Row],[Delivery_Charge]])</f>
        <v>193.81500000000003</v>
      </c>
      <c r="Z326" s="7" t="str">
        <f>_xlfn.CONCAT(Table1[[#This Row],[First_Name]],"  ",Table1[[#This Row],[Last_Name]])</f>
        <v>Lauren  Lane</v>
      </c>
      <c r="AA326" s="5" t="str" cm="1">
        <f t="array" ref="AA326">_xlfn.IFS( (S326-K326)&gt;Q326,"Late", (S326-K326)=Q326,"InTime", (S326-K326)&lt;Q326,"BeforeTime" )</f>
        <v>InTime</v>
      </c>
      <c r="AB326" s="3">
        <f>MONTH(Table1[[#This Row],[Order_Date]])</f>
        <v>5</v>
      </c>
    </row>
    <row r="327" spans="1:28" x14ac:dyDescent="0.3">
      <c r="A327" s="3" t="s">
        <v>1238</v>
      </c>
      <c r="B327" s="3" t="s">
        <v>1239</v>
      </c>
      <c r="C327" s="3" t="s">
        <v>1240</v>
      </c>
      <c r="D327" s="3" t="str">
        <f>_xlfn.CONCAT(Table1[[#This Row],[First_Name]],Table1[[#This Row],[Last_Name]])</f>
        <v>HannahGutierrez</v>
      </c>
      <c r="E327" s="3">
        <v>55</v>
      </c>
      <c r="F327" s="3" t="s">
        <v>41</v>
      </c>
      <c r="G327" s="3" t="s">
        <v>159</v>
      </c>
      <c r="H327" s="3" t="s">
        <v>1241</v>
      </c>
      <c r="I327" s="3" t="s">
        <v>1242</v>
      </c>
      <c r="J327" s="3" t="s">
        <v>1501</v>
      </c>
      <c r="K327" s="4">
        <v>45186</v>
      </c>
      <c r="L327" s="3" t="s">
        <v>1502</v>
      </c>
      <c r="M327" s="3" t="s">
        <v>182</v>
      </c>
      <c r="N327" s="3">
        <v>104.18</v>
      </c>
      <c r="O327" s="3">
        <v>2</v>
      </c>
      <c r="P327" s="3" t="s">
        <v>36</v>
      </c>
      <c r="Q327" s="3">
        <v>4</v>
      </c>
      <c r="R327" s="3">
        <v>43</v>
      </c>
      <c r="S327" s="4">
        <v>45190</v>
      </c>
      <c r="T327" s="3" t="s">
        <v>1503</v>
      </c>
      <c r="U327" s="5">
        <f>Table1[[#This Row],[Delivery_Date]]-Table1[[#This Row],[Order_Date]]</f>
        <v>4</v>
      </c>
      <c r="V327" s="5">
        <f>Table1[[#This Row],[Price]]*Table1[[#This Row],[Quantity]]</f>
        <v>208.36</v>
      </c>
      <c r="W327" s="6" cm="1">
        <f t="array" ref="W327">_xlfn.IFS(
P327="FLAT8",8%,
P327="FLAT10",10%,
P327="FLAT15",15%,P327="FLAT20",20%,P327="DEL0",0%,
TRUE,0%
)</f>
        <v>0.08</v>
      </c>
      <c r="X327" s="5">
        <f>Table1[[#This Row],[Amount]]-(Table1[[#This Row],[Amount]]*Table1[[#This Row],[Discount_Percentage]])</f>
        <v>191.69120000000001</v>
      </c>
      <c r="Y327" s="5">
        <f>IF(P327="DEL0",Table1[[#This Row],[Discount_Amount]],Table1[[#This Row],[Discount_Amount]]+Table1[[#This Row],[Delivery_Charge]])</f>
        <v>234.69120000000001</v>
      </c>
      <c r="Z327" s="7" t="str">
        <f>_xlfn.CONCAT(Table1[[#This Row],[First_Name]],"  ",Table1[[#This Row],[Last_Name]])</f>
        <v>Hannah  Gutierrez</v>
      </c>
      <c r="AA327" s="5" t="str" cm="1">
        <f t="array" ref="AA327">_xlfn.IFS( (S327-K327)&gt;Q327,"Late", (S327-K327)=Q327,"InTime", (S327-K327)&lt;Q327,"BeforeTime" )</f>
        <v>InTime</v>
      </c>
      <c r="AB327" s="3">
        <f>MONTH(Table1[[#This Row],[Order_Date]])</f>
        <v>9</v>
      </c>
    </row>
    <row r="328" spans="1:28" x14ac:dyDescent="0.3">
      <c r="A328" s="3" t="s">
        <v>1246</v>
      </c>
      <c r="B328" s="3" t="s">
        <v>66</v>
      </c>
      <c r="C328" s="3" t="s">
        <v>1247</v>
      </c>
      <c r="D328" s="3" t="str">
        <f>_xlfn.CONCAT(Table1[[#This Row],[First_Name]],Table1[[#This Row],[Last_Name]])</f>
        <v>AngelaCasey</v>
      </c>
      <c r="E328" s="3">
        <v>40</v>
      </c>
      <c r="F328" s="3" t="s">
        <v>29</v>
      </c>
      <c r="G328" s="3" t="s">
        <v>76</v>
      </c>
      <c r="H328" s="3" t="s">
        <v>1248</v>
      </c>
      <c r="I328" s="3" t="s">
        <v>1249</v>
      </c>
      <c r="J328" s="3" t="s">
        <v>1504</v>
      </c>
      <c r="K328" s="4">
        <v>45195</v>
      </c>
      <c r="L328" s="3" t="s">
        <v>1505</v>
      </c>
      <c r="M328" s="3" t="s">
        <v>637</v>
      </c>
      <c r="N328" s="3">
        <v>445.81</v>
      </c>
      <c r="O328" s="3">
        <v>1</v>
      </c>
      <c r="P328" s="3" t="s">
        <v>63</v>
      </c>
      <c r="Q328" s="3">
        <v>1</v>
      </c>
      <c r="R328" s="3">
        <v>51</v>
      </c>
      <c r="S328" s="4">
        <v>45198</v>
      </c>
      <c r="T328" s="3" t="s">
        <v>1506</v>
      </c>
      <c r="U328" s="5">
        <f>Table1[[#This Row],[Delivery_Date]]-Table1[[#This Row],[Order_Date]]</f>
        <v>3</v>
      </c>
      <c r="V328" s="5">
        <f>Table1[[#This Row],[Price]]*Table1[[#This Row],[Quantity]]</f>
        <v>445.81</v>
      </c>
      <c r="W328" s="6" cm="1">
        <f t="array" ref="W328">_xlfn.IFS(
P328="FLAT8",8%,
P328="FLAT10",10%,
P328="FLAT15",15%,P328="FLAT20",20%,P328="DEL0",0%,
TRUE,0%
)</f>
        <v>0</v>
      </c>
      <c r="X328" s="5">
        <f>Table1[[#This Row],[Amount]]-(Table1[[#This Row],[Amount]]*Table1[[#This Row],[Discount_Percentage]])</f>
        <v>445.81</v>
      </c>
      <c r="Y328" s="5">
        <f>IF(P328="DEL0",Table1[[#This Row],[Discount_Amount]],Table1[[#This Row],[Discount_Amount]]+Table1[[#This Row],[Delivery_Charge]])</f>
        <v>445.81</v>
      </c>
      <c r="Z328" s="7" t="str">
        <f>_xlfn.CONCAT(Table1[[#This Row],[First_Name]],"  ",Table1[[#This Row],[Last_Name]])</f>
        <v>Angela  Casey</v>
      </c>
      <c r="AA328" s="5" t="str" cm="1">
        <f t="array" ref="AA328">_xlfn.IFS( (S328-K328)&gt;Q328,"Late", (S328-K328)=Q328,"InTime", (S328-K328)&lt;Q328,"BeforeTime" )</f>
        <v>Late</v>
      </c>
      <c r="AB328" s="3">
        <f>MONTH(Table1[[#This Row],[Order_Date]])</f>
        <v>9</v>
      </c>
    </row>
    <row r="329" spans="1:28" x14ac:dyDescent="0.3">
      <c r="A329" s="3" t="s">
        <v>1342</v>
      </c>
      <c r="B329" s="3" t="s">
        <v>508</v>
      </c>
      <c r="C329" s="3" t="s">
        <v>1343</v>
      </c>
      <c r="D329" s="3" t="str">
        <f>_xlfn.CONCAT(Table1[[#This Row],[First_Name]],Table1[[#This Row],[Last_Name]])</f>
        <v>SarahBenson</v>
      </c>
      <c r="E329" s="3">
        <v>40</v>
      </c>
      <c r="F329" s="3" t="s">
        <v>52</v>
      </c>
      <c r="G329" s="3" t="s">
        <v>220</v>
      </c>
      <c r="H329" s="3" t="s">
        <v>1344</v>
      </c>
      <c r="I329" s="3" t="s">
        <v>1345</v>
      </c>
      <c r="J329" s="3" t="s">
        <v>1507</v>
      </c>
      <c r="K329" s="4">
        <v>45573</v>
      </c>
      <c r="L329" s="3" t="s">
        <v>1508</v>
      </c>
      <c r="M329" s="3" t="s">
        <v>234</v>
      </c>
      <c r="N329" s="3">
        <v>132.97</v>
      </c>
      <c r="O329" s="3">
        <v>2</v>
      </c>
      <c r="P329" s="3" t="s">
        <v>96</v>
      </c>
      <c r="Q329" s="3">
        <v>6</v>
      </c>
      <c r="R329" s="3">
        <v>69</v>
      </c>
      <c r="S329" s="4">
        <v>45578</v>
      </c>
      <c r="T329" s="3" t="s">
        <v>1509</v>
      </c>
      <c r="U329" s="5">
        <f>Table1[[#This Row],[Delivery_Date]]-Table1[[#This Row],[Order_Date]]</f>
        <v>5</v>
      </c>
      <c r="V329" s="5">
        <f>Table1[[#This Row],[Price]]*Table1[[#This Row],[Quantity]]</f>
        <v>265.94</v>
      </c>
      <c r="W329" s="6" cm="1">
        <f t="array" ref="W329">_xlfn.IFS(
P329="FLAT8",8%,
P329="FLAT10",10%,
P329="FLAT15",15%,P329="FLAT20",20%,P329="DEL0",0%,
TRUE,0%
)</f>
        <v>0.1</v>
      </c>
      <c r="X329" s="5">
        <f>Table1[[#This Row],[Amount]]-(Table1[[#This Row],[Amount]]*Table1[[#This Row],[Discount_Percentage]])</f>
        <v>239.346</v>
      </c>
      <c r="Y329" s="5">
        <f>IF(P329="DEL0",Table1[[#This Row],[Discount_Amount]],Table1[[#This Row],[Discount_Amount]]+Table1[[#This Row],[Delivery_Charge]])</f>
        <v>308.346</v>
      </c>
      <c r="Z329" s="7" t="str">
        <f>_xlfn.CONCAT(Table1[[#This Row],[First_Name]],"  ",Table1[[#This Row],[Last_Name]])</f>
        <v>Sarah  Benson</v>
      </c>
      <c r="AA329" s="5" t="str" cm="1">
        <f t="array" ref="AA329">_xlfn.IFS( (S329-K329)&gt;Q329,"Late", (S329-K329)=Q329,"InTime", (S329-K329)&lt;Q329,"BeforeTime" )</f>
        <v>BeforeTime</v>
      </c>
      <c r="AB329" s="3">
        <f>MONTH(Table1[[#This Row],[Order_Date]])</f>
        <v>10</v>
      </c>
    </row>
    <row r="330" spans="1:28" x14ac:dyDescent="0.3">
      <c r="A330" s="3" t="s">
        <v>1238</v>
      </c>
      <c r="B330" s="3" t="s">
        <v>1239</v>
      </c>
      <c r="C330" s="3" t="s">
        <v>1240</v>
      </c>
      <c r="D330" s="3" t="str">
        <f>_xlfn.CONCAT(Table1[[#This Row],[First_Name]],Table1[[#This Row],[Last_Name]])</f>
        <v>HannahGutierrez</v>
      </c>
      <c r="E330" s="3">
        <v>55</v>
      </c>
      <c r="F330" s="3" t="s">
        <v>41</v>
      </c>
      <c r="G330" s="3" t="s">
        <v>159</v>
      </c>
      <c r="H330" s="3" t="s">
        <v>1241</v>
      </c>
      <c r="I330" s="3" t="s">
        <v>1242</v>
      </c>
      <c r="J330" s="3" t="s">
        <v>1510</v>
      </c>
      <c r="K330" s="4">
        <v>45384</v>
      </c>
      <c r="L330" s="3" t="s">
        <v>1511</v>
      </c>
      <c r="M330" s="3" t="s">
        <v>495</v>
      </c>
      <c r="N330" s="3">
        <v>421.7</v>
      </c>
      <c r="O330" s="3">
        <v>4</v>
      </c>
      <c r="P330" s="3" t="s">
        <v>36</v>
      </c>
      <c r="Q330" s="3">
        <v>5</v>
      </c>
      <c r="R330" s="3">
        <v>55</v>
      </c>
      <c r="S330" s="4">
        <v>45389</v>
      </c>
      <c r="T330" s="3" t="s">
        <v>1512</v>
      </c>
      <c r="U330" s="5">
        <f>Table1[[#This Row],[Delivery_Date]]-Table1[[#This Row],[Order_Date]]</f>
        <v>5</v>
      </c>
      <c r="V330" s="5">
        <f>Table1[[#This Row],[Price]]*Table1[[#This Row],[Quantity]]</f>
        <v>1686.8</v>
      </c>
      <c r="W330" s="6" cm="1">
        <f t="array" ref="W330">_xlfn.IFS(
P330="FLAT8",8%,
P330="FLAT10",10%,
P330="FLAT15",15%,P330="FLAT20",20%,P330="DEL0",0%,
TRUE,0%
)</f>
        <v>0.08</v>
      </c>
      <c r="X330" s="5">
        <f>Table1[[#This Row],[Amount]]-(Table1[[#This Row],[Amount]]*Table1[[#This Row],[Discount_Percentage]])</f>
        <v>1551.856</v>
      </c>
      <c r="Y330" s="5">
        <f>IF(P330="DEL0",Table1[[#This Row],[Discount_Amount]],Table1[[#This Row],[Discount_Amount]]+Table1[[#This Row],[Delivery_Charge]])</f>
        <v>1606.856</v>
      </c>
      <c r="Z330" s="7" t="str">
        <f>_xlfn.CONCAT(Table1[[#This Row],[First_Name]],"  ",Table1[[#This Row],[Last_Name]])</f>
        <v>Hannah  Gutierrez</v>
      </c>
      <c r="AA330" s="5" t="str" cm="1">
        <f t="array" ref="AA330">_xlfn.IFS( (S330-K330)&gt;Q330,"Late", (S330-K330)=Q330,"InTime", (S330-K330)&lt;Q330,"BeforeTime" )</f>
        <v>InTime</v>
      </c>
      <c r="AB330" s="3">
        <f>MONTH(Table1[[#This Row],[Order_Date]])</f>
        <v>4</v>
      </c>
    </row>
    <row r="331" spans="1:28" x14ac:dyDescent="0.3">
      <c r="A331" s="3" t="s">
        <v>1238</v>
      </c>
      <c r="B331" s="3" t="s">
        <v>1239</v>
      </c>
      <c r="C331" s="3" t="s">
        <v>1240</v>
      </c>
      <c r="D331" s="3" t="str">
        <f>_xlfn.CONCAT(Table1[[#This Row],[First_Name]],Table1[[#This Row],[Last_Name]])</f>
        <v>HannahGutierrez</v>
      </c>
      <c r="E331" s="3">
        <v>55</v>
      </c>
      <c r="F331" s="3" t="s">
        <v>41</v>
      </c>
      <c r="G331" s="3" t="s">
        <v>159</v>
      </c>
      <c r="H331" s="3" t="s">
        <v>1241</v>
      </c>
      <c r="I331" s="3" t="s">
        <v>1242</v>
      </c>
      <c r="J331" s="3" t="s">
        <v>1513</v>
      </c>
      <c r="K331" s="4">
        <v>45388</v>
      </c>
      <c r="L331" s="3" t="s">
        <v>1514</v>
      </c>
      <c r="M331" s="3" t="s">
        <v>573</v>
      </c>
      <c r="N331" s="3">
        <v>477.52</v>
      </c>
      <c r="O331" s="3">
        <v>1</v>
      </c>
      <c r="P331" s="3" t="s">
        <v>63</v>
      </c>
      <c r="Q331" s="3">
        <v>7</v>
      </c>
      <c r="R331" s="3">
        <v>48</v>
      </c>
      <c r="S331" s="4">
        <v>45393</v>
      </c>
      <c r="T331" s="3" t="s">
        <v>1515</v>
      </c>
      <c r="U331" s="5">
        <f>Table1[[#This Row],[Delivery_Date]]-Table1[[#This Row],[Order_Date]]</f>
        <v>5</v>
      </c>
      <c r="V331" s="5">
        <f>Table1[[#This Row],[Price]]*Table1[[#This Row],[Quantity]]</f>
        <v>477.52</v>
      </c>
      <c r="W331" s="6" cm="1">
        <f t="array" ref="W331">_xlfn.IFS(
P331="FLAT8",8%,
P331="FLAT10",10%,
P331="FLAT15",15%,P331="FLAT20",20%,P331="DEL0",0%,
TRUE,0%
)</f>
        <v>0</v>
      </c>
      <c r="X331" s="5">
        <f>Table1[[#This Row],[Amount]]-(Table1[[#This Row],[Amount]]*Table1[[#This Row],[Discount_Percentage]])</f>
        <v>477.52</v>
      </c>
      <c r="Y331" s="5">
        <f>IF(P331="DEL0",Table1[[#This Row],[Discount_Amount]],Table1[[#This Row],[Discount_Amount]]+Table1[[#This Row],[Delivery_Charge]])</f>
        <v>477.52</v>
      </c>
      <c r="Z331" s="7" t="str">
        <f>_xlfn.CONCAT(Table1[[#This Row],[First_Name]],"  ",Table1[[#This Row],[Last_Name]])</f>
        <v>Hannah  Gutierrez</v>
      </c>
      <c r="AA331" s="5" t="str" cm="1">
        <f t="array" ref="AA331">_xlfn.IFS( (S331-K331)&gt;Q331,"Late", (S331-K331)=Q331,"InTime", (S331-K331)&lt;Q331,"BeforeTime" )</f>
        <v>BeforeTime</v>
      </c>
      <c r="AB331" s="3">
        <f>MONTH(Table1[[#This Row],[Order_Date]])</f>
        <v>4</v>
      </c>
    </row>
    <row r="332" spans="1:28" x14ac:dyDescent="0.3">
      <c r="A332" s="3" t="s">
        <v>458</v>
      </c>
      <c r="B332" s="3" t="s">
        <v>459</v>
      </c>
      <c r="C332" s="3" t="s">
        <v>460</v>
      </c>
      <c r="D332" s="3" t="str">
        <f>_xlfn.CONCAT(Table1[[#This Row],[First_Name]],Table1[[#This Row],[Last_Name]])</f>
        <v>RebeccaFigueroa</v>
      </c>
      <c r="E332" s="3">
        <v>63</v>
      </c>
      <c r="F332" s="3" t="s">
        <v>29</v>
      </c>
      <c r="G332" s="3" t="s">
        <v>140</v>
      </c>
      <c r="H332" s="3" t="s">
        <v>461</v>
      </c>
      <c r="I332" s="3" t="s">
        <v>462</v>
      </c>
      <c r="J332" s="3" t="s">
        <v>1516</v>
      </c>
      <c r="K332" s="4">
        <v>45623</v>
      </c>
      <c r="L332" s="3" t="s">
        <v>1517</v>
      </c>
      <c r="M332" s="3" t="s">
        <v>774</v>
      </c>
      <c r="N332" s="3">
        <v>20</v>
      </c>
      <c r="O332" s="3">
        <v>2</v>
      </c>
      <c r="P332" s="3" t="s">
        <v>63</v>
      </c>
      <c r="Q332" s="3">
        <v>5</v>
      </c>
      <c r="R332" s="3">
        <v>55</v>
      </c>
      <c r="S332" s="4">
        <v>45629</v>
      </c>
      <c r="T332" s="3" t="s">
        <v>1518</v>
      </c>
      <c r="U332" s="5">
        <f>Table1[[#This Row],[Delivery_Date]]-Table1[[#This Row],[Order_Date]]</f>
        <v>6</v>
      </c>
      <c r="V332" s="5">
        <f>Table1[[#This Row],[Price]]*Table1[[#This Row],[Quantity]]</f>
        <v>40</v>
      </c>
      <c r="W332" s="6" cm="1">
        <f t="array" ref="W332">_xlfn.IFS(
P332="FLAT8",8%,
P332="FLAT10",10%,
P332="FLAT15",15%,P332="FLAT20",20%,P332="DEL0",0%,
TRUE,0%
)</f>
        <v>0</v>
      </c>
      <c r="X332" s="5">
        <f>Table1[[#This Row],[Amount]]-(Table1[[#This Row],[Amount]]*Table1[[#This Row],[Discount_Percentage]])</f>
        <v>40</v>
      </c>
      <c r="Y332" s="5">
        <f>IF(P332="DEL0",Table1[[#This Row],[Discount_Amount]],Table1[[#This Row],[Discount_Amount]]+Table1[[#This Row],[Delivery_Charge]])</f>
        <v>40</v>
      </c>
      <c r="Z332" s="7" t="str">
        <f>_xlfn.CONCAT(Table1[[#This Row],[First_Name]],"  ",Table1[[#This Row],[Last_Name]])</f>
        <v>Rebecca  Figueroa</v>
      </c>
      <c r="AA332" s="5" t="str" cm="1">
        <f t="array" ref="AA332">_xlfn.IFS( (S332-K332)&gt;Q332,"Late", (S332-K332)=Q332,"InTime", (S332-K332)&lt;Q332,"BeforeTime" )</f>
        <v>Late</v>
      </c>
      <c r="AB332" s="3">
        <f>MONTH(Table1[[#This Row],[Order_Date]])</f>
        <v>11</v>
      </c>
    </row>
    <row r="333" spans="1:28" x14ac:dyDescent="0.3">
      <c r="A333" s="3" t="s">
        <v>255</v>
      </c>
      <c r="B333" s="3" t="s">
        <v>256</v>
      </c>
      <c r="C333" s="3" t="s">
        <v>257</v>
      </c>
      <c r="D333" s="3" t="str">
        <f>_xlfn.CONCAT(Table1[[#This Row],[First_Name]],Table1[[#This Row],[Last_Name]])</f>
        <v>AshleyRose</v>
      </c>
      <c r="E333" s="3">
        <v>60</v>
      </c>
      <c r="F333" s="3" t="s">
        <v>52</v>
      </c>
      <c r="G333" s="3" t="s">
        <v>30</v>
      </c>
      <c r="H333" s="3" t="s">
        <v>258</v>
      </c>
      <c r="I333" s="3" t="s">
        <v>259</v>
      </c>
      <c r="J333" s="3" t="s">
        <v>1519</v>
      </c>
      <c r="K333" s="4">
        <v>45498</v>
      </c>
      <c r="L333" s="3" t="s">
        <v>1520</v>
      </c>
      <c r="M333" s="3" t="s">
        <v>657</v>
      </c>
      <c r="N333" s="3">
        <v>235.63</v>
      </c>
      <c r="O333" s="3">
        <v>1</v>
      </c>
      <c r="P333" s="3" t="s">
        <v>96</v>
      </c>
      <c r="Q333" s="3">
        <v>1</v>
      </c>
      <c r="R333" s="3">
        <v>38</v>
      </c>
      <c r="S333" s="4">
        <v>45504</v>
      </c>
      <c r="T333" s="3" t="s">
        <v>1521</v>
      </c>
      <c r="U333" s="5">
        <f>Table1[[#This Row],[Delivery_Date]]-Table1[[#This Row],[Order_Date]]</f>
        <v>6</v>
      </c>
      <c r="V333" s="5">
        <f>Table1[[#This Row],[Price]]*Table1[[#This Row],[Quantity]]</f>
        <v>235.63</v>
      </c>
      <c r="W333" s="6" cm="1">
        <f t="array" ref="W333">_xlfn.IFS(
P333="FLAT8",8%,
P333="FLAT10",10%,
P333="FLAT15",15%,P333="FLAT20",20%,P333="DEL0",0%,
TRUE,0%
)</f>
        <v>0.1</v>
      </c>
      <c r="X333" s="5">
        <f>Table1[[#This Row],[Amount]]-(Table1[[#This Row],[Amount]]*Table1[[#This Row],[Discount_Percentage]])</f>
        <v>212.06700000000001</v>
      </c>
      <c r="Y333" s="5">
        <f>IF(P333="DEL0",Table1[[#This Row],[Discount_Amount]],Table1[[#This Row],[Discount_Amount]]+Table1[[#This Row],[Delivery_Charge]])</f>
        <v>250.06700000000001</v>
      </c>
      <c r="Z333" s="7" t="str">
        <f>_xlfn.CONCAT(Table1[[#This Row],[First_Name]],"  ",Table1[[#This Row],[Last_Name]])</f>
        <v>Ashley  Rose</v>
      </c>
      <c r="AA333" s="5" t="str" cm="1">
        <f t="array" ref="AA333">_xlfn.IFS( (S333-K333)&gt;Q333,"Late", (S333-K333)=Q333,"InTime", (S333-K333)&lt;Q333,"BeforeTime" )</f>
        <v>Late</v>
      </c>
      <c r="AB333" s="3">
        <f>MONTH(Table1[[#This Row],[Order_Date]])</f>
        <v>7</v>
      </c>
    </row>
    <row r="334" spans="1:28" x14ac:dyDescent="0.3">
      <c r="A334" s="3" t="s">
        <v>1210</v>
      </c>
      <c r="B334" s="3" t="s">
        <v>1211</v>
      </c>
      <c r="C334" s="3" t="s">
        <v>1212</v>
      </c>
      <c r="D334" s="3" t="str">
        <f>_xlfn.CONCAT(Table1[[#This Row],[First_Name]],Table1[[#This Row],[Last_Name]])</f>
        <v>BrendanKelly</v>
      </c>
      <c r="E334" s="3">
        <v>50</v>
      </c>
      <c r="F334" s="3" t="s">
        <v>52</v>
      </c>
      <c r="G334" s="3" t="s">
        <v>168</v>
      </c>
      <c r="H334" s="3" t="s">
        <v>1213</v>
      </c>
      <c r="I334" s="3" t="s">
        <v>1214</v>
      </c>
      <c r="J334" s="3" t="s">
        <v>1522</v>
      </c>
      <c r="K334" s="4">
        <v>45289</v>
      </c>
      <c r="L334" s="3" t="s">
        <v>1523</v>
      </c>
      <c r="M334" s="3" t="s">
        <v>984</v>
      </c>
      <c r="N334" s="3">
        <v>33.49</v>
      </c>
      <c r="O334" s="3">
        <v>4</v>
      </c>
      <c r="P334" s="3" t="s">
        <v>58</v>
      </c>
      <c r="Q334" s="3">
        <v>4</v>
      </c>
      <c r="R334" s="3">
        <v>67</v>
      </c>
      <c r="S334" s="4">
        <v>45294</v>
      </c>
      <c r="T334" s="3" t="s">
        <v>1524</v>
      </c>
      <c r="U334" s="5">
        <f>Table1[[#This Row],[Delivery_Date]]-Table1[[#This Row],[Order_Date]]</f>
        <v>5</v>
      </c>
      <c r="V334" s="5">
        <f>Table1[[#This Row],[Price]]*Table1[[#This Row],[Quantity]]</f>
        <v>133.96</v>
      </c>
      <c r="W334" s="6" cm="1">
        <f t="array" ref="W334">_xlfn.IFS(
P334="FLAT8",8%,
P334="FLAT10",10%,
P334="FLAT15",15%,P334="FLAT20",20%,P334="DEL0",0%,
TRUE,0%
)</f>
        <v>0.15</v>
      </c>
      <c r="X334" s="5">
        <f>Table1[[#This Row],[Amount]]-(Table1[[#This Row],[Amount]]*Table1[[#This Row],[Discount_Percentage]])</f>
        <v>113.86600000000001</v>
      </c>
      <c r="Y334" s="5">
        <f>IF(P334="DEL0",Table1[[#This Row],[Discount_Amount]],Table1[[#This Row],[Discount_Amount]]+Table1[[#This Row],[Delivery_Charge]])</f>
        <v>180.86600000000001</v>
      </c>
      <c r="Z334" s="7" t="str">
        <f>_xlfn.CONCAT(Table1[[#This Row],[First_Name]],"  ",Table1[[#This Row],[Last_Name]])</f>
        <v>Brendan  Kelly</v>
      </c>
      <c r="AA334" s="5" t="str" cm="1">
        <f t="array" ref="AA334">_xlfn.IFS( (S334-K334)&gt;Q334,"Late", (S334-K334)=Q334,"InTime", (S334-K334)&lt;Q334,"BeforeTime" )</f>
        <v>Late</v>
      </c>
      <c r="AB334" s="3">
        <f>MONTH(Table1[[#This Row],[Order_Date]])</f>
        <v>12</v>
      </c>
    </row>
    <row r="335" spans="1:28" x14ac:dyDescent="0.3">
      <c r="A335" s="3" t="s">
        <v>333</v>
      </c>
      <c r="B335" s="3" t="s">
        <v>334</v>
      </c>
      <c r="C335" s="3" t="s">
        <v>335</v>
      </c>
      <c r="D335" s="3" t="str">
        <f>_xlfn.CONCAT(Table1[[#This Row],[First_Name]],Table1[[#This Row],[Last_Name]])</f>
        <v>JulieMeyer</v>
      </c>
      <c r="E335" s="3">
        <v>23</v>
      </c>
      <c r="F335" s="3" t="s">
        <v>29</v>
      </c>
      <c r="G335" s="3" t="s">
        <v>30</v>
      </c>
      <c r="H335" s="3" t="s">
        <v>336</v>
      </c>
      <c r="I335" s="3" t="s">
        <v>337</v>
      </c>
      <c r="J335" s="3" t="s">
        <v>1525</v>
      </c>
      <c r="K335" s="4">
        <v>45271</v>
      </c>
      <c r="L335" s="3" t="s">
        <v>1526</v>
      </c>
      <c r="M335" s="3" t="s">
        <v>514</v>
      </c>
      <c r="N335" s="3">
        <v>136.30000000000001</v>
      </c>
      <c r="O335" s="3">
        <v>4</v>
      </c>
      <c r="P335" s="3" t="s">
        <v>96</v>
      </c>
      <c r="Q335" s="3">
        <v>1</v>
      </c>
      <c r="R335" s="3">
        <v>35</v>
      </c>
      <c r="S335" s="4">
        <v>45275</v>
      </c>
      <c r="T335" s="3" t="s">
        <v>1527</v>
      </c>
      <c r="U335" s="5">
        <f>Table1[[#This Row],[Delivery_Date]]-Table1[[#This Row],[Order_Date]]</f>
        <v>4</v>
      </c>
      <c r="V335" s="5">
        <f>Table1[[#This Row],[Price]]*Table1[[#This Row],[Quantity]]</f>
        <v>545.20000000000005</v>
      </c>
      <c r="W335" s="6" cm="1">
        <f t="array" ref="W335">_xlfn.IFS(
P335="FLAT8",8%,
P335="FLAT10",10%,
P335="FLAT15",15%,P335="FLAT20",20%,P335="DEL0",0%,
TRUE,0%
)</f>
        <v>0.1</v>
      </c>
      <c r="X335" s="5">
        <f>Table1[[#This Row],[Amount]]-(Table1[[#This Row],[Amount]]*Table1[[#This Row],[Discount_Percentage]])</f>
        <v>490.68000000000006</v>
      </c>
      <c r="Y335" s="5">
        <f>IF(P335="DEL0",Table1[[#This Row],[Discount_Amount]],Table1[[#This Row],[Discount_Amount]]+Table1[[#This Row],[Delivery_Charge]])</f>
        <v>525.68000000000006</v>
      </c>
      <c r="Z335" s="7" t="str">
        <f>_xlfn.CONCAT(Table1[[#This Row],[First_Name]],"  ",Table1[[#This Row],[Last_Name]])</f>
        <v>Julie  Meyer</v>
      </c>
      <c r="AA335" s="5" t="str" cm="1">
        <f t="array" ref="AA335">_xlfn.IFS( (S335-K335)&gt;Q335,"Late", (S335-K335)=Q335,"InTime", (S335-K335)&lt;Q335,"BeforeTime" )</f>
        <v>Late</v>
      </c>
      <c r="AB335" s="3">
        <f>MONTH(Table1[[#This Row],[Order_Date]])</f>
        <v>12</v>
      </c>
    </row>
    <row r="336" spans="1:28" x14ac:dyDescent="0.3">
      <c r="A336" s="3" t="s">
        <v>986</v>
      </c>
      <c r="B336" s="3" t="s">
        <v>987</v>
      </c>
      <c r="C336" s="3" t="s">
        <v>988</v>
      </c>
      <c r="D336" s="3" t="str">
        <f>_xlfn.CONCAT(Table1[[#This Row],[First_Name]],Table1[[#This Row],[Last_Name]])</f>
        <v>NatashaMichael</v>
      </c>
      <c r="E336" s="3">
        <v>49</v>
      </c>
      <c r="F336" s="3" t="s">
        <v>29</v>
      </c>
      <c r="G336" s="3" t="s">
        <v>42</v>
      </c>
      <c r="H336" s="3" t="s">
        <v>989</v>
      </c>
      <c r="I336" s="3" t="s">
        <v>990</v>
      </c>
      <c r="J336" s="3" t="s">
        <v>1528</v>
      </c>
      <c r="K336" s="4">
        <v>45122</v>
      </c>
      <c r="L336" s="3" t="s">
        <v>1529</v>
      </c>
      <c r="M336" s="3" t="s">
        <v>246</v>
      </c>
      <c r="N336" s="3">
        <v>282.63</v>
      </c>
      <c r="O336" s="3">
        <v>4</v>
      </c>
      <c r="P336" s="3" t="s">
        <v>96</v>
      </c>
      <c r="Q336" s="3">
        <v>1</v>
      </c>
      <c r="R336" s="3">
        <v>48</v>
      </c>
      <c r="S336" s="4">
        <v>45125</v>
      </c>
      <c r="T336" s="3" t="s">
        <v>1530</v>
      </c>
      <c r="U336" s="5">
        <f>Table1[[#This Row],[Delivery_Date]]-Table1[[#This Row],[Order_Date]]</f>
        <v>3</v>
      </c>
      <c r="V336" s="5">
        <f>Table1[[#This Row],[Price]]*Table1[[#This Row],[Quantity]]</f>
        <v>1130.52</v>
      </c>
      <c r="W336" s="6" cm="1">
        <f t="array" ref="W336">_xlfn.IFS(
P336="FLAT8",8%,
P336="FLAT10",10%,
P336="FLAT15",15%,P336="FLAT20",20%,P336="DEL0",0%,
TRUE,0%
)</f>
        <v>0.1</v>
      </c>
      <c r="X336" s="5">
        <f>Table1[[#This Row],[Amount]]-(Table1[[#This Row],[Amount]]*Table1[[#This Row],[Discount_Percentage]])</f>
        <v>1017.468</v>
      </c>
      <c r="Y336" s="5">
        <f>IF(P336="DEL0",Table1[[#This Row],[Discount_Amount]],Table1[[#This Row],[Discount_Amount]]+Table1[[#This Row],[Delivery_Charge]])</f>
        <v>1065.4679999999998</v>
      </c>
      <c r="Z336" s="7" t="str">
        <f>_xlfn.CONCAT(Table1[[#This Row],[First_Name]],"  ",Table1[[#This Row],[Last_Name]])</f>
        <v>Natasha  Michael</v>
      </c>
      <c r="AA336" s="5" t="str" cm="1">
        <f t="array" ref="AA336">_xlfn.IFS( (S336-K336)&gt;Q336,"Late", (S336-K336)=Q336,"InTime", (S336-K336)&lt;Q336,"BeforeTime" )</f>
        <v>Late</v>
      </c>
      <c r="AB336" s="3">
        <f>MONTH(Table1[[#This Row],[Order_Date]])</f>
        <v>7</v>
      </c>
    </row>
    <row r="337" spans="1:28" x14ac:dyDescent="0.3">
      <c r="A337" s="3" t="s">
        <v>839</v>
      </c>
      <c r="B337" s="3" t="s">
        <v>840</v>
      </c>
      <c r="C337" s="3" t="s">
        <v>841</v>
      </c>
      <c r="D337" s="3" t="str">
        <f>_xlfn.CONCAT(Table1[[#This Row],[First_Name]],Table1[[#This Row],[Last_Name]])</f>
        <v>LeslieMontgomery</v>
      </c>
      <c r="E337" s="3">
        <v>26</v>
      </c>
      <c r="F337" s="3" t="s">
        <v>41</v>
      </c>
      <c r="G337" s="3" t="s">
        <v>159</v>
      </c>
      <c r="H337" s="3" t="s">
        <v>842</v>
      </c>
      <c r="I337" s="3" t="s">
        <v>843</v>
      </c>
      <c r="J337" s="3" t="s">
        <v>1531</v>
      </c>
      <c r="K337" s="4">
        <v>45627</v>
      </c>
      <c r="L337" s="3" t="s">
        <v>1532</v>
      </c>
      <c r="M337" s="3" t="s">
        <v>173</v>
      </c>
      <c r="N337" s="3">
        <v>272.51</v>
      </c>
      <c r="O337" s="3">
        <v>5</v>
      </c>
      <c r="P337" s="3" t="s">
        <v>96</v>
      </c>
      <c r="Q337" s="3">
        <v>4</v>
      </c>
      <c r="R337" s="3">
        <v>45</v>
      </c>
      <c r="S337" s="4">
        <v>45630</v>
      </c>
      <c r="T337" s="3" t="s">
        <v>1533</v>
      </c>
      <c r="U337" s="5">
        <f>Table1[[#This Row],[Delivery_Date]]-Table1[[#This Row],[Order_Date]]</f>
        <v>3</v>
      </c>
      <c r="V337" s="5">
        <f>Table1[[#This Row],[Price]]*Table1[[#This Row],[Quantity]]</f>
        <v>1362.55</v>
      </c>
      <c r="W337" s="6" cm="1">
        <f t="array" ref="W337">_xlfn.IFS(
P337="FLAT8",8%,
P337="FLAT10",10%,
P337="FLAT15",15%,P337="FLAT20",20%,P337="DEL0",0%,
TRUE,0%
)</f>
        <v>0.1</v>
      </c>
      <c r="X337" s="5">
        <f>Table1[[#This Row],[Amount]]-(Table1[[#This Row],[Amount]]*Table1[[#This Row],[Discount_Percentage]])</f>
        <v>1226.2950000000001</v>
      </c>
      <c r="Y337" s="5">
        <f>IF(P337="DEL0",Table1[[#This Row],[Discount_Amount]],Table1[[#This Row],[Discount_Amount]]+Table1[[#This Row],[Delivery_Charge]])</f>
        <v>1271.2950000000001</v>
      </c>
      <c r="Z337" s="7" t="str">
        <f>_xlfn.CONCAT(Table1[[#This Row],[First_Name]],"  ",Table1[[#This Row],[Last_Name]])</f>
        <v>Leslie  Montgomery</v>
      </c>
      <c r="AA337" s="5" t="str" cm="1">
        <f t="array" ref="AA337">_xlfn.IFS( (S337-K337)&gt;Q337,"Late", (S337-K337)=Q337,"InTime", (S337-K337)&lt;Q337,"BeforeTime" )</f>
        <v>BeforeTime</v>
      </c>
      <c r="AB337" s="3">
        <f>MONTH(Table1[[#This Row],[Order_Date]])</f>
        <v>12</v>
      </c>
    </row>
    <row r="338" spans="1:28" x14ac:dyDescent="0.3">
      <c r="A338" s="3" t="s">
        <v>831</v>
      </c>
      <c r="B338" s="3" t="s">
        <v>832</v>
      </c>
      <c r="C338" s="3" t="s">
        <v>833</v>
      </c>
      <c r="D338" s="3" t="str">
        <f>_xlfn.CONCAT(Table1[[#This Row],[First_Name]],Table1[[#This Row],[Last_Name]])</f>
        <v>JamesBrown</v>
      </c>
      <c r="E338" s="3">
        <v>60</v>
      </c>
      <c r="F338" s="3" t="s">
        <v>29</v>
      </c>
      <c r="G338" s="3" t="s">
        <v>140</v>
      </c>
      <c r="H338" s="3" t="s">
        <v>834</v>
      </c>
      <c r="I338" s="3" t="s">
        <v>835</v>
      </c>
      <c r="J338" s="3" t="s">
        <v>1534</v>
      </c>
      <c r="K338" s="4">
        <v>45053</v>
      </c>
      <c r="L338" s="3" t="s">
        <v>1535</v>
      </c>
      <c r="M338" s="3" t="s">
        <v>105</v>
      </c>
      <c r="N338" s="3">
        <v>275.44</v>
      </c>
      <c r="O338" s="3">
        <v>2</v>
      </c>
      <c r="P338" s="3" t="s">
        <v>58</v>
      </c>
      <c r="Q338" s="3">
        <v>4</v>
      </c>
      <c r="R338" s="3">
        <v>54</v>
      </c>
      <c r="S338" s="4">
        <v>45059</v>
      </c>
      <c r="T338" s="3" t="s">
        <v>1536</v>
      </c>
      <c r="U338" s="5">
        <f>Table1[[#This Row],[Delivery_Date]]-Table1[[#This Row],[Order_Date]]</f>
        <v>6</v>
      </c>
      <c r="V338" s="5">
        <f>Table1[[#This Row],[Price]]*Table1[[#This Row],[Quantity]]</f>
        <v>550.88</v>
      </c>
      <c r="W338" s="6" cm="1">
        <f t="array" ref="W338">_xlfn.IFS(
P338="FLAT8",8%,
P338="FLAT10",10%,
P338="FLAT15",15%,P338="FLAT20",20%,P338="DEL0",0%,
TRUE,0%
)</f>
        <v>0.15</v>
      </c>
      <c r="X338" s="5">
        <f>Table1[[#This Row],[Amount]]-(Table1[[#This Row],[Amount]]*Table1[[#This Row],[Discount_Percentage]])</f>
        <v>468.24799999999999</v>
      </c>
      <c r="Y338" s="5">
        <f>IF(P338="DEL0",Table1[[#This Row],[Discount_Amount]],Table1[[#This Row],[Discount_Amount]]+Table1[[#This Row],[Delivery_Charge]])</f>
        <v>522.24800000000005</v>
      </c>
      <c r="Z338" s="7" t="str">
        <f>_xlfn.CONCAT(Table1[[#This Row],[First_Name]],"  ",Table1[[#This Row],[Last_Name]])</f>
        <v>James  Brown</v>
      </c>
      <c r="AA338" s="5" t="str" cm="1">
        <f t="array" ref="AA338">_xlfn.IFS( (S338-K338)&gt;Q338,"Late", (S338-K338)=Q338,"InTime", (S338-K338)&lt;Q338,"BeforeTime" )</f>
        <v>Late</v>
      </c>
      <c r="AB338" s="3">
        <f>MONTH(Table1[[#This Row],[Order_Date]])</f>
        <v>5</v>
      </c>
    </row>
    <row r="339" spans="1:28" x14ac:dyDescent="0.3">
      <c r="A339" s="3" t="s">
        <v>366</v>
      </c>
      <c r="B339" s="3" t="s">
        <v>367</v>
      </c>
      <c r="C339" s="3" t="s">
        <v>368</v>
      </c>
      <c r="D339" s="3" t="str">
        <f>_xlfn.CONCAT(Table1[[#This Row],[First_Name]],Table1[[#This Row],[Last_Name]])</f>
        <v>TimothyHicks</v>
      </c>
      <c r="E339" s="3">
        <v>31</v>
      </c>
      <c r="F339" s="3" t="s">
        <v>52</v>
      </c>
      <c r="G339" s="3" t="s">
        <v>140</v>
      </c>
      <c r="H339" s="3" t="s">
        <v>369</v>
      </c>
      <c r="I339" s="3" t="s">
        <v>370</v>
      </c>
      <c r="J339" s="3" t="s">
        <v>1537</v>
      </c>
      <c r="K339" s="4">
        <v>45148</v>
      </c>
      <c r="L339" s="3" t="s">
        <v>1538</v>
      </c>
      <c r="M339" s="3" t="s">
        <v>518</v>
      </c>
      <c r="N339" s="3">
        <v>441.03</v>
      </c>
      <c r="O339" s="3">
        <v>2</v>
      </c>
      <c r="P339" s="3" t="s">
        <v>36</v>
      </c>
      <c r="Q339" s="3">
        <v>3</v>
      </c>
      <c r="R339" s="3">
        <v>62</v>
      </c>
      <c r="S339" s="4">
        <v>45151</v>
      </c>
      <c r="T339" s="3" t="s">
        <v>1539</v>
      </c>
      <c r="U339" s="5">
        <f>Table1[[#This Row],[Delivery_Date]]-Table1[[#This Row],[Order_Date]]</f>
        <v>3</v>
      </c>
      <c r="V339" s="5">
        <f>Table1[[#This Row],[Price]]*Table1[[#This Row],[Quantity]]</f>
        <v>882.06</v>
      </c>
      <c r="W339" s="6" cm="1">
        <f t="array" ref="W339">_xlfn.IFS(
P339="FLAT8",8%,
P339="FLAT10",10%,
P339="FLAT15",15%,P339="FLAT20",20%,P339="DEL0",0%,
TRUE,0%
)</f>
        <v>0.08</v>
      </c>
      <c r="X339" s="5">
        <f>Table1[[#This Row],[Amount]]-(Table1[[#This Row],[Amount]]*Table1[[#This Row],[Discount_Percentage]])</f>
        <v>811.49519999999995</v>
      </c>
      <c r="Y339" s="5">
        <f>IF(P339="DEL0",Table1[[#This Row],[Discount_Amount]],Table1[[#This Row],[Discount_Amount]]+Table1[[#This Row],[Delivery_Charge]])</f>
        <v>873.49519999999995</v>
      </c>
      <c r="Z339" s="7" t="str">
        <f>_xlfn.CONCAT(Table1[[#This Row],[First_Name]],"  ",Table1[[#This Row],[Last_Name]])</f>
        <v>Timothy  Hicks</v>
      </c>
      <c r="AA339" s="5" t="str" cm="1">
        <f t="array" ref="AA339">_xlfn.IFS( (S339-K339)&gt;Q339,"Late", (S339-K339)=Q339,"InTime", (S339-K339)&lt;Q339,"BeforeTime" )</f>
        <v>InTime</v>
      </c>
      <c r="AB339" s="3">
        <f>MONTH(Table1[[#This Row],[Order_Date]])</f>
        <v>8</v>
      </c>
    </row>
    <row r="340" spans="1:28" x14ac:dyDescent="0.3">
      <c r="A340" s="3" t="s">
        <v>393</v>
      </c>
      <c r="B340" s="3" t="s">
        <v>394</v>
      </c>
      <c r="C340" s="3" t="s">
        <v>395</v>
      </c>
      <c r="D340" s="3" t="str">
        <f>_xlfn.CONCAT(Table1[[#This Row],[First_Name]],Table1[[#This Row],[Last_Name]])</f>
        <v>JasonLopez</v>
      </c>
      <c r="E340" s="3">
        <v>40</v>
      </c>
      <c r="F340" s="3" t="s">
        <v>52</v>
      </c>
      <c r="G340" s="3" t="s">
        <v>168</v>
      </c>
      <c r="H340" s="3" t="s">
        <v>396</v>
      </c>
      <c r="I340" s="3" t="s">
        <v>397</v>
      </c>
      <c r="J340" s="3" t="s">
        <v>1540</v>
      </c>
      <c r="K340" s="4">
        <v>45285</v>
      </c>
      <c r="L340" s="3" t="s">
        <v>1541</v>
      </c>
      <c r="M340" s="3" t="s">
        <v>308</v>
      </c>
      <c r="N340" s="3">
        <v>129.75</v>
      </c>
      <c r="O340" s="3">
        <v>2</v>
      </c>
      <c r="P340" s="3" t="s">
        <v>58</v>
      </c>
      <c r="Q340" s="3">
        <v>1</v>
      </c>
      <c r="R340" s="3">
        <v>62</v>
      </c>
      <c r="S340" s="4">
        <v>45290</v>
      </c>
      <c r="T340" s="3" t="s">
        <v>1542</v>
      </c>
      <c r="U340" s="5">
        <f>Table1[[#This Row],[Delivery_Date]]-Table1[[#This Row],[Order_Date]]</f>
        <v>5</v>
      </c>
      <c r="V340" s="5">
        <f>Table1[[#This Row],[Price]]*Table1[[#This Row],[Quantity]]</f>
        <v>259.5</v>
      </c>
      <c r="W340" s="6" cm="1">
        <f t="array" ref="W340">_xlfn.IFS(
P340="FLAT8",8%,
P340="FLAT10",10%,
P340="FLAT15",15%,P340="FLAT20",20%,P340="DEL0",0%,
TRUE,0%
)</f>
        <v>0.15</v>
      </c>
      <c r="X340" s="5">
        <f>Table1[[#This Row],[Amount]]-(Table1[[#This Row],[Amount]]*Table1[[#This Row],[Discount_Percentage]])</f>
        <v>220.57499999999999</v>
      </c>
      <c r="Y340" s="5">
        <f>IF(P340="DEL0",Table1[[#This Row],[Discount_Amount]],Table1[[#This Row],[Discount_Amount]]+Table1[[#This Row],[Delivery_Charge]])</f>
        <v>282.57499999999999</v>
      </c>
      <c r="Z340" s="7" t="str">
        <f>_xlfn.CONCAT(Table1[[#This Row],[First_Name]],"  ",Table1[[#This Row],[Last_Name]])</f>
        <v>Jason  Lopez</v>
      </c>
      <c r="AA340" s="5" t="str" cm="1">
        <f t="array" ref="AA340">_xlfn.IFS( (S340-K340)&gt;Q340,"Late", (S340-K340)=Q340,"InTime", (S340-K340)&lt;Q340,"BeforeTime" )</f>
        <v>Late</v>
      </c>
      <c r="AB340" s="3">
        <f>MONTH(Table1[[#This Row],[Order_Date]])</f>
        <v>12</v>
      </c>
    </row>
    <row r="341" spans="1:28" x14ac:dyDescent="0.3">
      <c r="A341" s="3" t="s">
        <v>1332</v>
      </c>
      <c r="B341" s="3" t="s">
        <v>1333</v>
      </c>
      <c r="C341" s="3" t="s">
        <v>395</v>
      </c>
      <c r="D341" s="3" t="str">
        <f>_xlfn.CONCAT(Table1[[#This Row],[First_Name]],Table1[[#This Row],[Last_Name]])</f>
        <v>VeronicaLopez</v>
      </c>
      <c r="E341" s="3">
        <v>18</v>
      </c>
      <c r="F341" s="3" t="s">
        <v>41</v>
      </c>
      <c r="G341" s="3" t="s">
        <v>220</v>
      </c>
      <c r="H341" s="3" t="s">
        <v>1334</v>
      </c>
      <c r="I341" s="3" t="s">
        <v>1335</v>
      </c>
      <c r="J341" s="3" t="s">
        <v>1543</v>
      </c>
      <c r="K341" s="4">
        <v>45682</v>
      </c>
      <c r="L341" s="3" t="s">
        <v>1544</v>
      </c>
      <c r="M341" s="3" t="s">
        <v>573</v>
      </c>
      <c r="N341" s="3">
        <v>477.52</v>
      </c>
      <c r="O341" s="3">
        <v>3</v>
      </c>
      <c r="P341" s="3" t="s">
        <v>85</v>
      </c>
      <c r="Q341" s="3">
        <v>7</v>
      </c>
      <c r="R341" s="3">
        <v>41</v>
      </c>
      <c r="S341" s="4">
        <v>45686</v>
      </c>
      <c r="T341" s="3" t="s">
        <v>1545</v>
      </c>
      <c r="U341" s="5">
        <f>Table1[[#This Row],[Delivery_Date]]-Table1[[#This Row],[Order_Date]]</f>
        <v>4</v>
      </c>
      <c r="V341" s="5">
        <f>Table1[[#This Row],[Price]]*Table1[[#This Row],[Quantity]]</f>
        <v>1432.56</v>
      </c>
      <c r="W341" s="6" cm="1">
        <f t="array" ref="W341">_xlfn.IFS(
P341="FLAT8",8%,
P341="FLAT10",10%,
P341="FLAT15",15%,P341="FLAT20",20%,P341="DEL0",0%,
TRUE,0%
)</f>
        <v>0.2</v>
      </c>
      <c r="X341" s="5">
        <f>Table1[[#This Row],[Amount]]-(Table1[[#This Row],[Amount]]*Table1[[#This Row],[Discount_Percentage]])</f>
        <v>1146.048</v>
      </c>
      <c r="Y341" s="5">
        <f>IF(P341="DEL0",Table1[[#This Row],[Discount_Amount]],Table1[[#This Row],[Discount_Amount]]+Table1[[#This Row],[Delivery_Charge]])</f>
        <v>1187.048</v>
      </c>
      <c r="Z341" s="7" t="str">
        <f>_xlfn.CONCAT(Table1[[#This Row],[First_Name]],"  ",Table1[[#This Row],[Last_Name]])</f>
        <v>Veronica  Lopez</v>
      </c>
      <c r="AA341" s="5" t="str" cm="1">
        <f t="array" ref="AA341">_xlfn.IFS( (S341-K341)&gt;Q341,"Late", (S341-K341)=Q341,"InTime", (S341-K341)&lt;Q341,"BeforeTime" )</f>
        <v>BeforeTime</v>
      </c>
      <c r="AB341" s="3">
        <f>MONTH(Table1[[#This Row],[Order_Date]])</f>
        <v>1</v>
      </c>
    </row>
    <row r="342" spans="1:28" x14ac:dyDescent="0.3">
      <c r="A342" s="3" t="s">
        <v>500</v>
      </c>
      <c r="B342" s="3" t="s">
        <v>501</v>
      </c>
      <c r="C342" s="3" t="s">
        <v>387</v>
      </c>
      <c r="D342" s="3" t="str">
        <f>_xlfn.CONCAT(Table1[[#This Row],[First_Name]],Table1[[#This Row],[Last_Name]])</f>
        <v>SharonThompson</v>
      </c>
      <c r="E342" s="3">
        <v>57</v>
      </c>
      <c r="F342" s="3" t="s">
        <v>41</v>
      </c>
      <c r="G342" s="3" t="s">
        <v>220</v>
      </c>
      <c r="H342" s="3" t="s">
        <v>502</v>
      </c>
      <c r="I342" s="3" t="s">
        <v>503</v>
      </c>
      <c r="J342" s="3" t="s">
        <v>1546</v>
      </c>
      <c r="K342" s="4">
        <v>45453</v>
      </c>
      <c r="L342" s="3" t="s">
        <v>1547</v>
      </c>
      <c r="M342" s="3" t="s">
        <v>941</v>
      </c>
      <c r="N342" s="3">
        <v>107.47</v>
      </c>
      <c r="O342" s="3">
        <v>3</v>
      </c>
      <c r="P342" s="3" t="s">
        <v>96</v>
      </c>
      <c r="Q342" s="3">
        <v>4</v>
      </c>
      <c r="R342" s="3">
        <v>59</v>
      </c>
      <c r="S342" s="4">
        <v>45454</v>
      </c>
      <c r="T342" s="3" t="s">
        <v>1548</v>
      </c>
      <c r="U342" s="5">
        <f>Table1[[#This Row],[Delivery_Date]]-Table1[[#This Row],[Order_Date]]</f>
        <v>1</v>
      </c>
      <c r="V342" s="5">
        <f>Table1[[#This Row],[Price]]*Table1[[#This Row],[Quantity]]</f>
        <v>322.40999999999997</v>
      </c>
      <c r="W342" s="6" cm="1">
        <f t="array" ref="W342">_xlfn.IFS(
P342="FLAT8",8%,
P342="FLAT10",10%,
P342="FLAT15",15%,P342="FLAT20",20%,P342="DEL0",0%,
TRUE,0%
)</f>
        <v>0.1</v>
      </c>
      <c r="X342" s="5">
        <f>Table1[[#This Row],[Amount]]-(Table1[[#This Row],[Amount]]*Table1[[#This Row],[Discount_Percentage]])</f>
        <v>290.16899999999998</v>
      </c>
      <c r="Y342" s="5">
        <f>IF(P342="DEL0",Table1[[#This Row],[Discount_Amount]],Table1[[#This Row],[Discount_Amount]]+Table1[[#This Row],[Delivery_Charge]])</f>
        <v>349.16899999999998</v>
      </c>
      <c r="Z342" s="7" t="str">
        <f>_xlfn.CONCAT(Table1[[#This Row],[First_Name]],"  ",Table1[[#This Row],[Last_Name]])</f>
        <v>Sharon  Thompson</v>
      </c>
      <c r="AA342" s="5" t="str" cm="1">
        <f t="array" ref="AA342">_xlfn.IFS( (S342-K342)&gt;Q342,"Late", (S342-K342)=Q342,"InTime", (S342-K342)&lt;Q342,"BeforeTime" )</f>
        <v>BeforeTime</v>
      </c>
      <c r="AB342" s="3">
        <f>MONTH(Table1[[#This Row],[Order_Date]])</f>
        <v>6</v>
      </c>
    </row>
    <row r="343" spans="1:28" x14ac:dyDescent="0.3">
      <c r="A343" s="3" t="s">
        <v>767</v>
      </c>
      <c r="B343" s="3" t="s">
        <v>768</v>
      </c>
      <c r="C343" s="3" t="s">
        <v>769</v>
      </c>
      <c r="D343" s="3" t="str">
        <f>_xlfn.CONCAT(Table1[[#This Row],[First_Name]],Table1[[#This Row],[Last_Name]])</f>
        <v>KristinaHaynes</v>
      </c>
      <c r="E343" s="3">
        <v>27</v>
      </c>
      <c r="F343" s="3" t="s">
        <v>29</v>
      </c>
      <c r="G343" s="3" t="s">
        <v>42</v>
      </c>
      <c r="H343" s="3" t="s">
        <v>770</v>
      </c>
      <c r="I343" s="3" t="s">
        <v>771</v>
      </c>
      <c r="J343" s="3" t="s">
        <v>1549</v>
      </c>
      <c r="K343" s="4">
        <v>45185</v>
      </c>
      <c r="L343" s="3" t="s">
        <v>1550</v>
      </c>
      <c r="M343" s="3" t="s">
        <v>291</v>
      </c>
      <c r="N343" s="3">
        <v>158.53</v>
      </c>
      <c r="O343" s="3">
        <v>2</v>
      </c>
      <c r="P343" s="3" t="s">
        <v>36</v>
      </c>
      <c r="Q343" s="3">
        <v>2</v>
      </c>
      <c r="R343" s="3">
        <v>56</v>
      </c>
      <c r="S343" s="4">
        <v>45187</v>
      </c>
      <c r="T343" s="3" t="s">
        <v>1551</v>
      </c>
      <c r="U343" s="5">
        <f>Table1[[#This Row],[Delivery_Date]]-Table1[[#This Row],[Order_Date]]</f>
        <v>2</v>
      </c>
      <c r="V343" s="5">
        <f>Table1[[#This Row],[Price]]*Table1[[#This Row],[Quantity]]</f>
        <v>317.06</v>
      </c>
      <c r="W343" s="6" cm="1">
        <f t="array" ref="W343">_xlfn.IFS(
P343="FLAT8",8%,
P343="FLAT10",10%,
P343="FLAT15",15%,P343="FLAT20",20%,P343="DEL0",0%,
TRUE,0%
)</f>
        <v>0.08</v>
      </c>
      <c r="X343" s="5">
        <f>Table1[[#This Row],[Amount]]-(Table1[[#This Row],[Amount]]*Table1[[#This Row],[Discount_Percentage]])</f>
        <v>291.6952</v>
      </c>
      <c r="Y343" s="5">
        <f>IF(P343="DEL0",Table1[[#This Row],[Discount_Amount]],Table1[[#This Row],[Discount_Amount]]+Table1[[#This Row],[Delivery_Charge]])</f>
        <v>347.6952</v>
      </c>
      <c r="Z343" s="7" t="str">
        <f>_xlfn.CONCAT(Table1[[#This Row],[First_Name]],"  ",Table1[[#This Row],[Last_Name]])</f>
        <v>Kristina  Haynes</v>
      </c>
      <c r="AA343" s="5" t="str" cm="1">
        <f t="array" ref="AA343">_xlfn.IFS( (S343-K343)&gt;Q343,"Late", (S343-K343)=Q343,"InTime", (S343-K343)&lt;Q343,"BeforeTime" )</f>
        <v>InTime</v>
      </c>
      <c r="AB343" s="3">
        <f>MONTH(Table1[[#This Row],[Order_Date]])</f>
        <v>9</v>
      </c>
    </row>
    <row r="344" spans="1:28" x14ac:dyDescent="0.3">
      <c r="A344" s="3" t="s">
        <v>1457</v>
      </c>
      <c r="B344" s="3" t="s">
        <v>273</v>
      </c>
      <c r="C344" s="3" t="s">
        <v>1458</v>
      </c>
      <c r="D344" s="3" t="str">
        <f>_xlfn.CONCAT(Table1[[#This Row],[First_Name]],Table1[[#This Row],[Last_Name]])</f>
        <v>LaurenLane</v>
      </c>
      <c r="E344" s="3">
        <v>30</v>
      </c>
      <c r="F344" s="3" t="s">
        <v>29</v>
      </c>
      <c r="G344" s="3" t="s">
        <v>220</v>
      </c>
      <c r="H344" s="3" t="s">
        <v>1459</v>
      </c>
      <c r="I344" s="3" t="s">
        <v>1460</v>
      </c>
      <c r="J344" s="3" t="s">
        <v>1552</v>
      </c>
      <c r="K344" s="4">
        <v>45423</v>
      </c>
      <c r="L344" s="3" t="s">
        <v>1553</v>
      </c>
      <c r="M344" s="3" t="s">
        <v>518</v>
      </c>
      <c r="N344" s="3">
        <v>441.03</v>
      </c>
      <c r="O344" s="3">
        <v>2</v>
      </c>
      <c r="P344" s="3" t="s">
        <v>63</v>
      </c>
      <c r="Q344" s="3">
        <v>4</v>
      </c>
      <c r="R344" s="3">
        <v>55</v>
      </c>
      <c r="S344" s="4">
        <v>45429</v>
      </c>
      <c r="T344" s="3" t="s">
        <v>1554</v>
      </c>
      <c r="U344" s="5">
        <f>Table1[[#This Row],[Delivery_Date]]-Table1[[#This Row],[Order_Date]]</f>
        <v>6</v>
      </c>
      <c r="V344" s="5">
        <f>Table1[[#This Row],[Price]]*Table1[[#This Row],[Quantity]]</f>
        <v>882.06</v>
      </c>
      <c r="W344" s="6" cm="1">
        <f t="array" ref="W344">_xlfn.IFS(
P344="FLAT8",8%,
P344="FLAT10",10%,
P344="FLAT15",15%,P344="FLAT20",20%,P344="DEL0",0%,
TRUE,0%
)</f>
        <v>0</v>
      </c>
      <c r="X344" s="5">
        <f>Table1[[#This Row],[Amount]]-(Table1[[#This Row],[Amount]]*Table1[[#This Row],[Discount_Percentage]])</f>
        <v>882.06</v>
      </c>
      <c r="Y344" s="5">
        <f>IF(P344="DEL0",Table1[[#This Row],[Discount_Amount]],Table1[[#This Row],[Discount_Amount]]+Table1[[#This Row],[Delivery_Charge]])</f>
        <v>882.06</v>
      </c>
      <c r="Z344" s="7" t="str">
        <f>_xlfn.CONCAT(Table1[[#This Row],[First_Name]],"  ",Table1[[#This Row],[Last_Name]])</f>
        <v>Lauren  Lane</v>
      </c>
      <c r="AA344" s="5" t="str" cm="1">
        <f t="array" ref="AA344">_xlfn.IFS( (S344-K344)&gt;Q344,"Late", (S344-K344)=Q344,"InTime", (S344-K344)&lt;Q344,"BeforeTime" )</f>
        <v>Late</v>
      </c>
      <c r="AB344" s="3">
        <f>MONTH(Table1[[#This Row],[Order_Date]])</f>
        <v>5</v>
      </c>
    </row>
    <row r="345" spans="1:28" x14ac:dyDescent="0.3">
      <c r="A345" s="3" t="s">
        <v>750</v>
      </c>
      <c r="B345" s="3" t="s">
        <v>751</v>
      </c>
      <c r="C345" s="3" t="s">
        <v>752</v>
      </c>
      <c r="D345" s="3" t="str">
        <f>_xlfn.CONCAT(Table1[[#This Row],[First_Name]],Table1[[#This Row],[Last_Name]])</f>
        <v>BarbaraFuller</v>
      </c>
      <c r="E345" s="3">
        <v>43</v>
      </c>
      <c r="F345" s="3" t="s">
        <v>52</v>
      </c>
      <c r="G345" s="3" t="s">
        <v>159</v>
      </c>
      <c r="H345" s="3" t="s">
        <v>753</v>
      </c>
      <c r="I345" s="3" t="s">
        <v>754</v>
      </c>
      <c r="J345" s="3" t="s">
        <v>1555</v>
      </c>
      <c r="K345" s="4">
        <v>44966</v>
      </c>
      <c r="L345" s="3" t="s">
        <v>1556</v>
      </c>
      <c r="M345" s="3" t="s">
        <v>481</v>
      </c>
      <c r="N345" s="3">
        <v>87.09</v>
      </c>
      <c r="O345" s="3">
        <v>5</v>
      </c>
      <c r="P345" s="3" t="s">
        <v>63</v>
      </c>
      <c r="Q345" s="3">
        <v>7</v>
      </c>
      <c r="R345" s="3">
        <v>56</v>
      </c>
      <c r="S345" s="4">
        <v>44971</v>
      </c>
      <c r="T345" s="3" t="s">
        <v>1557</v>
      </c>
      <c r="U345" s="5">
        <f>Table1[[#This Row],[Delivery_Date]]-Table1[[#This Row],[Order_Date]]</f>
        <v>5</v>
      </c>
      <c r="V345" s="5">
        <f>Table1[[#This Row],[Price]]*Table1[[#This Row],[Quantity]]</f>
        <v>435.45000000000005</v>
      </c>
      <c r="W345" s="6" cm="1">
        <f t="array" ref="W345">_xlfn.IFS(
P345="FLAT8",8%,
P345="FLAT10",10%,
P345="FLAT15",15%,P345="FLAT20",20%,P345="DEL0",0%,
TRUE,0%
)</f>
        <v>0</v>
      </c>
      <c r="X345" s="5">
        <f>Table1[[#This Row],[Amount]]-(Table1[[#This Row],[Amount]]*Table1[[#This Row],[Discount_Percentage]])</f>
        <v>435.45000000000005</v>
      </c>
      <c r="Y345" s="5">
        <f>IF(P345="DEL0",Table1[[#This Row],[Discount_Amount]],Table1[[#This Row],[Discount_Amount]]+Table1[[#This Row],[Delivery_Charge]])</f>
        <v>435.45000000000005</v>
      </c>
      <c r="Z345" s="7" t="str">
        <f>_xlfn.CONCAT(Table1[[#This Row],[First_Name]],"  ",Table1[[#This Row],[Last_Name]])</f>
        <v>Barbara  Fuller</v>
      </c>
      <c r="AA345" s="5" t="str" cm="1">
        <f t="array" ref="AA345">_xlfn.IFS( (S345-K345)&gt;Q345,"Late", (S345-K345)=Q345,"InTime", (S345-K345)&lt;Q345,"BeforeTime" )</f>
        <v>BeforeTime</v>
      </c>
      <c r="AB345" s="3">
        <f>MONTH(Table1[[#This Row],[Order_Date]])</f>
        <v>2</v>
      </c>
    </row>
    <row r="346" spans="1:28" x14ac:dyDescent="0.3">
      <c r="A346" s="3" t="s">
        <v>236</v>
      </c>
      <c r="B346" s="3" t="s">
        <v>66</v>
      </c>
      <c r="C346" s="3" t="s">
        <v>237</v>
      </c>
      <c r="D346" s="3" t="str">
        <f>_xlfn.CONCAT(Table1[[#This Row],[First_Name]],Table1[[#This Row],[Last_Name]])</f>
        <v>AngelaEvans</v>
      </c>
      <c r="E346" s="3">
        <v>52</v>
      </c>
      <c r="F346" s="3" t="s">
        <v>52</v>
      </c>
      <c r="G346" s="3" t="s">
        <v>42</v>
      </c>
      <c r="H346" s="3" t="s">
        <v>238</v>
      </c>
      <c r="I346" s="3" t="s">
        <v>239</v>
      </c>
      <c r="J346" s="3" t="s">
        <v>1558</v>
      </c>
      <c r="K346" s="4">
        <v>45303</v>
      </c>
      <c r="L346" s="3" t="s">
        <v>1559</v>
      </c>
      <c r="M346" s="3" t="s">
        <v>182</v>
      </c>
      <c r="N346" s="3">
        <v>104.18</v>
      </c>
      <c r="O346" s="3">
        <v>4</v>
      </c>
      <c r="P346" s="3" t="s">
        <v>63</v>
      </c>
      <c r="Q346" s="3">
        <v>3</v>
      </c>
      <c r="R346" s="3">
        <v>40</v>
      </c>
      <c r="S346" s="4">
        <v>45308</v>
      </c>
      <c r="T346" s="3" t="s">
        <v>1560</v>
      </c>
      <c r="U346" s="5">
        <f>Table1[[#This Row],[Delivery_Date]]-Table1[[#This Row],[Order_Date]]</f>
        <v>5</v>
      </c>
      <c r="V346" s="5">
        <f>Table1[[#This Row],[Price]]*Table1[[#This Row],[Quantity]]</f>
        <v>416.72</v>
      </c>
      <c r="W346" s="6" cm="1">
        <f t="array" ref="W346">_xlfn.IFS(
P346="FLAT8",8%,
P346="FLAT10",10%,
P346="FLAT15",15%,P346="FLAT20",20%,P346="DEL0",0%,
TRUE,0%
)</f>
        <v>0</v>
      </c>
      <c r="X346" s="5">
        <f>Table1[[#This Row],[Amount]]-(Table1[[#This Row],[Amount]]*Table1[[#This Row],[Discount_Percentage]])</f>
        <v>416.72</v>
      </c>
      <c r="Y346" s="5">
        <f>IF(P346="DEL0",Table1[[#This Row],[Discount_Amount]],Table1[[#This Row],[Discount_Amount]]+Table1[[#This Row],[Delivery_Charge]])</f>
        <v>416.72</v>
      </c>
      <c r="Z346" s="7" t="str">
        <f>_xlfn.CONCAT(Table1[[#This Row],[First_Name]],"  ",Table1[[#This Row],[Last_Name]])</f>
        <v>Angela  Evans</v>
      </c>
      <c r="AA346" s="5" t="str" cm="1">
        <f t="array" ref="AA346">_xlfn.IFS( (S346-K346)&gt;Q346,"Late", (S346-K346)=Q346,"InTime", (S346-K346)&lt;Q346,"BeforeTime" )</f>
        <v>Late</v>
      </c>
      <c r="AB346" s="3">
        <f>MONTH(Table1[[#This Row],[Order_Date]])</f>
        <v>1</v>
      </c>
    </row>
    <row r="347" spans="1:28" x14ac:dyDescent="0.3">
      <c r="A347" s="3" t="s">
        <v>520</v>
      </c>
      <c r="B347" s="3" t="s">
        <v>521</v>
      </c>
      <c r="C347" s="3" t="s">
        <v>522</v>
      </c>
      <c r="D347" s="3" t="str">
        <f>_xlfn.CONCAT(Table1[[#This Row],[First_Name]],Table1[[#This Row],[Last_Name]])</f>
        <v>KatherineWeber</v>
      </c>
      <c r="E347" s="3">
        <v>42</v>
      </c>
      <c r="F347" s="3" t="s">
        <v>52</v>
      </c>
      <c r="G347" s="3" t="s">
        <v>76</v>
      </c>
      <c r="H347" s="3" t="s">
        <v>523</v>
      </c>
      <c r="I347" s="3" t="s">
        <v>524</v>
      </c>
      <c r="J347" s="3" t="s">
        <v>1561</v>
      </c>
      <c r="K347" s="4">
        <v>45666</v>
      </c>
      <c r="L347" s="3" t="s">
        <v>1562</v>
      </c>
      <c r="M347" s="3" t="s">
        <v>984</v>
      </c>
      <c r="N347" s="3">
        <v>33.49</v>
      </c>
      <c r="O347" s="3">
        <v>1</v>
      </c>
      <c r="P347" s="3" t="s">
        <v>85</v>
      </c>
      <c r="Q347" s="3">
        <v>4</v>
      </c>
      <c r="R347" s="3">
        <v>61</v>
      </c>
      <c r="S347" s="4">
        <v>45668</v>
      </c>
      <c r="T347" s="3" t="s">
        <v>1453</v>
      </c>
      <c r="U347" s="5">
        <f>Table1[[#This Row],[Delivery_Date]]-Table1[[#This Row],[Order_Date]]</f>
        <v>2</v>
      </c>
      <c r="V347" s="5">
        <f>Table1[[#This Row],[Price]]*Table1[[#This Row],[Quantity]]</f>
        <v>33.49</v>
      </c>
      <c r="W347" s="6" cm="1">
        <f t="array" ref="W347">_xlfn.IFS(
P347="FLAT8",8%,
P347="FLAT10",10%,
P347="FLAT15",15%,P347="FLAT20",20%,P347="DEL0",0%,
TRUE,0%
)</f>
        <v>0.2</v>
      </c>
      <c r="X347" s="5">
        <f>Table1[[#This Row],[Amount]]-(Table1[[#This Row],[Amount]]*Table1[[#This Row],[Discount_Percentage]])</f>
        <v>26.792000000000002</v>
      </c>
      <c r="Y347" s="5">
        <f>IF(P347="DEL0",Table1[[#This Row],[Discount_Amount]],Table1[[#This Row],[Discount_Amount]]+Table1[[#This Row],[Delivery_Charge]])</f>
        <v>87.792000000000002</v>
      </c>
      <c r="Z347" s="7" t="str">
        <f>_xlfn.CONCAT(Table1[[#This Row],[First_Name]],"  ",Table1[[#This Row],[Last_Name]])</f>
        <v>Katherine  Weber</v>
      </c>
      <c r="AA347" s="5" t="str" cm="1">
        <f t="array" ref="AA347">_xlfn.IFS( (S347-K347)&gt;Q347,"Late", (S347-K347)=Q347,"InTime", (S347-K347)&lt;Q347,"BeforeTime" )</f>
        <v>BeforeTime</v>
      </c>
      <c r="AB347" s="3">
        <f>MONTH(Table1[[#This Row],[Order_Date]])</f>
        <v>1</v>
      </c>
    </row>
    <row r="348" spans="1:28" x14ac:dyDescent="0.3">
      <c r="A348" s="3" t="s">
        <v>1457</v>
      </c>
      <c r="B348" s="3" t="s">
        <v>273</v>
      </c>
      <c r="C348" s="3" t="s">
        <v>1458</v>
      </c>
      <c r="D348" s="3" t="str">
        <f>_xlfn.CONCAT(Table1[[#This Row],[First_Name]],Table1[[#This Row],[Last_Name]])</f>
        <v>LaurenLane</v>
      </c>
      <c r="E348" s="3">
        <v>30</v>
      </c>
      <c r="F348" s="3" t="s">
        <v>29</v>
      </c>
      <c r="G348" s="3" t="s">
        <v>220</v>
      </c>
      <c r="H348" s="3" t="s">
        <v>1459</v>
      </c>
      <c r="I348" s="3" t="s">
        <v>1460</v>
      </c>
      <c r="J348" s="3" t="s">
        <v>1563</v>
      </c>
      <c r="K348" s="4">
        <v>45386</v>
      </c>
      <c r="L348" s="3" t="s">
        <v>1564</v>
      </c>
      <c r="M348" s="3" t="s">
        <v>653</v>
      </c>
      <c r="N348" s="3">
        <v>433.62</v>
      </c>
      <c r="O348" s="3">
        <v>4</v>
      </c>
      <c r="P348" s="3" t="s">
        <v>63</v>
      </c>
      <c r="Q348" s="3">
        <v>1</v>
      </c>
      <c r="R348" s="3">
        <v>56</v>
      </c>
      <c r="S348" s="4">
        <v>45392</v>
      </c>
      <c r="T348" s="3" t="s">
        <v>1565</v>
      </c>
      <c r="U348" s="5">
        <f>Table1[[#This Row],[Delivery_Date]]-Table1[[#This Row],[Order_Date]]</f>
        <v>6</v>
      </c>
      <c r="V348" s="5">
        <f>Table1[[#This Row],[Price]]*Table1[[#This Row],[Quantity]]</f>
        <v>1734.48</v>
      </c>
      <c r="W348" s="6" cm="1">
        <f t="array" ref="W348">_xlfn.IFS(
P348="FLAT8",8%,
P348="FLAT10",10%,
P348="FLAT15",15%,P348="FLAT20",20%,P348="DEL0",0%,
TRUE,0%
)</f>
        <v>0</v>
      </c>
      <c r="X348" s="5">
        <f>Table1[[#This Row],[Amount]]-(Table1[[#This Row],[Amount]]*Table1[[#This Row],[Discount_Percentage]])</f>
        <v>1734.48</v>
      </c>
      <c r="Y348" s="5">
        <f>IF(P348="DEL0",Table1[[#This Row],[Discount_Amount]],Table1[[#This Row],[Discount_Amount]]+Table1[[#This Row],[Delivery_Charge]])</f>
        <v>1734.48</v>
      </c>
      <c r="Z348" s="7" t="str">
        <f>_xlfn.CONCAT(Table1[[#This Row],[First_Name]],"  ",Table1[[#This Row],[Last_Name]])</f>
        <v>Lauren  Lane</v>
      </c>
      <c r="AA348" s="5" t="str" cm="1">
        <f t="array" ref="AA348">_xlfn.IFS( (S348-K348)&gt;Q348,"Late", (S348-K348)=Q348,"InTime", (S348-K348)&lt;Q348,"BeforeTime" )</f>
        <v>Late</v>
      </c>
      <c r="AB348" s="3">
        <f>MONTH(Table1[[#This Row],[Order_Date]])</f>
        <v>4</v>
      </c>
    </row>
    <row r="349" spans="1:28" x14ac:dyDescent="0.3">
      <c r="A349" s="3" t="s">
        <v>1191</v>
      </c>
      <c r="B349" s="3" t="s">
        <v>40</v>
      </c>
      <c r="C349" s="3" t="s">
        <v>1192</v>
      </c>
      <c r="D349" s="3" t="str">
        <f>_xlfn.CONCAT(Table1[[#This Row],[First_Name]],Table1[[#This Row],[Last_Name]])</f>
        <v>ThomasOwens</v>
      </c>
      <c r="E349" s="3">
        <v>34</v>
      </c>
      <c r="F349" s="3" t="s">
        <v>52</v>
      </c>
      <c r="G349" s="3" t="s">
        <v>220</v>
      </c>
      <c r="H349" s="3" t="s">
        <v>1193</v>
      </c>
      <c r="I349" s="3" t="s">
        <v>1194</v>
      </c>
      <c r="J349" s="3" t="s">
        <v>1566</v>
      </c>
      <c r="K349" s="4">
        <v>45085</v>
      </c>
      <c r="L349" s="3" t="s">
        <v>1567</v>
      </c>
      <c r="M349" s="3" t="s">
        <v>199</v>
      </c>
      <c r="N349" s="3">
        <v>20.7</v>
      </c>
      <c r="O349" s="3">
        <v>1</v>
      </c>
      <c r="P349" s="3" t="s">
        <v>63</v>
      </c>
      <c r="Q349" s="3">
        <v>5</v>
      </c>
      <c r="R349" s="3">
        <v>51</v>
      </c>
      <c r="S349" s="4">
        <v>45086</v>
      </c>
      <c r="T349" s="3" t="s">
        <v>1568</v>
      </c>
      <c r="U349" s="5">
        <f>Table1[[#This Row],[Delivery_Date]]-Table1[[#This Row],[Order_Date]]</f>
        <v>1</v>
      </c>
      <c r="V349" s="5">
        <f>Table1[[#This Row],[Price]]*Table1[[#This Row],[Quantity]]</f>
        <v>20.7</v>
      </c>
      <c r="W349" s="6" cm="1">
        <f t="array" ref="W349">_xlfn.IFS(
P349="FLAT8",8%,
P349="FLAT10",10%,
P349="FLAT15",15%,P349="FLAT20",20%,P349="DEL0",0%,
TRUE,0%
)</f>
        <v>0</v>
      </c>
      <c r="X349" s="5">
        <f>Table1[[#This Row],[Amount]]-(Table1[[#This Row],[Amount]]*Table1[[#This Row],[Discount_Percentage]])</f>
        <v>20.7</v>
      </c>
      <c r="Y349" s="5">
        <f>IF(P349="DEL0",Table1[[#This Row],[Discount_Amount]],Table1[[#This Row],[Discount_Amount]]+Table1[[#This Row],[Delivery_Charge]])</f>
        <v>20.7</v>
      </c>
      <c r="Z349" s="7" t="str">
        <f>_xlfn.CONCAT(Table1[[#This Row],[First_Name]],"  ",Table1[[#This Row],[Last_Name]])</f>
        <v>Thomas  Owens</v>
      </c>
      <c r="AA349" s="5" t="str" cm="1">
        <f t="array" ref="AA349">_xlfn.IFS( (S349-K349)&gt;Q349,"Late", (S349-K349)=Q349,"InTime", (S349-K349)&lt;Q349,"BeforeTime" )</f>
        <v>BeforeTime</v>
      </c>
      <c r="AB349" s="3">
        <f>MONTH(Table1[[#This Row],[Order_Date]])</f>
        <v>6</v>
      </c>
    </row>
    <row r="350" spans="1:28" x14ac:dyDescent="0.3">
      <c r="A350" s="3" t="s">
        <v>443</v>
      </c>
      <c r="B350" s="3" t="s">
        <v>99</v>
      </c>
      <c r="C350" s="3" t="s">
        <v>444</v>
      </c>
      <c r="D350" s="3" t="str">
        <f>_xlfn.CONCAT(Table1[[#This Row],[First_Name]],Table1[[#This Row],[Last_Name]])</f>
        <v>MarcusRogers</v>
      </c>
      <c r="E350" s="3">
        <v>36</v>
      </c>
      <c r="F350" s="3" t="s">
        <v>41</v>
      </c>
      <c r="G350" s="3" t="s">
        <v>30</v>
      </c>
      <c r="H350" s="3" t="s">
        <v>445</v>
      </c>
      <c r="I350" s="3" t="s">
        <v>446</v>
      </c>
      <c r="J350" s="3" t="s">
        <v>1569</v>
      </c>
      <c r="K350" s="4">
        <v>45028</v>
      </c>
      <c r="L350" s="3" t="s">
        <v>1570</v>
      </c>
      <c r="M350" s="3" t="s">
        <v>518</v>
      </c>
      <c r="N350" s="3">
        <v>441.03</v>
      </c>
      <c r="O350" s="3">
        <v>2</v>
      </c>
      <c r="P350" s="3" t="s">
        <v>96</v>
      </c>
      <c r="Q350" s="3">
        <v>4</v>
      </c>
      <c r="R350" s="3">
        <v>60</v>
      </c>
      <c r="S350" s="4">
        <v>45033</v>
      </c>
      <c r="T350" s="3" t="s">
        <v>1571</v>
      </c>
      <c r="U350" s="5">
        <f>Table1[[#This Row],[Delivery_Date]]-Table1[[#This Row],[Order_Date]]</f>
        <v>5</v>
      </c>
      <c r="V350" s="5">
        <f>Table1[[#This Row],[Price]]*Table1[[#This Row],[Quantity]]</f>
        <v>882.06</v>
      </c>
      <c r="W350" s="6" cm="1">
        <f t="array" ref="W350">_xlfn.IFS(
P350="FLAT8",8%,
P350="FLAT10",10%,
P350="FLAT15",15%,P350="FLAT20",20%,P350="DEL0",0%,
TRUE,0%
)</f>
        <v>0.1</v>
      </c>
      <c r="X350" s="5">
        <f>Table1[[#This Row],[Amount]]-(Table1[[#This Row],[Amount]]*Table1[[#This Row],[Discount_Percentage]])</f>
        <v>793.85399999999993</v>
      </c>
      <c r="Y350" s="5">
        <f>IF(P350="DEL0",Table1[[#This Row],[Discount_Amount]],Table1[[#This Row],[Discount_Amount]]+Table1[[#This Row],[Delivery_Charge]])</f>
        <v>853.85399999999993</v>
      </c>
      <c r="Z350" s="7" t="str">
        <f>_xlfn.CONCAT(Table1[[#This Row],[First_Name]],"  ",Table1[[#This Row],[Last_Name]])</f>
        <v>Marcus  Rogers</v>
      </c>
      <c r="AA350" s="5" t="str" cm="1">
        <f t="array" ref="AA350">_xlfn.IFS( (S350-K350)&gt;Q350,"Late", (S350-K350)=Q350,"InTime", (S350-K350)&lt;Q350,"BeforeTime" )</f>
        <v>Late</v>
      </c>
      <c r="AB350" s="3">
        <f>MONTH(Table1[[#This Row],[Order_Date]])</f>
        <v>4</v>
      </c>
    </row>
    <row r="351" spans="1:28" x14ac:dyDescent="0.3">
      <c r="A351" s="3" t="s">
        <v>1210</v>
      </c>
      <c r="B351" s="3" t="s">
        <v>1211</v>
      </c>
      <c r="C351" s="3" t="s">
        <v>1212</v>
      </c>
      <c r="D351" s="3" t="str">
        <f>_xlfn.CONCAT(Table1[[#This Row],[First_Name]],Table1[[#This Row],[Last_Name]])</f>
        <v>BrendanKelly</v>
      </c>
      <c r="E351" s="3">
        <v>50</v>
      </c>
      <c r="F351" s="3" t="s">
        <v>52</v>
      </c>
      <c r="G351" s="3" t="s">
        <v>168</v>
      </c>
      <c r="H351" s="3" t="s">
        <v>1213</v>
      </c>
      <c r="I351" s="3" t="s">
        <v>1214</v>
      </c>
      <c r="J351" s="3" t="s">
        <v>1572</v>
      </c>
      <c r="K351" s="4">
        <v>45183</v>
      </c>
      <c r="L351" s="3" t="s">
        <v>1573</v>
      </c>
      <c r="M351" s="3" t="s">
        <v>653</v>
      </c>
      <c r="N351" s="3">
        <v>433.62</v>
      </c>
      <c r="O351" s="3">
        <v>2</v>
      </c>
      <c r="P351" s="3" t="s">
        <v>63</v>
      </c>
      <c r="Q351" s="3">
        <v>1</v>
      </c>
      <c r="R351" s="3">
        <v>46</v>
      </c>
      <c r="S351" s="4">
        <v>45186</v>
      </c>
      <c r="T351" s="3" t="s">
        <v>1574</v>
      </c>
      <c r="U351" s="5">
        <f>Table1[[#This Row],[Delivery_Date]]-Table1[[#This Row],[Order_Date]]</f>
        <v>3</v>
      </c>
      <c r="V351" s="5">
        <f>Table1[[#This Row],[Price]]*Table1[[#This Row],[Quantity]]</f>
        <v>867.24</v>
      </c>
      <c r="W351" s="6" cm="1">
        <f t="array" ref="W351">_xlfn.IFS(
P351="FLAT8",8%,
P351="FLAT10",10%,
P351="FLAT15",15%,P351="FLAT20",20%,P351="DEL0",0%,
TRUE,0%
)</f>
        <v>0</v>
      </c>
      <c r="X351" s="5">
        <f>Table1[[#This Row],[Amount]]-(Table1[[#This Row],[Amount]]*Table1[[#This Row],[Discount_Percentage]])</f>
        <v>867.24</v>
      </c>
      <c r="Y351" s="5">
        <f>IF(P351="DEL0",Table1[[#This Row],[Discount_Amount]],Table1[[#This Row],[Discount_Amount]]+Table1[[#This Row],[Delivery_Charge]])</f>
        <v>867.24</v>
      </c>
      <c r="Z351" s="7" t="str">
        <f>_xlfn.CONCAT(Table1[[#This Row],[First_Name]],"  ",Table1[[#This Row],[Last_Name]])</f>
        <v>Brendan  Kelly</v>
      </c>
      <c r="AA351" s="5" t="str" cm="1">
        <f t="array" ref="AA351">_xlfn.IFS( (S351-K351)&gt;Q351,"Late", (S351-K351)=Q351,"InTime", (S351-K351)&lt;Q351,"BeforeTime" )</f>
        <v>Late</v>
      </c>
      <c r="AB351" s="3">
        <f>MONTH(Table1[[#This Row],[Order_Date]])</f>
        <v>9</v>
      </c>
    </row>
    <row r="352" spans="1:28" x14ac:dyDescent="0.3">
      <c r="A352" s="3" t="s">
        <v>209</v>
      </c>
      <c r="B352" s="3" t="s">
        <v>210</v>
      </c>
      <c r="C352" s="3" t="s">
        <v>211</v>
      </c>
      <c r="D352" s="3" t="str">
        <f>_xlfn.CONCAT(Table1[[#This Row],[First_Name]],Table1[[#This Row],[Last_Name]])</f>
        <v>ChristianClayton</v>
      </c>
      <c r="E352" s="3">
        <v>39</v>
      </c>
      <c r="F352" s="3" t="s">
        <v>41</v>
      </c>
      <c r="G352" s="3" t="s">
        <v>159</v>
      </c>
      <c r="H352" s="3" t="s">
        <v>212</v>
      </c>
      <c r="I352" s="3" t="s">
        <v>213</v>
      </c>
      <c r="J352" s="3" t="s">
        <v>1575</v>
      </c>
      <c r="K352" s="4">
        <v>45387</v>
      </c>
      <c r="L352" s="3" t="s">
        <v>1576</v>
      </c>
      <c r="M352" s="3" t="s">
        <v>686</v>
      </c>
      <c r="N352" s="3">
        <v>424.82</v>
      </c>
      <c r="O352" s="3">
        <v>5</v>
      </c>
      <c r="P352" s="3" t="s">
        <v>96</v>
      </c>
      <c r="Q352" s="3">
        <v>7</v>
      </c>
      <c r="R352" s="3">
        <v>37</v>
      </c>
      <c r="S352" s="4">
        <v>45393</v>
      </c>
      <c r="T352" s="3" t="s">
        <v>1577</v>
      </c>
      <c r="U352" s="5">
        <f>Table1[[#This Row],[Delivery_Date]]-Table1[[#This Row],[Order_Date]]</f>
        <v>6</v>
      </c>
      <c r="V352" s="5">
        <f>Table1[[#This Row],[Price]]*Table1[[#This Row],[Quantity]]</f>
        <v>2124.1</v>
      </c>
      <c r="W352" s="6" cm="1">
        <f t="array" ref="W352">_xlfn.IFS(
P352="FLAT8",8%,
P352="FLAT10",10%,
P352="FLAT15",15%,P352="FLAT20",20%,P352="DEL0",0%,
TRUE,0%
)</f>
        <v>0.1</v>
      </c>
      <c r="X352" s="5">
        <f>Table1[[#This Row],[Amount]]-(Table1[[#This Row],[Amount]]*Table1[[#This Row],[Discount_Percentage]])</f>
        <v>1911.6899999999998</v>
      </c>
      <c r="Y352" s="5">
        <f>IF(P352="DEL0",Table1[[#This Row],[Discount_Amount]],Table1[[#This Row],[Discount_Amount]]+Table1[[#This Row],[Delivery_Charge]])</f>
        <v>1948.6899999999998</v>
      </c>
      <c r="Z352" s="7" t="str">
        <f>_xlfn.CONCAT(Table1[[#This Row],[First_Name]],"  ",Table1[[#This Row],[Last_Name]])</f>
        <v>Christian  Clayton</v>
      </c>
      <c r="AA352" s="5" t="str" cm="1">
        <f t="array" ref="AA352">_xlfn.IFS( (S352-K352)&gt;Q352,"Late", (S352-K352)=Q352,"InTime", (S352-K352)&lt;Q352,"BeforeTime" )</f>
        <v>BeforeTime</v>
      </c>
      <c r="AB352" s="3">
        <f>MONTH(Table1[[#This Row],[Order_Date]])</f>
        <v>4</v>
      </c>
    </row>
    <row r="353" spans="1:28" x14ac:dyDescent="0.3">
      <c r="A353" s="3" t="s">
        <v>671</v>
      </c>
      <c r="B353" s="3" t="s">
        <v>672</v>
      </c>
      <c r="C353" s="3" t="s">
        <v>673</v>
      </c>
      <c r="D353" s="3" t="str">
        <f>_xlfn.CONCAT(Table1[[#This Row],[First_Name]],Table1[[#This Row],[Last_Name]])</f>
        <v>ChristyChang</v>
      </c>
      <c r="E353" s="3">
        <v>38</v>
      </c>
      <c r="F353" s="3" t="s">
        <v>41</v>
      </c>
      <c r="G353" s="3" t="s">
        <v>220</v>
      </c>
      <c r="H353" s="3" t="s">
        <v>674</v>
      </c>
      <c r="I353" s="3" t="s">
        <v>675</v>
      </c>
      <c r="J353" s="3" t="s">
        <v>1578</v>
      </c>
      <c r="K353" s="4">
        <v>45496</v>
      </c>
      <c r="L353" s="3" t="s">
        <v>1579</v>
      </c>
      <c r="M353" s="3" t="s">
        <v>653</v>
      </c>
      <c r="N353" s="3">
        <v>433.62</v>
      </c>
      <c r="O353" s="3">
        <v>3</v>
      </c>
      <c r="P353" s="3" t="s">
        <v>96</v>
      </c>
      <c r="Q353" s="3">
        <v>2</v>
      </c>
      <c r="R353" s="3">
        <v>39</v>
      </c>
      <c r="S353" s="4">
        <v>45499</v>
      </c>
      <c r="T353" s="3" t="s">
        <v>1580</v>
      </c>
      <c r="U353" s="5">
        <f>Table1[[#This Row],[Delivery_Date]]-Table1[[#This Row],[Order_Date]]</f>
        <v>3</v>
      </c>
      <c r="V353" s="5">
        <f>Table1[[#This Row],[Price]]*Table1[[#This Row],[Quantity]]</f>
        <v>1300.8600000000001</v>
      </c>
      <c r="W353" s="6" cm="1">
        <f t="array" ref="W353">_xlfn.IFS(
P353="FLAT8",8%,
P353="FLAT10",10%,
P353="FLAT15",15%,P353="FLAT20",20%,P353="DEL0",0%,
TRUE,0%
)</f>
        <v>0.1</v>
      </c>
      <c r="X353" s="5">
        <f>Table1[[#This Row],[Amount]]-(Table1[[#This Row],[Amount]]*Table1[[#This Row],[Discount_Percentage]])</f>
        <v>1170.7740000000001</v>
      </c>
      <c r="Y353" s="5">
        <f>IF(P353="DEL0",Table1[[#This Row],[Discount_Amount]],Table1[[#This Row],[Discount_Amount]]+Table1[[#This Row],[Delivery_Charge]])</f>
        <v>1209.7740000000001</v>
      </c>
      <c r="Z353" s="7" t="str">
        <f>_xlfn.CONCAT(Table1[[#This Row],[First_Name]],"  ",Table1[[#This Row],[Last_Name]])</f>
        <v>Christy  Chang</v>
      </c>
      <c r="AA353" s="5" t="str" cm="1">
        <f t="array" ref="AA353">_xlfn.IFS( (S353-K353)&gt;Q353,"Late", (S353-K353)=Q353,"InTime", (S353-K353)&lt;Q353,"BeforeTime" )</f>
        <v>Late</v>
      </c>
      <c r="AB353" s="3">
        <f>MONTH(Table1[[#This Row],[Order_Date]])</f>
        <v>7</v>
      </c>
    </row>
    <row r="354" spans="1:28" x14ac:dyDescent="0.3">
      <c r="A354" s="3" t="s">
        <v>847</v>
      </c>
      <c r="B354" s="3" t="s">
        <v>848</v>
      </c>
      <c r="C354" s="3" t="s">
        <v>387</v>
      </c>
      <c r="D354" s="3" t="str">
        <f>_xlfn.CONCAT(Table1[[#This Row],[First_Name]],Table1[[#This Row],[Last_Name]])</f>
        <v>SusanThompson</v>
      </c>
      <c r="E354" s="3">
        <v>37</v>
      </c>
      <c r="F354" s="3" t="s">
        <v>52</v>
      </c>
      <c r="G354" s="3" t="s">
        <v>220</v>
      </c>
      <c r="H354" s="3" t="s">
        <v>849</v>
      </c>
      <c r="I354" s="3" t="s">
        <v>850</v>
      </c>
      <c r="J354" s="3" t="s">
        <v>1581</v>
      </c>
      <c r="K354" s="4">
        <v>45187</v>
      </c>
      <c r="L354" s="3" t="s">
        <v>1582</v>
      </c>
      <c r="M354" s="3" t="s">
        <v>657</v>
      </c>
      <c r="N354" s="3">
        <v>235.63</v>
      </c>
      <c r="O354" s="3">
        <v>1</v>
      </c>
      <c r="P354" s="3" t="s">
        <v>85</v>
      </c>
      <c r="Q354" s="3">
        <v>5</v>
      </c>
      <c r="R354" s="3">
        <v>59</v>
      </c>
      <c r="S354" s="4">
        <v>45192</v>
      </c>
      <c r="T354" s="3" t="s">
        <v>1583</v>
      </c>
      <c r="U354" s="5">
        <f>Table1[[#This Row],[Delivery_Date]]-Table1[[#This Row],[Order_Date]]</f>
        <v>5</v>
      </c>
      <c r="V354" s="5">
        <f>Table1[[#This Row],[Price]]*Table1[[#This Row],[Quantity]]</f>
        <v>235.63</v>
      </c>
      <c r="W354" s="6" cm="1">
        <f t="array" ref="W354">_xlfn.IFS(
P354="FLAT8",8%,
P354="FLAT10",10%,
P354="FLAT15",15%,P354="FLAT20",20%,P354="DEL0",0%,
TRUE,0%
)</f>
        <v>0.2</v>
      </c>
      <c r="X354" s="5">
        <f>Table1[[#This Row],[Amount]]-(Table1[[#This Row],[Amount]]*Table1[[#This Row],[Discount_Percentage]])</f>
        <v>188.50399999999999</v>
      </c>
      <c r="Y354" s="5">
        <f>IF(P354="DEL0",Table1[[#This Row],[Discount_Amount]],Table1[[#This Row],[Discount_Amount]]+Table1[[#This Row],[Delivery_Charge]])</f>
        <v>247.50399999999999</v>
      </c>
      <c r="Z354" s="7" t="str">
        <f>_xlfn.CONCAT(Table1[[#This Row],[First_Name]],"  ",Table1[[#This Row],[Last_Name]])</f>
        <v>Susan  Thompson</v>
      </c>
      <c r="AA354" s="5" t="str" cm="1">
        <f t="array" ref="AA354">_xlfn.IFS( (S354-K354)&gt;Q354,"Late", (S354-K354)=Q354,"InTime", (S354-K354)&lt;Q354,"BeforeTime" )</f>
        <v>InTime</v>
      </c>
      <c r="AB354" s="3">
        <f>MONTH(Table1[[#This Row],[Order_Date]])</f>
        <v>9</v>
      </c>
    </row>
    <row r="355" spans="1:28" x14ac:dyDescent="0.3">
      <c r="A355" s="3" t="s">
        <v>1342</v>
      </c>
      <c r="B355" s="3" t="s">
        <v>508</v>
      </c>
      <c r="C355" s="3" t="s">
        <v>1343</v>
      </c>
      <c r="D355" s="3" t="str">
        <f>_xlfn.CONCAT(Table1[[#This Row],[First_Name]],Table1[[#This Row],[Last_Name]])</f>
        <v>SarahBenson</v>
      </c>
      <c r="E355" s="3">
        <v>40</v>
      </c>
      <c r="F355" s="3" t="s">
        <v>52</v>
      </c>
      <c r="G355" s="3" t="s">
        <v>220</v>
      </c>
      <c r="H355" s="3" t="s">
        <v>1344</v>
      </c>
      <c r="I355" s="3" t="s">
        <v>1345</v>
      </c>
      <c r="J355" s="3" t="s">
        <v>1584</v>
      </c>
      <c r="K355" s="4">
        <v>45190</v>
      </c>
      <c r="L355" s="3" t="s">
        <v>1585</v>
      </c>
      <c r="M355" s="3" t="s">
        <v>495</v>
      </c>
      <c r="N355" s="3">
        <v>421.7</v>
      </c>
      <c r="O355" s="3">
        <v>5</v>
      </c>
      <c r="P355" s="3" t="s">
        <v>58</v>
      </c>
      <c r="Q355" s="3">
        <v>6</v>
      </c>
      <c r="R355" s="3">
        <v>58</v>
      </c>
      <c r="S355" s="4">
        <v>45197</v>
      </c>
      <c r="T355" s="3" t="s">
        <v>1586</v>
      </c>
      <c r="U355" s="5">
        <f>Table1[[#This Row],[Delivery_Date]]-Table1[[#This Row],[Order_Date]]</f>
        <v>7</v>
      </c>
      <c r="V355" s="5">
        <f>Table1[[#This Row],[Price]]*Table1[[#This Row],[Quantity]]</f>
        <v>2108.5</v>
      </c>
      <c r="W355" s="6" cm="1">
        <f t="array" ref="W355">_xlfn.IFS(
P355="FLAT8",8%,
P355="FLAT10",10%,
P355="FLAT15",15%,P355="FLAT20",20%,P355="DEL0",0%,
TRUE,0%
)</f>
        <v>0.15</v>
      </c>
      <c r="X355" s="5">
        <f>Table1[[#This Row],[Amount]]-(Table1[[#This Row],[Amount]]*Table1[[#This Row],[Discount_Percentage]])</f>
        <v>1792.2249999999999</v>
      </c>
      <c r="Y355" s="5">
        <f>IF(P355="DEL0",Table1[[#This Row],[Discount_Amount]],Table1[[#This Row],[Discount_Amount]]+Table1[[#This Row],[Delivery_Charge]])</f>
        <v>1850.2249999999999</v>
      </c>
      <c r="Z355" s="7" t="str">
        <f>_xlfn.CONCAT(Table1[[#This Row],[First_Name]],"  ",Table1[[#This Row],[Last_Name]])</f>
        <v>Sarah  Benson</v>
      </c>
      <c r="AA355" s="5" t="str" cm="1">
        <f t="array" ref="AA355">_xlfn.IFS( (S355-K355)&gt;Q355,"Late", (S355-K355)=Q355,"InTime", (S355-K355)&lt;Q355,"BeforeTime" )</f>
        <v>Late</v>
      </c>
      <c r="AB355" s="3">
        <f>MONTH(Table1[[#This Row],[Order_Date]])</f>
        <v>9</v>
      </c>
    </row>
    <row r="356" spans="1:28" x14ac:dyDescent="0.3">
      <c r="A356" s="3" t="s">
        <v>500</v>
      </c>
      <c r="B356" s="3" t="s">
        <v>501</v>
      </c>
      <c r="C356" s="3" t="s">
        <v>387</v>
      </c>
      <c r="D356" s="3" t="str">
        <f>_xlfn.CONCAT(Table1[[#This Row],[First_Name]],Table1[[#This Row],[Last_Name]])</f>
        <v>SharonThompson</v>
      </c>
      <c r="E356" s="3">
        <v>57</v>
      </c>
      <c r="F356" s="3" t="s">
        <v>41</v>
      </c>
      <c r="G356" s="3" t="s">
        <v>220</v>
      </c>
      <c r="H356" s="3" t="s">
        <v>502</v>
      </c>
      <c r="I356" s="3" t="s">
        <v>503</v>
      </c>
      <c r="J356" s="3" t="s">
        <v>1587</v>
      </c>
      <c r="K356" s="4">
        <v>45479</v>
      </c>
      <c r="L356" s="3" t="s">
        <v>1588</v>
      </c>
      <c r="M356" s="3" t="s">
        <v>340</v>
      </c>
      <c r="N356" s="3">
        <v>77.84</v>
      </c>
      <c r="O356" s="3">
        <v>4</v>
      </c>
      <c r="P356" s="3" t="s">
        <v>85</v>
      </c>
      <c r="Q356" s="3">
        <v>2</v>
      </c>
      <c r="R356" s="3">
        <v>59</v>
      </c>
      <c r="S356" s="4">
        <v>45485</v>
      </c>
      <c r="T356" s="3" t="s">
        <v>1589</v>
      </c>
      <c r="U356" s="5">
        <f>Table1[[#This Row],[Delivery_Date]]-Table1[[#This Row],[Order_Date]]</f>
        <v>6</v>
      </c>
      <c r="V356" s="5">
        <f>Table1[[#This Row],[Price]]*Table1[[#This Row],[Quantity]]</f>
        <v>311.36</v>
      </c>
      <c r="W356" s="6" cm="1">
        <f t="array" ref="W356">_xlfn.IFS(
P356="FLAT8",8%,
P356="FLAT10",10%,
P356="FLAT15",15%,P356="FLAT20",20%,P356="DEL0",0%,
TRUE,0%
)</f>
        <v>0.2</v>
      </c>
      <c r="X356" s="5">
        <f>Table1[[#This Row],[Amount]]-(Table1[[#This Row],[Amount]]*Table1[[#This Row],[Discount_Percentage]])</f>
        <v>249.08800000000002</v>
      </c>
      <c r="Y356" s="5">
        <f>IF(P356="DEL0",Table1[[#This Row],[Discount_Amount]],Table1[[#This Row],[Discount_Amount]]+Table1[[#This Row],[Delivery_Charge]])</f>
        <v>308.08800000000002</v>
      </c>
      <c r="Z356" s="7" t="str">
        <f>_xlfn.CONCAT(Table1[[#This Row],[First_Name]],"  ",Table1[[#This Row],[Last_Name]])</f>
        <v>Sharon  Thompson</v>
      </c>
      <c r="AA356" s="5" t="str" cm="1">
        <f t="array" ref="AA356">_xlfn.IFS( (S356-K356)&gt;Q356,"Late", (S356-K356)=Q356,"InTime", (S356-K356)&lt;Q356,"BeforeTime" )</f>
        <v>Late</v>
      </c>
      <c r="AB356" s="3">
        <f>MONTH(Table1[[#This Row],[Order_Date]])</f>
        <v>7</v>
      </c>
    </row>
    <row r="357" spans="1:28" x14ac:dyDescent="0.3">
      <c r="A357" s="3" t="s">
        <v>1238</v>
      </c>
      <c r="B357" s="3" t="s">
        <v>1239</v>
      </c>
      <c r="C357" s="3" t="s">
        <v>1240</v>
      </c>
      <c r="D357" s="3" t="str">
        <f>_xlfn.CONCAT(Table1[[#This Row],[First_Name]],Table1[[#This Row],[Last_Name]])</f>
        <v>HannahGutierrez</v>
      </c>
      <c r="E357" s="3">
        <v>55</v>
      </c>
      <c r="F357" s="3" t="s">
        <v>41</v>
      </c>
      <c r="G357" s="3" t="s">
        <v>159</v>
      </c>
      <c r="H357" s="3" t="s">
        <v>1241</v>
      </c>
      <c r="I357" s="3" t="s">
        <v>1242</v>
      </c>
      <c r="J357" s="3" t="s">
        <v>1590</v>
      </c>
      <c r="K357" s="4">
        <v>44982</v>
      </c>
      <c r="L357" s="3" t="s">
        <v>1591</v>
      </c>
      <c r="M357" s="3" t="s">
        <v>481</v>
      </c>
      <c r="N357" s="3">
        <v>87.09</v>
      </c>
      <c r="O357" s="3">
        <v>2</v>
      </c>
      <c r="P357" s="3" t="s">
        <v>58</v>
      </c>
      <c r="Q357" s="3">
        <v>3</v>
      </c>
      <c r="R357" s="3">
        <v>62</v>
      </c>
      <c r="S357" s="4">
        <v>44987</v>
      </c>
      <c r="T357" s="3" t="s">
        <v>1592</v>
      </c>
      <c r="U357" s="5">
        <f>Table1[[#This Row],[Delivery_Date]]-Table1[[#This Row],[Order_Date]]</f>
        <v>5</v>
      </c>
      <c r="V357" s="5">
        <f>Table1[[#This Row],[Price]]*Table1[[#This Row],[Quantity]]</f>
        <v>174.18</v>
      </c>
      <c r="W357" s="6" cm="1">
        <f t="array" ref="W357">_xlfn.IFS(
P357="FLAT8",8%,
P357="FLAT10",10%,
P357="FLAT15",15%,P357="FLAT20",20%,P357="DEL0",0%,
TRUE,0%
)</f>
        <v>0.15</v>
      </c>
      <c r="X357" s="5">
        <f>Table1[[#This Row],[Amount]]-(Table1[[#This Row],[Amount]]*Table1[[#This Row],[Discount_Percentage]])</f>
        <v>148.053</v>
      </c>
      <c r="Y357" s="5">
        <f>IF(P357="DEL0",Table1[[#This Row],[Discount_Amount]],Table1[[#This Row],[Discount_Amount]]+Table1[[#This Row],[Delivery_Charge]])</f>
        <v>210.053</v>
      </c>
      <c r="Z357" s="7" t="str">
        <f>_xlfn.CONCAT(Table1[[#This Row],[First_Name]],"  ",Table1[[#This Row],[Last_Name]])</f>
        <v>Hannah  Gutierrez</v>
      </c>
      <c r="AA357" s="5" t="str" cm="1">
        <f t="array" ref="AA357">_xlfn.IFS( (S357-K357)&gt;Q357,"Late", (S357-K357)=Q357,"InTime", (S357-K357)&lt;Q357,"BeforeTime" )</f>
        <v>Late</v>
      </c>
      <c r="AB357" s="3">
        <f>MONTH(Table1[[#This Row],[Order_Date]])</f>
        <v>2</v>
      </c>
    </row>
    <row r="358" spans="1:28" x14ac:dyDescent="0.3">
      <c r="A358" s="3" t="s">
        <v>1318</v>
      </c>
      <c r="B358" s="3" t="s">
        <v>1319</v>
      </c>
      <c r="C358" s="3" t="s">
        <v>1320</v>
      </c>
      <c r="D358" s="3" t="str">
        <f>_xlfn.CONCAT(Table1[[#This Row],[First_Name]],Table1[[#This Row],[Last_Name]])</f>
        <v>JaredHorn</v>
      </c>
      <c r="E358" s="3">
        <v>43</v>
      </c>
      <c r="F358" s="3" t="s">
        <v>29</v>
      </c>
      <c r="G358" s="3" t="s">
        <v>140</v>
      </c>
      <c r="H358" s="3" t="s">
        <v>1321</v>
      </c>
      <c r="I358" s="3" t="s">
        <v>1322</v>
      </c>
      <c r="J358" s="3" t="s">
        <v>1593</v>
      </c>
      <c r="K358" s="4">
        <v>45397</v>
      </c>
      <c r="L358" s="3" t="s">
        <v>1594</v>
      </c>
      <c r="M358" s="3" t="s">
        <v>182</v>
      </c>
      <c r="N358" s="3">
        <v>104.18</v>
      </c>
      <c r="O358" s="3">
        <v>3</v>
      </c>
      <c r="P358" s="3" t="s">
        <v>96</v>
      </c>
      <c r="Q358" s="3">
        <v>6</v>
      </c>
      <c r="R358" s="3">
        <v>60</v>
      </c>
      <c r="S358" s="4">
        <v>45398</v>
      </c>
      <c r="T358" s="3" t="s">
        <v>1595</v>
      </c>
      <c r="U358" s="5">
        <f>Table1[[#This Row],[Delivery_Date]]-Table1[[#This Row],[Order_Date]]</f>
        <v>1</v>
      </c>
      <c r="V358" s="5">
        <f>Table1[[#This Row],[Price]]*Table1[[#This Row],[Quantity]]</f>
        <v>312.54000000000002</v>
      </c>
      <c r="W358" s="6" cm="1">
        <f t="array" ref="W358">_xlfn.IFS(
P358="FLAT8",8%,
P358="FLAT10",10%,
P358="FLAT15",15%,P358="FLAT20",20%,P358="DEL0",0%,
TRUE,0%
)</f>
        <v>0.1</v>
      </c>
      <c r="X358" s="5">
        <f>Table1[[#This Row],[Amount]]-(Table1[[#This Row],[Amount]]*Table1[[#This Row],[Discount_Percentage]])</f>
        <v>281.286</v>
      </c>
      <c r="Y358" s="5">
        <f>IF(P358="DEL0",Table1[[#This Row],[Discount_Amount]],Table1[[#This Row],[Discount_Amount]]+Table1[[#This Row],[Delivery_Charge]])</f>
        <v>341.286</v>
      </c>
      <c r="Z358" s="7" t="str">
        <f>_xlfn.CONCAT(Table1[[#This Row],[First_Name]],"  ",Table1[[#This Row],[Last_Name]])</f>
        <v>Jared  Horn</v>
      </c>
      <c r="AA358" s="5" t="str" cm="1">
        <f t="array" ref="AA358">_xlfn.IFS( (S358-K358)&gt;Q358,"Late", (S358-K358)=Q358,"InTime", (S358-K358)&lt;Q358,"BeforeTime" )</f>
        <v>BeforeTime</v>
      </c>
      <c r="AB358" s="3">
        <f>MONTH(Table1[[#This Row],[Order_Date]])</f>
        <v>4</v>
      </c>
    </row>
    <row r="359" spans="1:28" x14ac:dyDescent="0.3">
      <c r="A359" s="3" t="s">
        <v>823</v>
      </c>
      <c r="B359" s="3" t="s">
        <v>824</v>
      </c>
      <c r="C359" s="3" t="s">
        <v>825</v>
      </c>
      <c r="D359" s="3" t="str">
        <f>_xlfn.CONCAT(Table1[[#This Row],[First_Name]],Table1[[#This Row],[Last_Name]])</f>
        <v>EdwardBlack</v>
      </c>
      <c r="E359" s="3">
        <v>42</v>
      </c>
      <c r="F359" s="3" t="s">
        <v>29</v>
      </c>
      <c r="G359" s="3" t="s">
        <v>76</v>
      </c>
      <c r="H359" s="3" t="s">
        <v>826</v>
      </c>
      <c r="I359" s="3" t="s">
        <v>827</v>
      </c>
      <c r="J359" s="3" t="s">
        <v>1596</v>
      </c>
      <c r="K359" s="4">
        <v>45474</v>
      </c>
      <c r="L359" s="3" t="s">
        <v>1597</v>
      </c>
      <c r="M359" s="3" t="s">
        <v>941</v>
      </c>
      <c r="N359" s="3">
        <v>107.47</v>
      </c>
      <c r="O359" s="3">
        <v>3</v>
      </c>
      <c r="P359" s="3" t="s">
        <v>63</v>
      </c>
      <c r="Q359" s="3">
        <v>4</v>
      </c>
      <c r="R359" s="3">
        <v>63</v>
      </c>
      <c r="S359" s="4">
        <v>45481</v>
      </c>
      <c r="T359" s="3" t="s">
        <v>1598</v>
      </c>
      <c r="U359" s="5">
        <f>Table1[[#This Row],[Delivery_Date]]-Table1[[#This Row],[Order_Date]]</f>
        <v>7</v>
      </c>
      <c r="V359" s="5">
        <f>Table1[[#This Row],[Price]]*Table1[[#This Row],[Quantity]]</f>
        <v>322.40999999999997</v>
      </c>
      <c r="W359" s="6" cm="1">
        <f t="array" ref="W359">_xlfn.IFS(
P359="FLAT8",8%,
P359="FLAT10",10%,
P359="FLAT15",15%,P359="FLAT20",20%,P359="DEL0",0%,
TRUE,0%
)</f>
        <v>0</v>
      </c>
      <c r="X359" s="5">
        <f>Table1[[#This Row],[Amount]]-(Table1[[#This Row],[Amount]]*Table1[[#This Row],[Discount_Percentage]])</f>
        <v>322.40999999999997</v>
      </c>
      <c r="Y359" s="5">
        <f>IF(P359="DEL0",Table1[[#This Row],[Discount_Amount]],Table1[[#This Row],[Discount_Amount]]+Table1[[#This Row],[Delivery_Charge]])</f>
        <v>322.40999999999997</v>
      </c>
      <c r="Z359" s="7" t="str">
        <f>_xlfn.CONCAT(Table1[[#This Row],[First_Name]],"  ",Table1[[#This Row],[Last_Name]])</f>
        <v>Edward  Black</v>
      </c>
      <c r="AA359" s="5" t="str" cm="1">
        <f t="array" ref="AA359">_xlfn.IFS( (S359-K359)&gt;Q359,"Late", (S359-K359)=Q359,"InTime", (S359-K359)&lt;Q359,"BeforeTime" )</f>
        <v>Late</v>
      </c>
      <c r="AB359" s="3">
        <f>MONTH(Table1[[#This Row],[Order_Date]])</f>
        <v>7</v>
      </c>
    </row>
    <row r="360" spans="1:28" x14ac:dyDescent="0.3">
      <c r="A360" s="3" t="s">
        <v>1079</v>
      </c>
      <c r="B360" s="3" t="s">
        <v>218</v>
      </c>
      <c r="C360" s="3" t="s">
        <v>1080</v>
      </c>
      <c r="D360" s="3" t="str">
        <f>_xlfn.CONCAT(Table1[[#This Row],[First_Name]],Table1[[#This Row],[Last_Name]])</f>
        <v>MarkSummers</v>
      </c>
      <c r="E360" s="3">
        <v>55</v>
      </c>
      <c r="F360" s="3" t="s">
        <v>41</v>
      </c>
      <c r="G360" s="3" t="s">
        <v>159</v>
      </c>
      <c r="H360" s="3" t="s">
        <v>1081</v>
      </c>
      <c r="I360" s="3" t="s">
        <v>1082</v>
      </c>
      <c r="J360" s="3" t="s">
        <v>1599</v>
      </c>
      <c r="K360" s="4">
        <v>45045</v>
      </c>
      <c r="L360" s="3" t="s">
        <v>1600</v>
      </c>
      <c r="M360" s="3" t="s">
        <v>114</v>
      </c>
      <c r="N360" s="3">
        <v>48.45</v>
      </c>
      <c r="O360" s="3">
        <v>3</v>
      </c>
      <c r="P360" s="3" t="s">
        <v>63</v>
      </c>
      <c r="Q360" s="3">
        <v>6</v>
      </c>
      <c r="R360" s="3">
        <v>58</v>
      </c>
      <c r="S360" s="4">
        <v>45046</v>
      </c>
      <c r="T360" s="3" t="s">
        <v>1601</v>
      </c>
      <c r="U360" s="5">
        <f>Table1[[#This Row],[Delivery_Date]]-Table1[[#This Row],[Order_Date]]</f>
        <v>1</v>
      </c>
      <c r="V360" s="5">
        <f>Table1[[#This Row],[Price]]*Table1[[#This Row],[Quantity]]</f>
        <v>145.35000000000002</v>
      </c>
      <c r="W360" s="6" cm="1">
        <f t="array" ref="W360">_xlfn.IFS(
P360="FLAT8",8%,
P360="FLAT10",10%,
P360="FLAT15",15%,P360="FLAT20",20%,P360="DEL0",0%,
TRUE,0%
)</f>
        <v>0</v>
      </c>
      <c r="X360" s="5">
        <f>Table1[[#This Row],[Amount]]-(Table1[[#This Row],[Amount]]*Table1[[#This Row],[Discount_Percentage]])</f>
        <v>145.35000000000002</v>
      </c>
      <c r="Y360" s="5">
        <f>IF(P360="DEL0",Table1[[#This Row],[Discount_Amount]],Table1[[#This Row],[Discount_Amount]]+Table1[[#This Row],[Delivery_Charge]])</f>
        <v>145.35000000000002</v>
      </c>
      <c r="Z360" s="7" t="str">
        <f>_xlfn.CONCAT(Table1[[#This Row],[First_Name]],"  ",Table1[[#This Row],[Last_Name]])</f>
        <v>Mark  Summers</v>
      </c>
      <c r="AA360" s="5" t="str" cm="1">
        <f t="array" ref="AA360">_xlfn.IFS( (S360-K360)&gt;Q360,"Late", (S360-K360)=Q360,"InTime", (S360-K360)&lt;Q360,"BeforeTime" )</f>
        <v>BeforeTime</v>
      </c>
      <c r="AB360" s="3">
        <f>MONTH(Table1[[#This Row],[Order_Date]])</f>
        <v>4</v>
      </c>
    </row>
    <row r="361" spans="1:28" x14ac:dyDescent="0.3">
      <c r="A361" s="3" t="s">
        <v>435</v>
      </c>
      <c r="B361" s="3" t="s">
        <v>436</v>
      </c>
      <c r="C361" s="3" t="s">
        <v>437</v>
      </c>
      <c r="D361" s="3" t="str">
        <f>_xlfn.CONCAT(Table1[[#This Row],[First_Name]],Table1[[#This Row],[Last_Name]])</f>
        <v>MaryKnight</v>
      </c>
      <c r="E361" s="3">
        <v>28</v>
      </c>
      <c r="F361" s="3" t="s">
        <v>52</v>
      </c>
      <c r="G361" s="3" t="s">
        <v>76</v>
      </c>
      <c r="H361" s="3" t="s">
        <v>438</v>
      </c>
      <c r="I361" s="3" t="s">
        <v>439</v>
      </c>
      <c r="J361" s="3" t="s">
        <v>1602</v>
      </c>
      <c r="K361" s="4">
        <v>45600</v>
      </c>
      <c r="L361" s="3" t="s">
        <v>1603</v>
      </c>
      <c r="M361" s="3" t="s">
        <v>126</v>
      </c>
      <c r="N361" s="3">
        <v>257.06</v>
      </c>
      <c r="O361" s="3">
        <v>4</v>
      </c>
      <c r="P361" s="3" t="s">
        <v>96</v>
      </c>
      <c r="Q361" s="3">
        <v>6</v>
      </c>
      <c r="R361" s="3">
        <v>69</v>
      </c>
      <c r="S361" s="4">
        <v>45603</v>
      </c>
      <c r="T361" s="3" t="s">
        <v>1604</v>
      </c>
      <c r="U361" s="5">
        <f>Table1[[#This Row],[Delivery_Date]]-Table1[[#This Row],[Order_Date]]</f>
        <v>3</v>
      </c>
      <c r="V361" s="5">
        <f>Table1[[#This Row],[Price]]*Table1[[#This Row],[Quantity]]</f>
        <v>1028.24</v>
      </c>
      <c r="W361" s="6" cm="1">
        <f t="array" ref="W361">_xlfn.IFS(
P361="FLAT8",8%,
P361="FLAT10",10%,
P361="FLAT15",15%,P361="FLAT20",20%,P361="DEL0",0%,
TRUE,0%
)</f>
        <v>0.1</v>
      </c>
      <c r="X361" s="5">
        <f>Table1[[#This Row],[Amount]]-(Table1[[#This Row],[Amount]]*Table1[[#This Row],[Discount_Percentage]])</f>
        <v>925.41599999999994</v>
      </c>
      <c r="Y361" s="5">
        <f>IF(P361="DEL0",Table1[[#This Row],[Discount_Amount]],Table1[[#This Row],[Discount_Amount]]+Table1[[#This Row],[Delivery_Charge]])</f>
        <v>994.41599999999994</v>
      </c>
      <c r="Z361" s="7" t="str">
        <f>_xlfn.CONCAT(Table1[[#This Row],[First_Name]],"  ",Table1[[#This Row],[Last_Name]])</f>
        <v>Mary  Knight</v>
      </c>
      <c r="AA361" s="5" t="str" cm="1">
        <f t="array" ref="AA361">_xlfn.IFS( (S361-K361)&gt;Q361,"Late", (S361-K361)=Q361,"InTime", (S361-K361)&lt;Q361,"BeforeTime" )</f>
        <v>BeforeTime</v>
      </c>
      <c r="AB361" s="3">
        <f>MONTH(Table1[[#This Row],[Order_Date]])</f>
        <v>11</v>
      </c>
    </row>
    <row r="362" spans="1:28" x14ac:dyDescent="0.3">
      <c r="A362" s="3" t="s">
        <v>546</v>
      </c>
      <c r="B362" s="3" t="s">
        <v>547</v>
      </c>
      <c r="C362" s="3" t="s">
        <v>548</v>
      </c>
      <c r="D362" s="3" t="str">
        <f>_xlfn.CONCAT(Table1[[#This Row],[First_Name]],Table1[[#This Row],[Last_Name]])</f>
        <v>JodiWhitney</v>
      </c>
      <c r="E362" s="3">
        <v>33</v>
      </c>
      <c r="F362" s="3" t="s">
        <v>52</v>
      </c>
      <c r="G362" s="3" t="s">
        <v>168</v>
      </c>
      <c r="H362" s="3" t="s">
        <v>549</v>
      </c>
      <c r="I362" s="3" t="s">
        <v>550</v>
      </c>
      <c r="J362" s="3" t="s">
        <v>1605</v>
      </c>
      <c r="K362" s="4">
        <v>45553</v>
      </c>
      <c r="L362" s="3" t="s">
        <v>1606</v>
      </c>
      <c r="M362" s="3" t="s">
        <v>590</v>
      </c>
      <c r="N362" s="3">
        <v>403.03</v>
      </c>
      <c r="O362" s="3">
        <v>4</v>
      </c>
      <c r="P362" s="3" t="s">
        <v>96</v>
      </c>
      <c r="Q362" s="3">
        <v>7</v>
      </c>
      <c r="R362" s="3">
        <v>65</v>
      </c>
      <c r="S362" s="4">
        <v>45556</v>
      </c>
      <c r="T362" s="3" t="s">
        <v>1607</v>
      </c>
      <c r="U362" s="5">
        <f>Table1[[#This Row],[Delivery_Date]]-Table1[[#This Row],[Order_Date]]</f>
        <v>3</v>
      </c>
      <c r="V362" s="5">
        <f>Table1[[#This Row],[Price]]*Table1[[#This Row],[Quantity]]</f>
        <v>1612.12</v>
      </c>
      <c r="W362" s="6" cm="1">
        <f t="array" ref="W362">_xlfn.IFS(
P362="FLAT8",8%,
P362="FLAT10",10%,
P362="FLAT15",15%,P362="FLAT20",20%,P362="DEL0",0%,
TRUE,0%
)</f>
        <v>0.1</v>
      </c>
      <c r="X362" s="5">
        <f>Table1[[#This Row],[Amount]]-(Table1[[#This Row],[Amount]]*Table1[[#This Row],[Discount_Percentage]])</f>
        <v>1450.9079999999999</v>
      </c>
      <c r="Y362" s="5">
        <f>IF(P362="DEL0",Table1[[#This Row],[Discount_Amount]],Table1[[#This Row],[Discount_Amount]]+Table1[[#This Row],[Delivery_Charge]])</f>
        <v>1515.9079999999999</v>
      </c>
      <c r="Z362" s="7" t="str">
        <f>_xlfn.CONCAT(Table1[[#This Row],[First_Name]],"  ",Table1[[#This Row],[Last_Name]])</f>
        <v>Jodi  Whitney</v>
      </c>
      <c r="AA362" s="5" t="str" cm="1">
        <f t="array" ref="AA362">_xlfn.IFS( (S362-K362)&gt;Q362,"Late", (S362-K362)=Q362,"InTime", (S362-K362)&lt;Q362,"BeforeTime" )</f>
        <v>BeforeTime</v>
      </c>
      <c r="AB362" s="3">
        <f>MONTH(Table1[[#This Row],[Order_Date]])</f>
        <v>9</v>
      </c>
    </row>
    <row r="363" spans="1:28" x14ac:dyDescent="0.3">
      <c r="A363" s="3" t="s">
        <v>671</v>
      </c>
      <c r="B363" s="3" t="s">
        <v>672</v>
      </c>
      <c r="C363" s="3" t="s">
        <v>673</v>
      </c>
      <c r="D363" s="3" t="str">
        <f>_xlfn.CONCAT(Table1[[#This Row],[First_Name]],Table1[[#This Row],[Last_Name]])</f>
        <v>ChristyChang</v>
      </c>
      <c r="E363" s="3">
        <v>38</v>
      </c>
      <c r="F363" s="3" t="s">
        <v>41</v>
      </c>
      <c r="G363" s="3" t="s">
        <v>220</v>
      </c>
      <c r="H363" s="3" t="s">
        <v>674</v>
      </c>
      <c r="I363" s="3" t="s">
        <v>675</v>
      </c>
      <c r="J363" s="3" t="s">
        <v>1608</v>
      </c>
      <c r="K363" s="4">
        <v>45059</v>
      </c>
      <c r="L363" s="3" t="s">
        <v>1609</v>
      </c>
      <c r="M363" s="3" t="s">
        <v>114</v>
      </c>
      <c r="N363" s="3">
        <v>48.45</v>
      </c>
      <c r="O363" s="3">
        <v>1</v>
      </c>
      <c r="P363" s="3" t="s">
        <v>96</v>
      </c>
      <c r="Q363" s="3">
        <v>2</v>
      </c>
      <c r="R363" s="3">
        <v>41</v>
      </c>
      <c r="S363" s="4">
        <v>45062</v>
      </c>
      <c r="T363" s="3" t="s">
        <v>1610</v>
      </c>
      <c r="U363" s="5">
        <f>Table1[[#This Row],[Delivery_Date]]-Table1[[#This Row],[Order_Date]]</f>
        <v>3</v>
      </c>
      <c r="V363" s="5">
        <f>Table1[[#This Row],[Price]]*Table1[[#This Row],[Quantity]]</f>
        <v>48.45</v>
      </c>
      <c r="W363" s="6" cm="1">
        <f t="array" ref="W363">_xlfn.IFS(
P363="FLAT8",8%,
P363="FLAT10",10%,
P363="FLAT15",15%,P363="FLAT20",20%,P363="DEL0",0%,
TRUE,0%
)</f>
        <v>0.1</v>
      </c>
      <c r="X363" s="5">
        <f>Table1[[#This Row],[Amount]]-(Table1[[#This Row],[Amount]]*Table1[[#This Row],[Discount_Percentage]])</f>
        <v>43.605000000000004</v>
      </c>
      <c r="Y363" s="5">
        <f>IF(P363="DEL0",Table1[[#This Row],[Discount_Amount]],Table1[[#This Row],[Discount_Amount]]+Table1[[#This Row],[Delivery_Charge]])</f>
        <v>84.605000000000004</v>
      </c>
      <c r="Z363" s="7" t="str">
        <f>_xlfn.CONCAT(Table1[[#This Row],[First_Name]],"  ",Table1[[#This Row],[Last_Name]])</f>
        <v>Christy  Chang</v>
      </c>
      <c r="AA363" s="5" t="str" cm="1">
        <f t="array" ref="AA363">_xlfn.IFS( (S363-K363)&gt;Q363,"Late", (S363-K363)=Q363,"InTime", (S363-K363)&lt;Q363,"BeforeTime" )</f>
        <v>Late</v>
      </c>
      <c r="AB363" s="3">
        <f>MONTH(Table1[[#This Row],[Order_Date]])</f>
        <v>5</v>
      </c>
    </row>
    <row r="364" spans="1:28" x14ac:dyDescent="0.3">
      <c r="A364" s="3" t="s">
        <v>679</v>
      </c>
      <c r="B364" s="3" t="s">
        <v>680</v>
      </c>
      <c r="C364" s="3" t="s">
        <v>681</v>
      </c>
      <c r="D364" s="3" t="str">
        <f>_xlfn.CONCAT(Table1[[#This Row],[First_Name]],Table1[[#This Row],[Last_Name]])</f>
        <v>TroyGomez</v>
      </c>
      <c r="E364" s="3">
        <v>68</v>
      </c>
      <c r="F364" s="3" t="s">
        <v>29</v>
      </c>
      <c r="G364" s="3" t="s">
        <v>220</v>
      </c>
      <c r="H364" s="3" t="s">
        <v>682</v>
      </c>
      <c r="I364" s="3" t="s">
        <v>683</v>
      </c>
      <c r="J364" s="3" t="s">
        <v>1611</v>
      </c>
      <c r="K364" s="4">
        <v>45007</v>
      </c>
      <c r="L364" s="3" t="s">
        <v>1612</v>
      </c>
      <c r="M364" s="3" t="s">
        <v>418</v>
      </c>
      <c r="N364" s="3">
        <v>44.5</v>
      </c>
      <c r="O364" s="3">
        <v>5</v>
      </c>
      <c r="P364" s="3" t="s">
        <v>96</v>
      </c>
      <c r="Q364" s="3">
        <v>4</v>
      </c>
      <c r="R364" s="3">
        <v>55</v>
      </c>
      <c r="S364" s="4">
        <v>45012</v>
      </c>
      <c r="T364" s="3" t="s">
        <v>1613</v>
      </c>
      <c r="U364" s="5">
        <f>Table1[[#This Row],[Delivery_Date]]-Table1[[#This Row],[Order_Date]]</f>
        <v>5</v>
      </c>
      <c r="V364" s="5">
        <f>Table1[[#This Row],[Price]]*Table1[[#This Row],[Quantity]]</f>
        <v>222.5</v>
      </c>
      <c r="W364" s="6" cm="1">
        <f t="array" ref="W364">_xlfn.IFS(
P364="FLAT8",8%,
P364="FLAT10",10%,
P364="FLAT15",15%,P364="FLAT20",20%,P364="DEL0",0%,
TRUE,0%
)</f>
        <v>0.1</v>
      </c>
      <c r="X364" s="5">
        <f>Table1[[#This Row],[Amount]]-(Table1[[#This Row],[Amount]]*Table1[[#This Row],[Discount_Percentage]])</f>
        <v>200.25</v>
      </c>
      <c r="Y364" s="5">
        <f>IF(P364="DEL0",Table1[[#This Row],[Discount_Amount]],Table1[[#This Row],[Discount_Amount]]+Table1[[#This Row],[Delivery_Charge]])</f>
        <v>255.25</v>
      </c>
      <c r="Z364" s="7" t="str">
        <f>_xlfn.CONCAT(Table1[[#This Row],[First_Name]],"  ",Table1[[#This Row],[Last_Name]])</f>
        <v>Troy  Gomez</v>
      </c>
      <c r="AA364" s="5" t="str" cm="1">
        <f t="array" ref="AA364">_xlfn.IFS( (S364-K364)&gt;Q364,"Late", (S364-K364)=Q364,"InTime", (S364-K364)&lt;Q364,"BeforeTime" )</f>
        <v>Late</v>
      </c>
      <c r="AB364" s="3">
        <f>MONTH(Table1[[#This Row],[Order_Date]])</f>
        <v>3</v>
      </c>
    </row>
    <row r="365" spans="1:28" x14ac:dyDescent="0.3">
      <c r="A365" s="3" t="s">
        <v>1614</v>
      </c>
      <c r="B365" s="3" t="s">
        <v>273</v>
      </c>
      <c r="C365" s="3" t="s">
        <v>1615</v>
      </c>
      <c r="D365" s="3" t="str">
        <f>_xlfn.CONCAT(Table1[[#This Row],[First_Name]],Table1[[#This Row],[Last_Name]])</f>
        <v>LaurenCrane</v>
      </c>
      <c r="E365" s="3">
        <v>62</v>
      </c>
      <c r="F365" s="3" t="s">
        <v>41</v>
      </c>
      <c r="G365" s="3" t="s">
        <v>42</v>
      </c>
      <c r="H365" s="3" t="s">
        <v>1616</v>
      </c>
      <c r="I365" s="3" t="s">
        <v>1617</v>
      </c>
      <c r="J365" s="3" t="s">
        <v>1618</v>
      </c>
      <c r="K365" s="4">
        <v>45678</v>
      </c>
      <c r="L365" s="3" t="s">
        <v>1619</v>
      </c>
      <c r="M365" s="3" t="s">
        <v>250</v>
      </c>
      <c r="N365" s="3">
        <v>128.13999999999999</v>
      </c>
      <c r="O365" s="3">
        <v>5</v>
      </c>
      <c r="P365" s="3" t="s">
        <v>85</v>
      </c>
      <c r="Q365" s="3">
        <v>7</v>
      </c>
      <c r="R365" s="3">
        <v>68</v>
      </c>
      <c r="S365" s="4">
        <v>45685</v>
      </c>
      <c r="T365" s="3" t="s">
        <v>1620</v>
      </c>
      <c r="U365" s="5">
        <f>Table1[[#This Row],[Delivery_Date]]-Table1[[#This Row],[Order_Date]]</f>
        <v>7</v>
      </c>
      <c r="V365" s="5">
        <f>Table1[[#This Row],[Price]]*Table1[[#This Row],[Quantity]]</f>
        <v>640.69999999999993</v>
      </c>
      <c r="W365" s="6" cm="1">
        <f t="array" ref="W365">_xlfn.IFS(
P365="FLAT8",8%,
P365="FLAT10",10%,
P365="FLAT15",15%,P365="FLAT20",20%,P365="DEL0",0%,
TRUE,0%
)</f>
        <v>0.2</v>
      </c>
      <c r="X365" s="5">
        <f>Table1[[#This Row],[Amount]]-(Table1[[#This Row],[Amount]]*Table1[[#This Row],[Discount_Percentage]])</f>
        <v>512.55999999999995</v>
      </c>
      <c r="Y365" s="5">
        <f>IF(P365="DEL0",Table1[[#This Row],[Discount_Amount]],Table1[[#This Row],[Discount_Amount]]+Table1[[#This Row],[Delivery_Charge]])</f>
        <v>580.55999999999995</v>
      </c>
      <c r="Z365" s="7" t="str">
        <f>_xlfn.CONCAT(Table1[[#This Row],[First_Name]],"  ",Table1[[#This Row],[Last_Name]])</f>
        <v>Lauren  Crane</v>
      </c>
      <c r="AA365" s="5" t="str" cm="1">
        <f t="array" ref="AA365">_xlfn.IFS( (S365-K365)&gt;Q365,"Late", (S365-K365)=Q365,"InTime", (S365-K365)&lt;Q365,"BeforeTime" )</f>
        <v>InTime</v>
      </c>
      <c r="AB365" s="3">
        <f>MONTH(Table1[[#This Row],[Order_Date]])</f>
        <v>1</v>
      </c>
    </row>
    <row r="366" spans="1:28" x14ac:dyDescent="0.3">
      <c r="A366" s="3" t="s">
        <v>750</v>
      </c>
      <c r="B366" s="3" t="s">
        <v>751</v>
      </c>
      <c r="C366" s="3" t="s">
        <v>752</v>
      </c>
      <c r="D366" s="3" t="str">
        <f>_xlfn.CONCAT(Table1[[#This Row],[First_Name]],Table1[[#This Row],[Last_Name]])</f>
        <v>BarbaraFuller</v>
      </c>
      <c r="E366" s="3">
        <v>43</v>
      </c>
      <c r="F366" s="3" t="s">
        <v>52</v>
      </c>
      <c r="G366" s="3" t="s">
        <v>159</v>
      </c>
      <c r="H366" s="3" t="s">
        <v>753</v>
      </c>
      <c r="I366" s="3" t="s">
        <v>754</v>
      </c>
      <c r="J366" s="3" t="s">
        <v>1621</v>
      </c>
      <c r="K366" s="4">
        <v>44978</v>
      </c>
      <c r="L366" s="3" t="s">
        <v>1622</v>
      </c>
      <c r="M366" s="3" t="s">
        <v>430</v>
      </c>
      <c r="N366" s="3">
        <v>369.03</v>
      </c>
      <c r="O366" s="3">
        <v>2</v>
      </c>
      <c r="P366" s="3" t="s">
        <v>96</v>
      </c>
      <c r="Q366" s="3">
        <v>6</v>
      </c>
      <c r="R366" s="3">
        <v>55</v>
      </c>
      <c r="S366" s="4">
        <v>44981</v>
      </c>
      <c r="T366" s="3" t="s">
        <v>1623</v>
      </c>
      <c r="U366" s="5">
        <f>Table1[[#This Row],[Delivery_Date]]-Table1[[#This Row],[Order_Date]]</f>
        <v>3</v>
      </c>
      <c r="V366" s="5">
        <f>Table1[[#This Row],[Price]]*Table1[[#This Row],[Quantity]]</f>
        <v>738.06</v>
      </c>
      <c r="W366" s="6" cm="1">
        <f t="array" ref="W366">_xlfn.IFS(
P366="FLAT8",8%,
P366="FLAT10",10%,
P366="FLAT15",15%,P366="FLAT20",20%,P366="DEL0",0%,
TRUE,0%
)</f>
        <v>0.1</v>
      </c>
      <c r="X366" s="5">
        <f>Table1[[#This Row],[Amount]]-(Table1[[#This Row],[Amount]]*Table1[[#This Row],[Discount_Percentage]])</f>
        <v>664.25399999999991</v>
      </c>
      <c r="Y366" s="5">
        <f>IF(P366="DEL0",Table1[[#This Row],[Discount_Amount]],Table1[[#This Row],[Discount_Amount]]+Table1[[#This Row],[Delivery_Charge]])</f>
        <v>719.25399999999991</v>
      </c>
      <c r="Z366" s="7" t="str">
        <f>_xlfn.CONCAT(Table1[[#This Row],[First_Name]],"  ",Table1[[#This Row],[Last_Name]])</f>
        <v>Barbara  Fuller</v>
      </c>
      <c r="AA366" s="5" t="str" cm="1">
        <f t="array" ref="AA366">_xlfn.IFS( (S366-K366)&gt;Q366,"Late", (S366-K366)=Q366,"InTime", (S366-K366)&lt;Q366,"BeforeTime" )</f>
        <v>BeforeTime</v>
      </c>
      <c r="AB366" s="3">
        <f>MONTH(Table1[[#This Row],[Order_Date]])</f>
        <v>2</v>
      </c>
    </row>
    <row r="367" spans="1:28" x14ac:dyDescent="0.3">
      <c r="A367" s="3" t="s">
        <v>1238</v>
      </c>
      <c r="B367" s="3" t="s">
        <v>1239</v>
      </c>
      <c r="C367" s="3" t="s">
        <v>1240</v>
      </c>
      <c r="D367" s="3" t="str">
        <f>_xlfn.CONCAT(Table1[[#This Row],[First_Name]],Table1[[#This Row],[Last_Name]])</f>
        <v>HannahGutierrez</v>
      </c>
      <c r="E367" s="3">
        <v>55</v>
      </c>
      <c r="F367" s="3" t="s">
        <v>41</v>
      </c>
      <c r="G367" s="3" t="s">
        <v>159</v>
      </c>
      <c r="H367" s="3" t="s">
        <v>1241</v>
      </c>
      <c r="I367" s="3" t="s">
        <v>1242</v>
      </c>
      <c r="J367" s="3" t="s">
        <v>1624</v>
      </c>
      <c r="K367" s="4">
        <v>45421</v>
      </c>
      <c r="L367" s="3" t="s">
        <v>1625</v>
      </c>
      <c r="M367" s="3" t="s">
        <v>126</v>
      </c>
      <c r="N367" s="3">
        <v>257.06</v>
      </c>
      <c r="O367" s="3">
        <v>1</v>
      </c>
      <c r="P367" s="3" t="s">
        <v>85</v>
      </c>
      <c r="Q367" s="3">
        <v>4</v>
      </c>
      <c r="R367" s="3">
        <v>42</v>
      </c>
      <c r="S367" s="4">
        <v>45423</v>
      </c>
      <c r="T367" s="3" t="s">
        <v>1626</v>
      </c>
      <c r="U367" s="5">
        <f>Table1[[#This Row],[Delivery_Date]]-Table1[[#This Row],[Order_Date]]</f>
        <v>2</v>
      </c>
      <c r="V367" s="5">
        <f>Table1[[#This Row],[Price]]*Table1[[#This Row],[Quantity]]</f>
        <v>257.06</v>
      </c>
      <c r="W367" s="6" cm="1">
        <f t="array" ref="W367">_xlfn.IFS(
P367="FLAT8",8%,
P367="FLAT10",10%,
P367="FLAT15",15%,P367="FLAT20",20%,P367="DEL0",0%,
TRUE,0%
)</f>
        <v>0.2</v>
      </c>
      <c r="X367" s="5">
        <f>Table1[[#This Row],[Amount]]-(Table1[[#This Row],[Amount]]*Table1[[#This Row],[Discount_Percentage]])</f>
        <v>205.648</v>
      </c>
      <c r="Y367" s="5">
        <f>IF(P367="DEL0",Table1[[#This Row],[Discount_Amount]],Table1[[#This Row],[Discount_Amount]]+Table1[[#This Row],[Delivery_Charge]])</f>
        <v>247.648</v>
      </c>
      <c r="Z367" s="7" t="str">
        <f>_xlfn.CONCAT(Table1[[#This Row],[First_Name]],"  ",Table1[[#This Row],[Last_Name]])</f>
        <v>Hannah  Gutierrez</v>
      </c>
      <c r="AA367" s="5" t="str" cm="1">
        <f t="array" ref="AA367">_xlfn.IFS( (S367-K367)&gt;Q367,"Late", (S367-K367)=Q367,"InTime", (S367-K367)&lt;Q367,"BeforeTime" )</f>
        <v>BeforeTime</v>
      </c>
      <c r="AB367" s="3">
        <f>MONTH(Table1[[#This Row],[Order_Date]])</f>
        <v>5</v>
      </c>
    </row>
    <row r="368" spans="1:28" x14ac:dyDescent="0.3">
      <c r="A368" s="3" t="s">
        <v>201</v>
      </c>
      <c r="B368" s="3" t="s">
        <v>202</v>
      </c>
      <c r="C368" s="3" t="s">
        <v>203</v>
      </c>
      <c r="D368" s="3" t="str">
        <f>_xlfn.CONCAT(Table1[[#This Row],[First_Name]],Table1[[#This Row],[Last_Name]])</f>
        <v>DeborahBates</v>
      </c>
      <c r="E368" s="3">
        <v>23</v>
      </c>
      <c r="F368" s="3" t="s">
        <v>29</v>
      </c>
      <c r="G368" s="3" t="s">
        <v>90</v>
      </c>
      <c r="H368" s="3" t="s">
        <v>204</v>
      </c>
      <c r="I368" s="3" t="s">
        <v>205</v>
      </c>
      <c r="J368" s="3" t="s">
        <v>1627</v>
      </c>
      <c r="K368" s="4">
        <v>45225</v>
      </c>
      <c r="L368" s="3" t="s">
        <v>1628</v>
      </c>
      <c r="M368" s="3" t="s">
        <v>871</v>
      </c>
      <c r="N368" s="3">
        <v>292.14999999999998</v>
      </c>
      <c r="O368" s="3">
        <v>3</v>
      </c>
      <c r="P368" s="3" t="s">
        <v>63</v>
      </c>
      <c r="Q368" s="3">
        <v>3</v>
      </c>
      <c r="R368" s="3">
        <v>51</v>
      </c>
      <c r="S368" s="4">
        <v>45227</v>
      </c>
      <c r="T368" s="3" t="s">
        <v>1629</v>
      </c>
      <c r="U368" s="5">
        <f>Table1[[#This Row],[Delivery_Date]]-Table1[[#This Row],[Order_Date]]</f>
        <v>2</v>
      </c>
      <c r="V368" s="5">
        <f>Table1[[#This Row],[Price]]*Table1[[#This Row],[Quantity]]</f>
        <v>876.44999999999993</v>
      </c>
      <c r="W368" s="6" cm="1">
        <f t="array" ref="W368">_xlfn.IFS(
P368="FLAT8",8%,
P368="FLAT10",10%,
P368="FLAT15",15%,P368="FLAT20",20%,P368="DEL0",0%,
TRUE,0%
)</f>
        <v>0</v>
      </c>
      <c r="X368" s="5">
        <f>Table1[[#This Row],[Amount]]-(Table1[[#This Row],[Amount]]*Table1[[#This Row],[Discount_Percentage]])</f>
        <v>876.44999999999993</v>
      </c>
      <c r="Y368" s="5">
        <f>IF(P368="DEL0",Table1[[#This Row],[Discount_Amount]],Table1[[#This Row],[Discount_Amount]]+Table1[[#This Row],[Delivery_Charge]])</f>
        <v>876.44999999999993</v>
      </c>
      <c r="Z368" s="7" t="str">
        <f>_xlfn.CONCAT(Table1[[#This Row],[First_Name]],"  ",Table1[[#This Row],[Last_Name]])</f>
        <v>Deborah  Bates</v>
      </c>
      <c r="AA368" s="5" t="str" cm="1">
        <f t="array" ref="AA368">_xlfn.IFS( (S368-K368)&gt;Q368,"Late", (S368-K368)=Q368,"InTime", (S368-K368)&lt;Q368,"BeforeTime" )</f>
        <v>BeforeTime</v>
      </c>
      <c r="AB368" s="3">
        <f>MONTH(Table1[[#This Row],[Order_Date]])</f>
        <v>10</v>
      </c>
    </row>
    <row r="369" spans="1:28" x14ac:dyDescent="0.3">
      <c r="A369" s="3" t="s">
        <v>1246</v>
      </c>
      <c r="B369" s="3" t="s">
        <v>66</v>
      </c>
      <c r="C369" s="3" t="s">
        <v>1247</v>
      </c>
      <c r="D369" s="3" t="str">
        <f>_xlfn.CONCAT(Table1[[#This Row],[First_Name]],Table1[[#This Row],[Last_Name]])</f>
        <v>AngelaCasey</v>
      </c>
      <c r="E369" s="3">
        <v>40</v>
      </c>
      <c r="F369" s="3" t="s">
        <v>29</v>
      </c>
      <c r="G369" s="3" t="s">
        <v>76</v>
      </c>
      <c r="H369" s="3" t="s">
        <v>1248</v>
      </c>
      <c r="I369" s="3" t="s">
        <v>1249</v>
      </c>
      <c r="J369" s="3" t="s">
        <v>1630</v>
      </c>
      <c r="K369" s="4">
        <v>45193</v>
      </c>
      <c r="L369" s="3" t="s">
        <v>1631</v>
      </c>
      <c r="M369" s="3" t="s">
        <v>246</v>
      </c>
      <c r="N369" s="3">
        <v>282.63</v>
      </c>
      <c r="O369" s="3">
        <v>2</v>
      </c>
      <c r="P369" s="3" t="s">
        <v>58</v>
      </c>
      <c r="Q369" s="3">
        <v>6</v>
      </c>
      <c r="R369" s="3">
        <v>62</v>
      </c>
      <c r="S369" s="4">
        <v>45194</v>
      </c>
      <c r="T369" s="3" t="s">
        <v>1632</v>
      </c>
      <c r="U369" s="5">
        <f>Table1[[#This Row],[Delivery_Date]]-Table1[[#This Row],[Order_Date]]</f>
        <v>1</v>
      </c>
      <c r="V369" s="5">
        <f>Table1[[#This Row],[Price]]*Table1[[#This Row],[Quantity]]</f>
        <v>565.26</v>
      </c>
      <c r="W369" s="6" cm="1">
        <f t="array" ref="W369">_xlfn.IFS(
P369="FLAT8",8%,
P369="FLAT10",10%,
P369="FLAT15",15%,P369="FLAT20",20%,P369="DEL0",0%,
TRUE,0%
)</f>
        <v>0.15</v>
      </c>
      <c r="X369" s="5">
        <f>Table1[[#This Row],[Amount]]-(Table1[[#This Row],[Amount]]*Table1[[#This Row],[Discount_Percentage]])</f>
        <v>480.471</v>
      </c>
      <c r="Y369" s="5">
        <f>IF(P369="DEL0",Table1[[#This Row],[Discount_Amount]],Table1[[#This Row],[Discount_Amount]]+Table1[[#This Row],[Delivery_Charge]])</f>
        <v>542.471</v>
      </c>
      <c r="Z369" s="7" t="str">
        <f>_xlfn.CONCAT(Table1[[#This Row],[First_Name]],"  ",Table1[[#This Row],[Last_Name]])</f>
        <v>Angela  Casey</v>
      </c>
      <c r="AA369" s="5" t="str" cm="1">
        <f t="array" ref="AA369">_xlfn.IFS( (S369-K369)&gt;Q369,"Late", (S369-K369)=Q369,"InTime", (S369-K369)&lt;Q369,"BeforeTime" )</f>
        <v>BeforeTime</v>
      </c>
      <c r="AB369" s="3">
        <f>MONTH(Table1[[#This Row],[Order_Date]])</f>
        <v>9</v>
      </c>
    </row>
    <row r="370" spans="1:28" x14ac:dyDescent="0.3">
      <c r="A370" s="3" t="s">
        <v>165</v>
      </c>
      <c r="B370" s="3" t="s">
        <v>166</v>
      </c>
      <c r="C370" s="3" t="s">
        <v>167</v>
      </c>
      <c r="D370" s="3" t="str">
        <f>_xlfn.CONCAT(Table1[[#This Row],[First_Name]],Table1[[#This Row],[Last_Name]])</f>
        <v>ErinMiller</v>
      </c>
      <c r="E370" s="3">
        <v>46</v>
      </c>
      <c r="F370" s="3" t="s">
        <v>29</v>
      </c>
      <c r="G370" s="3" t="s">
        <v>168</v>
      </c>
      <c r="H370" s="3" t="s">
        <v>169</v>
      </c>
      <c r="I370" s="3" t="s">
        <v>170</v>
      </c>
      <c r="J370" s="3" t="s">
        <v>1633</v>
      </c>
      <c r="K370" s="4">
        <v>45473</v>
      </c>
      <c r="L370" s="3" t="s">
        <v>1634</v>
      </c>
      <c r="M370" s="3" t="s">
        <v>173</v>
      </c>
      <c r="N370" s="3">
        <v>272.51</v>
      </c>
      <c r="O370" s="3">
        <v>3</v>
      </c>
      <c r="P370" s="3" t="s">
        <v>36</v>
      </c>
      <c r="Q370" s="3">
        <v>5</v>
      </c>
      <c r="R370" s="3">
        <v>66</v>
      </c>
      <c r="S370" s="4">
        <v>45479</v>
      </c>
      <c r="T370" s="3" t="s">
        <v>1635</v>
      </c>
      <c r="U370" s="5">
        <f>Table1[[#This Row],[Delivery_Date]]-Table1[[#This Row],[Order_Date]]</f>
        <v>6</v>
      </c>
      <c r="V370" s="5">
        <f>Table1[[#This Row],[Price]]*Table1[[#This Row],[Quantity]]</f>
        <v>817.53</v>
      </c>
      <c r="W370" s="6" cm="1">
        <f t="array" ref="W370">_xlfn.IFS(
P370="FLAT8",8%,
P370="FLAT10",10%,
P370="FLAT15",15%,P370="FLAT20",20%,P370="DEL0",0%,
TRUE,0%
)</f>
        <v>0.08</v>
      </c>
      <c r="X370" s="5">
        <f>Table1[[#This Row],[Amount]]-(Table1[[#This Row],[Amount]]*Table1[[#This Row],[Discount_Percentage]])</f>
        <v>752.12760000000003</v>
      </c>
      <c r="Y370" s="5">
        <f>IF(P370="DEL0",Table1[[#This Row],[Discount_Amount]],Table1[[#This Row],[Discount_Amount]]+Table1[[#This Row],[Delivery_Charge]])</f>
        <v>818.12760000000003</v>
      </c>
      <c r="Z370" s="7" t="str">
        <f>_xlfn.CONCAT(Table1[[#This Row],[First_Name]],"  ",Table1[[#This Row],[Last_Name]])</f>
        <v>Erin  Miller</v>
      </c>
      <c r="AA370" s="5" t="str" cm="1">
        <f t="array" ref="AA370">_xlfn.IFS( (S370-K370)&gt;Q370,"Late", (S370-K370)=Q370,"InTime", (S370-K370)&lt;Q370,"BeforeTime" )</f>
        <v>Late</v>
      </c>
      <c r="AB370" s="3">
        <f>MONTH(Table1[[#This Row],[Order_Date]])</f>
        <v>6</v>
      </c>
    </row>
    <row r="371" spans="1:28" x14ac:dyDescent="0.3">
      <c r="A371" s="3" t="s">
        <v>420</v>
      </c>
      <c r="B371" s="3" t="s">
        <v>421</v>
      </c>
      <c r="C371" s="3" t="s">
        <v>422</v>
      </c>
      <c r="D371" s="3" t="str">
        <f>_xlfn.CONCAT(Table1[[#This Row],[First_Name]],Table1[[#This Row],[Last_Name]])</f>
        <v>AmandaHoward</v>
      </c>
      <c r="E371" s="3">
        <v>52</v>
      </c>
      <c r="F371" s="3" t="s">
        <v>52</v>
      </c>
      <c r="G371" s="3" t="s">
        <v>220</v>
      </c>
      <c r="H371" s="3" t="s">
        <v>423</v>
      </c>
      <c r="I371" s="3" t="s">
        <v>424</v>
      </c>
      <c r="J371" s="3" t="s">
        <v>1636</v>
      </c>
      <c r="K371" s="4">
        <v>44975</v>
      </c>
      <c r="L371" s="3" t="s">
        <v>1637</v>
      </c>
      <c r="M371" s="3" t="s">
        <v>81</v>
      </c>
      <c r="N371" s="3">
        <v>330.11</v>
      </c>
      <c r="O371" s="3">
        <v>2</v>
      </c>
      <c r="P371" s="3" t="s">
        <v>63</v>
      </c>
      <c r="Q371" s="3">
        <v>3</v>
      </c>
      <c r="R371" s="3">
        <v>55</v>
      </c>
      <c r="S371" s="4">
        <v>44976</v>
      </c>
      <c r="T371" s="3" t="s">
        <v>1638</v>
      </c>
      <c r="U371" s="5">
        <f>Table1[[#This Row],[Delivery_Date]]-Table1[[#This Row],[Order_Date]]</f>
        <v>1</v>
      </c>
      <c r="V371" s="5">
        <f>Table1[[#This Row],[Price]]*Table1[[#This Row],[Quantity]]</f>
        <v>660.22</v>
      </c>
      <c r="W371" s="6" cm="1">
        <f t="array" ref="W371">_xlfn.IFS(
P371="FLAT8",8%,
P371="FLAT10",10%,
P371="FLAT15",15%,P371="FLAT20",20%,P371="DEL0",0%,
TRUE,0%
)</f>
        <v>0</v>
      </c>
      <c r="X371" s="5">
        <f>Table1[[#This Row],[Amount]]-(Table1[[#This Row],[Amount]]*Table1[[#This Row],[Discount_Percentage]])</f>
        <v>660.22</v>
      </c>
      <c r="Y371" s="5">
        <f>IF(P371="DEL0",Table1[[#This Row],[Discount_Amount]],Table1[[#This Row],[Discount_Amount]]+Table1[[#This Row],[Delivery_Charge]])</f>
        <v>660.22</v>
      </c>
      <c r="Z371" s="7" t="str">
        <f>_xlfn.CONCAT(Table1[[#This Row],[First_Name]],"  ",Table1[[#This Row],[Last_Name]])</f>
        <v>Amanda  Howard</v>
      </c>
      <c r="AA371" s="5" t="str" cm="1">
        <f t="array" ref="AA371">_xlfn.IFS( (S371-K371)&gt;Q371,"Late", (S371-K371)=Q371,"InTime", (S371-K371)&lt;Q371,"BeforeTime" )</f>
        <v>BeforeTime</v>
      </c>
      <c r="AB371" s="3">
        <f>MONTH(Table1[[#This Row],[Order_Date]])</f>
        <v>2</v>
      </c>
    </row>
    <row r="372" spans="1:28" x14ac:dyDescent="0.3">
      <c r="A372" s="3" t="s">
        <v>156</v>
      </c>
      <c r="B372" s="3" t="s">
        <v>157</v>
      </c>
      <c r="C372" s="3" t="s">
        <v>158</v>
      </c>
      <c r="D372" s="3" t="str">
        <f>_xlfn.CONCAT(Table1[[#This Row],[First_Name]],Table1[[#This Row],[Last_Name]])</f>
        <v>JoshuaCampbell</v>
      </c>
      <c r="E372" s="3">
        <v>24</v>
      </c>
      <c r="F372" s="3" t="s">
        <v>29</v>
      </c>
      <c r="G372" s="3" t="s">
        <v>159</v>
      </c>
      <c r="H372" s="3" t="s">
        <v>160</v>
      </c>
      <c r="I372" s="3" t="s">
        <v>161</v>
      </c>
      <c r="J372" s="3" t="s">
        <v>1639</v>
      </c>
      <c r="K372" s="4">
        <v>45485</v>
      </c>
      <c r="L372" s="3" t="s">
        <v>1640</v>
      </c>
      <c r="M372" s="3" t="s">
        <v>234</v>
      </c>
      <c r="N372" s="3">
        <v>132.97</v>
      </c>
      <c r="O372" s="3">
        <v>2</v>
      </c>
      <c r="P372" s="3" t="s">
        <v>58</v>
      </c>
      <c r="Q372" s="3">
        <v>4</v>
      </c>
      <c r="R372" s="3">
        <v>40</v>
      </c>
      <c r="S372" s="4">
        <v>45487</v>
      </c>
      <c r="T372" s="3" t="s">
        <v>1641</v>
      </c>
      <c r="U372" s="5">
        <f>Table1[[#This Row],[Delivery_Date]]-Table1[[#This Row],[Order_Date]]</f>
        <v>2</v>
      </c>
      <c r="V372" s="5">
        <f>Table1[[#This Row],[Price]]*Table1[[#This Row],[Quantity]]</f>
        <v>265.94</v>
      </c>
      <c r="W372" s="6" cm="1">
        <f t="array" ref="W372">_xlfn.IFS(
P372="FLAT8",8%,
P372="FLAT10",10%,
P372="FLAT15",15%,P372="FLAT20",20%,P372="DEL0",0%,
TRUE,0%
)</f>
        <v>0.15</v>
      </c>
      <c r="X372" s="5">
        <f>Table1[[#This Row],[Amount]]-(Table1[[#This Row],[Amount]]*Table1[[#This Row],[Discount_Percentage]])</f>
        <v>226.04900000000001</v>
      </c>
      <c r="Y372" s="5">
        <f>IF(P372="DEL0",Table1[[#This Row],[Discount_Amount]],Table1[[#This Row],[Discount_Amount]]+Table1[[#This Row],[Delivery_Charge]])</f>
        <v>266.04899999999998</v>
      </c>
      <c r="Z372" s="7" t="str">
        <f>_xlfn.CONCAT(Table1[[#This Row],[First_Name]],"  ",Table1[[#This Row],[Last_Name]])</f>
        <v>Joshua  Campbell</v>
      </c>
      <c r="AA372" s="5" t="str" cm="1">
        <f t="array" ref="AA372">_xlfn.IFS( (S372-K372)&gt;Q372,"Late", (S372-K372)=Q372,"InTime", (S372-K372)&lt;Q372,"BeforeTime" )</f>
        <v>BeforeTime</v>
      </c>
      <c r="AB372" s="3">
        <f>MONTH(Table1[[#This Row],[Order_Date]])</f>
        <v>7</v>
      </c>
    </row>
    <row r="373" spans="1:28" x14ac:dyDescent="0.3">
      <c r="A373" s="3" t="s">
        <v>535</v>
      </c>
      <c r="B373" s="3" t="s">
        <v>536</v>
      </c>
      <c r="C373" s="3" t="s">
        <v>537</v>
      </c>
      <c r="D373" s="3" t="str">
        <f>_xlfn.CONCAT(Table1[[#This Row],[First_Name]],Table1[[#This Row],[Last_Name]])</f>
        <v>BrandonCruz</v>
      </c>
      <c r="E373" s="3">
        <v>32</v>
      </c>
      <c r="F373" s="3" t="s">
        <v>52</v>
      </c>
      <c r="G373" s="3" t="s">
        <v>90</v>
      </c>
      <c r="H373" s="3" t="s">
        <v>538</v>
      </c>
      <c r="I373" s="3" t="s">
        <v>539</v>
      </c>
      <c r="J373" s="3" t="s">
        <v>1642</v>
      </c>
      <c r="K373" s="4">
        <v>45006</v>
      </c>
      <c r="L373" s="3" t="s">
        <v>1643</v>
      </c>
      <c r="M373" s="3" t="s">
        <v>481</v>
      </c>
      <c r="N373" s="3">
        <v>87.09</v>
      </c>
      <c r="O373" s="3">
        <v>2</v>
      </c>
      <c r="P373" s="3" t="s">
        <v>63</v>
      </c>
      <c r="Q373" s="3">
        <v>4</v>
      </c>
      <c r="R373" s="3">
        <v>67</v>
      </c>
      <c r="S373" s="4">
        <v>45010</v>
      </c>
      <c r="T373" s="3" t="s">
        <v>1644</v>
      </c>
      <c r="U373" s="5">
        <f>Table1[[#This Row],[Delivery_Date]]-Table1[[#This Row],[Order_Date]]</f>
        <v>4</v>
      </c>
      <c r="V373" s="5">
        <f>Table1[[#This Row],[Price]]*Table1[[#This Row],[Quantity]]</f>
        <v>174.18</v>
      </c>
      <c r="W373" s="6" cm="1">
        <f t="array" ref="W373">_xlfn.IFS(
P373="FLAT8",8%,
P373="FLAT10",10%,
P373="FLAT15",15%,P373="FLAT20",20%,P373="DEL0",0%,
TRUE,0%
)</f>
        <v>0</v>
      </c>
      <c r="X373" s="5">
        <f>Table1[[#This Row],[Amount]]-(Table1[[#This Row],[Amount]]*Table1[[#This Row],[Discount_Percentage]])</f>
        <v>174.18</v>
      </c>
      <c r="Y373" s="5">
        <f>IF(P373="DEL0",Table1[[#This Row],[Discount_Amount]],Table1[[#This Row],[Discount_Amount]]+Table1[[#This Row],[Delivery_Charge]])</f>
        <v>174.18</v>
      </c>
      <c r="Z373" s="7" t="str">
        <f>_xlfn.CONCAT(Table1[[#This Row],[First_Name]],"  ",Table1[[#This Row],[Last_Name]])</f>
        <v>Brandon  Cruz</v>
      </c>
      <c r="AA373" s="5" t="str" cm="1">
        <f t="array" ref="AA373">_xlfn.IFS( (S373-K373)&gt;Q373,"Late", (S373-K373)=Q373,"InTime", (S373-K373)&lt;Q373,"BeforeTime" )</f>
        <v>InTime</v>
      </c>
      <c r="AB373" s="3">
        <f>MONTH(Table1[[#This Row],[Order_Date]])</f>
        <v>3</v>
      </c>
    </row>
    <row r="374" spans="1:28" x14ac:dyDescent="0.3">
      <c r="A374" s="3" t="s">
        <v>333</v>
      </c>
      <c r="B374" s="3" t="s">
        <v>334</v>
      </c>
      <c r="C374" s="3" t="s">
        <v>335</v>
      </c>
      <c r="D374" s="3" t="str">
        <f>_xlfn.CONCAT(Table1[[#This Row],[First_Name]],Table1[[#This Row],[Last_Name]])</f>
        <v>JulieMeyer</v>
      </c>
      <c r="E374" s="3">
        <v>23</v>
      </c>
      <c r="F374" s="3" t="s">
        <v>29</v>
      </c>
      <c r="G374" s="3" t="s">
        <v>30</v>
      </c>
      <c r="H374" s="3" t="s">
        <v>336</v>
      </c>
      <c r="I374" s="3" t="s">
        <v>337</v>
      </c>
      <c r="J374" s="3" t="s">
        <v>1645</v>
      </c>
      <c r="K374" s="4">
        <v>45622</v>
      </c>
      <c r="L374" s="3" t="s">
        <v>1646</v>
      </c>
      <c r="M374" s="3" t="s">
        <v>941</v>
      </c>
      <c r="N374" s="3">
        <v>107.47</v>
      </c>
      <c r="O374" s="3">
        <v>5</v>
      </c>
      <c r="P374" s="3" t="s">
        <v>36</v>
      </c>
      <c r="Q374" s="3">
        <v>4</v>
      </c>
      <c r="R374" s="3">
        <v>37</v>
      </c>
      <c r="S374" s="4">
        <v>45628</v>
      </c>
      <c r="T374" s="3" t="s">
        <v>1647</v>
      </c>
      <c r="U374" s="5">
        <f>Table1[[#This Row],[Delivery_Date]]-Table1[[#This Row],[Order_Date]]</f>
        <v>6</v>
      </c>
      <c r="V374" s="5">
        <f>Table1[[#This Row],[Price]]*Table1[[#This Row],[Quantity]]</f>
        <v>537.35</v>
      </c>
      <c r="W374" s="6" cm="1">
        <f t="array" ref="W374">_xlfn.IFS(
P374="FLAT8",8%,
P374="FLAT10",10%,
P374="FLAT15",15%,P374="FLAT20",20%,P374="DEL0",0%,
TRUE,0%
)</f>
        <v>0.08</v>
      </c>
      <c r="X374" s="5">
        <f>Table1[[#This Row],[Amount]]-(Table1[[#This Row],[Amount]]*Table1[[#This Row],[Discount_Percentage]])</f>
        <v>494.36200000000002</v>
      </c>
      <c r="Y374" s="5">
        <f>IF(P374="DEL0",Table1[[#This Row],[Discount_Amount]],Table1[[#This Row],[Discount_Amount]]+Table1[[#This Row],[Delivery_Charge]])</f>
        <v>531.36200000000008</v>
      </c>
      <c r="Z374" s="7" t="str">
        <f>_xlfn.CONCAT(Table1[[#This Row],[First_Name]],"  ",Table1[[#This Row],[Last_Name]])</f>
        <v>Julie  Meyer</v>
      </c>
      <c r="AA374" s="5" t="str" cm="1">
        <f t="array" ref="AA374">_xlfn.IFS( (S374-K374)&gt;Q374,"Late", (S374-K374)=Q374,"InTime", (S374-K374)&lt;Q374,"BeforeTime" )</f>
        <v>Late</v>
      </c>
      <c r="AB374" s="3">
        <f>MONTH(Table1[[#This Row],[Order_Date]])</f>
        <v>11</v>
      </c>
    </row>
    <row r="375" spans="1:28" x14ac:dyDescent="0.3">
      <c r="A375" s="3" t="s">
        <v>731</v>
      </c>
      <c r="B375" s="3" t="s">
        <v>732</v>
      </c>
      <c r="C375" s="3" t="s">
        <v>733</v>
      </c>
      <c r="D375" s="3" t="str">
        <f>_xlfn.CONCAT(Table1[[#This Row],[First_Name]],Table1[[#This Row],[Last_Name]])</f>
        <v>MelissaLevy</v>
      </c>
      <c r="E375" s="3">
        <v>30</v>
      </c>
      <c r="F375" s="3" t="s">
        <v>29</v>
      </c>
      <c r="G375" s="3" t="s">
        <v>159</v>
      </c>
      <c r="H375" s="3" t="s">
        <v>734</v>
      </c>
      <c r="I375" s="3" t="s">
        <v>735</v>
      </c>
      <c r="J375" s="3" t="s">
        <v>1648</v>
      </c>
      <c r="K375" s="4">
        <v>45417</v>
      </c>
      <c r="L375" s="3" t="s">
        <v>1649</v>
      </c>
      <c r="M375" s="3" t="s">
        <v>941</v>
      </c>
      <c r="N375" s="3">
        <v>107.47</v>
      </c>
      <c r="O375" s="3">
        <v>5</v>
      </c>
      <c r="P375" s="3" t="s">
        <v>96</v>
      </c>
      <c r="Q375" s="3">
        <v>4</v>
      </c>
      <c r="R375" s="3">
        <v>47</v>
      </c>
      <c r="S375" s="4">
        <v>45424</v>
      </c>
      <c r="T375" s="3" t="s">
        <v>1650</v>
      </c>
      <c r="U375" s="5">
        <f>Table1[[#This Row],[Delivery_Date]]-Table1[[#This Row],[Order_Date]]</f>
        <v>7</v>
      </c>
      <c r="V375" s="5">
        <f>Table1[[#This Row],[Price]]*Table1[[#This Row],[Quantity]]</f>
        <v>537.35</v>
      </c>
      <c r="W375" s="6" cm="1">
        <f t="array" ref="W375">_xlfn.IFS(
P375="FLAT8",8%,
P375="FLAT10",10%,
P375="FLAT15",15%,P375="FLAT20",20%,P375="DEL0",0%,
TRUE,0%
)</f>
        <v>0.1</v>
      </c>
      <c r="X375" s="5">
        <f>Table1[[#This Row],[Amount]]-(Table1[[#This Row],[Amount]]*Table1[[#This Row],[Discount_Percentage]])</f>
        <v>483.61500000000001</v>
      </c>
      <c r="Y375" s="5">
        <f>IF(P375="DEL0",Table1[[#This Row],[Discount_Amount]],Table1[[#This Row],[Discount_Amount]]+Table1[[#This Row],[Delivery_Charge]])</f>
        <v>530.61500000000001</v>
      </c>
      <c r="Z375" s="7" t="str">
        <f>_xlfn.CONCAT(Table1[[#This Row],[First_Name]],"  ",Table1[[#This Row],[Last_Name]])</f>
        <v>Melissa  Levy</v>
      </c>
      <c r="AA375" s="5" t="str" cm="1">
        <f t="array" ref="AA375">_xlfn.IFS( (S375-K375)&gt;Q375,"Late", (S375-K375)=Q375,"InTime", (S375-K375)&lt;Q375,"BeforeTime" )</f>
        <v>Late</v>
      </c>
      <c r="AB375" s="3">
        <f>MONTH(Table1[[#This Row],[Order_Date]])</f>
        <v>5</v>
      </c>
    </row>
    <row r="376" spans="1:28" x14ac:dyDescent="0.3">
      <c r="A376" s="3" t="s">
        <v>646</v>
      </c>
      <c r="B376" s="3" t="s">
        <v>647</v>
      </c>
      <c r="C376" s="3" t="s">
        <v>648</v>
      </c>
      <c r="D376" s="3" t="str">
        <f>_xlfn.CONCAT(Table1[[#This Row],[First_Name]],Table1[[#This Row],[Last_Name]])</f>
        <v>BethMason</v>
      </c>
      <c r="E376" s="3">
        <v>45</v>
      </c>
      <c r="F376" s="3" t="s">
        <v>52</v>
      </c>
      <c r="G376" s="3" t="s">
        <v>90</v>
      </c>
      <c r="H376" s="3" t="s">
        <v>649</v>
      </c>
      <c r="I376" s="3" t="s">
        <v>650</v>
      </c>
      <c r="J376" s="3" t="s">
        <v>1651</v>
      </c>
      <c r="K376" s="4">
        <v>45446</v>
      </c>
      <c r="L376" s="3" t="s">
        <v>1652</v>
      </c>
      <c r="M376" s="3" t="s">
        <v>563</v>
      </c>
      <c r="N376" s="3">
        <v>133.62</v>
      </c>
      <c r="O376" s="3">
        <v>1</v>
      </c>
      <c r="P376" s="3" t="s">
        <v>58</v>
      </c>
      <c r="Q376" s="3">
        <v>5</v>
      </c>
      <c r="R376" s="3">
        <v>39</v>
      </c>
      <c r="S376" s="4">
        <v>45451</v>
      </c>
      <c r="T376" s="3" t="s">
        <v>1653</v>
      </c>
      <c r="U376" s="5">
        <f>Table1[[#This Row],[Delivery_Date]]-Table1[[#This Row],[Order_Date]]</f>
        <v>5</v>
      </c>
      <c r="V376" s="5">
        <f>Table1[[#This Row],[Price]]*Table1[[#This Row],[Quantity]]</f>
        <v>133.62</v>
      </c>
      <c r="W376" s="6" cm="1">
        <f t="array" ref="W376">_xlfn.IFS(
P376="FLAT8",8%,
P376="FLAT10",10%,
P376="FLAT15",15%,P376="FLAT20",20%,P376="DEL0",0%,
TRUE,0%
)</f>
        <v>0.15</v>
      </c>
      <c r="X376" s="5">
        <f>Table1[[#This Row],[Amount]]-(Table1[[#This Row],[Amount]]*Table1[[#This Row],[Discount_Percentage]])</f>
        <v>113.577</v>
      </c>
      <c r="Y376" s="5">
        <f>IF(P376="DEL0",Table1[[#This Row],[Discount_Amount]],Table1[[#This Row],[Discount_Amount]]+Table1[[#This Row],[Delivery_Charge]])</f>
        <v>152.577</v>
      </c>
      <c r="Z376" s="7" t="str">
        <f>_xlfn.CONCAT(Table1[[#This Row],[First_Name]],"  ",Table1[[#This Row],[Last_Name]])</f>
        <v>Beth  Mason</v>
      </c>
      <c r="AA376" s="5" t="str" cm="1">
        <f t="array" ref="AA376">_xlfn.IFS( (S376-K376)&gt;Q376,"Late", (S376-K376)=Q376,"InTime", (S376-K376)&lt;Q376,"BeforeTime" )</f>
        <v>InTime</v>
      </c>
      <c r="AB376" s="3">
        <f>MONTH(Table1[[#This Row],[Order_Date]])</f>
        <v>6</v>
      </c>
    </row>
    <row r="377" spans="1:28" x14ac:dyDescent="0.3">
      <c r="A377" s="3" t="s">
        <v>435</v>
      </c>
      <c r="B377" s="3" t="s">
        <v>436</v>
      </c>
      <c r="C377" s="3" t="s">
        <v>437</v>
      </c>
      <c r="D377" s="3" t="str">
        <f>_xlfn.CONCAT(Table1[[#This Row],[First_Name]],Table1[[#This Row],[Last_Name]])</f>
        <v>MaryKnight</v>
      </c>
      <c r="E377" s="3">
        <v>28</v>
      </c>
      <c r="F377" s="3" t="s">
        <v>52</v>
      </c>
      <c r="G377" s="3" t="s">
        <v>76</v>
      </c>
      <c r="H377" s="3" t="s">
        <v>438</v>
      </c>
      <c r="I377" s="3" t="s">
        <v>439</v>
      </c>
      <c r="J377" s="3" t="s">
        <v>1654</v>
      </c>
      <c r="K377" s="4">
        <v>45247</v>
      </c>
      <c r="L377" s="3" t="s">
        <v>1655</v>
      </c>
      <c r="M377" s="3" t="s">
        <v>105</v>
      </c>
      <c r="N377" s="3">
        <v>275.44</v>
      </c>
      <c r="O377" s="3">
        <v>2</v>
      </c>
      <c r="P377" s="3" t="s">
        <v>85</v>
      </c>
      <c r="Q377" s="3">
        <v>3</v>
      </c>
      <c r="R377" s="3">
        <v>43</v>
      </c>
      <c r="S377" s="4">
        <v>45251</v>
      </c>
      <c r="T377" s="3" t="s">
        <v>1656</v>
      </c>
      <c r="U377" s="5">
        <f>Table1[[#This Row],[Delivery_Date]]-Table1[[#This Row],[Order_Date]]</f>
        <v>4</v>
      </c>
      <c r="V377" s="5">
        <f>Table1[[#This Row],[Price]]*Table1[[#This Row],[Quantity]]</f>
        <v>550.88</v>
      </c>
      <c r="W377" s="6" cm="1">
        <f t="array" ref="W377">_xlfn.IFS(
P377="FLAT8",8%,
P377="FLAT10",10%,
P377="FLAT15",15%,P377="FLAT20",20%,P377="DEL0",0%,
TRUE,0%
)</f>
        <v>0.2</v>
      </c>
      <c r="X377" s="5">
        <f>Table1[[#This Row],[Amount]]-(Table1[[#This Row],[Amount]]*Table1[[#This Row],[Discount_Percentage]])</f>
        <v>440.70400000000001</v>
      </c>
      <c r="Y377" s="5">
        <f>IF(P377="DEL0",Table1[[#This Row],[Discount_Amount]],Table1[[#This Row],[Discount_Amount]]+Table1[[#This Row],[Delivery_Charge]])</f>
        <v>483.70400000000001</v>
      </c>
      <c r="Z377" s="7" t="str">
        <f>_xlfn.CONCAT(Table1[[#This Row],[First_Name]],"  ",Table1[[#This Row],[Last_Name]])</f>
        <v>Mary  Knight</v>
      </c>
      <c r="AA377" s="5" t="str" cm="1">
        <f t="array" ref="AA377">_xlfn.IFS( (S377-K377)&gt;Q377,"Late", (S377-K377)=Q377,"InTime", (S377-K377)&lt;Q377,"BeforeTime" )</f>
        <v>Late</v>
      </c>
      <c r="AB377" s="3">
        <f>MONTH(Table1[[#This Row],[Order_Date]])</f>
        <v>11</v>
      </c>
    </row>
    <row r="378" spans="1:28" x14ac:dyDescent="0.3">
      <c r="A378" s="3" t="s">
        <v>925</v>
      </c>
      <c r="B378" s="3" t="s">
        <v>926</v>
      </c>
      <c r="C378" s="3" t="s">
        <v>927</v>
      </c>
      <c r="D378" s="3" t="str">
        <f>_xlfn.CONCAT(Table1[[#This Row],[First_Name]],Table1[[#This Row],[Last_Name]])</f>
        <v>RachaelRobinson</v>
      </c>
      <c r="E378" s="3">
        <v>24</v>
      </c>
      <c r="F378" s="3" t="s">
        <v>52</v>
      </c>
      <c r="G378" s="3" t="s">
        <v>220</v>
      </c>
      <c r="H378" s="3" t="s">
        <v>928</v>
      </c>
      <c r="I378" s="3" t="s">
        <v>929</v>
      </c>
      <c r="J378" s="3" t="s">
        <v>1657</v>
      </c>
      <c r="K378" s="4">
        <v>45113</v>
      </c>
      <c r="L378" s="3" t="s">
        <v>1658</v>
      </c>
      <c r="M378" s="3" t="s">
        <v>81</v>
      </c>
      <c r="N378" s="3">
        <v>330.11</v>
      </c>
      <c r="O378" s="3">
        <v>3</v>
      </c>
      <c r="P378" s="3" t="s">
        <v>58</v>
      </c>
      <c r="Q378" s="3">
        <v>2</v>
      </c>
      <c r="R378" s="3">
        <v>56</v>
      </c>
      <c r="S378" s="4">
        <v>45117</v>
      </c>
      <c r="T378" s="3" t="s">
        <v>1659</v>
      </c>
      <c r="U378" s="5">
        <f>Table1[[#This Row],[Delivery_Date]]-Table1[[#This Row],[Order_Date]]</f>
        <v>4</v>
      </c>
      <c r="V378" s="5">
        <f>Table1[[#This Row],[Price]]*Table1[[#This Row],[Quantity]]</f>
        <v>990.33</v>
      </c>
      <c r="W378" s="6" cm="1">
        <f t="array" ref="W378">_xlfn.IFS(
P378="FLAT8",8%,
P378="FLAT10",10%,
P378="FLAT15",15%,P378="FLAT20",20%,P378="DEL0",0%,
TRUE,0%
)</f>
        <v>0.15</v>
      </c>
      <c r="X378" s="5">
        <f>Table1[[#This Row],[Amount]]-(Table1[[#This Row],[Amount]]*Table1[[#This Row],[Discount_Percentage]])</f>
        <v>841.78050000000007</v>
      </c>
      <c r="Y378" s="5">
        <f>IF(P378="DEL0",Table1[[#This Row],[Discount_Amount]],Table1[[#This Row],[Discount_Amount]]+Table1[[#This Row],[Delivery_Charge]])</f>
        <v>897.78050000000007</v>
      </c>
      <c r="Z378" s="7" t="str">
        <f>_xlfn.CONCAT(Table1[[#This Row],[First_Name]],"  ",Table1[[#This Row],[Last_Name]])</f>
        <v>Rachael  Robinson</v>
      </c>
      <c r="AA378" s="5" t="str" cm="1">
        <f t="array" ref="AA378">_xlfn.IFS( (S378-K378)&gt;Q378,"Late", (S378-K378)=Q378,"InTime", (S378-K378)&lt;Q378,"BeforeTime" )</f>
        <v>Late</v>
      </c>
      <c r="AB378" s="3">
        <f>MONTH(Table1[[#This Row],[Order_Date]])</f>
        <v>7</v>
      </c>
    </row>
    <row r="379" spans="1:28" x14ac:dyDescent="0.3">
      <c r="A379" s="3" t="s">
        <v>435</v>
      </c>
      <c r="B379" s="3" t="s">
        <v>436</v>
      </c>
      <c r="C379" s="3" t="s">
        <v>437</v>
      </c>
      <c r="D379" s="3" t="str">
        <f>_xlfn.CONCAT(Table1[[#This Row],[First_Name]],Table1[[#This Row],[Last_Name]])</f>
        <v>MaryKnight</v>
      </c>
      <c r="E379" s="3">
        <v>28</v>
      </c>
      <c r="F379" s="3" t="s">
        <v>52</v>
      </c>
      <c r="G379" s="3" t="s">
        <v>76</v>
      </c>
      <c r="H379" s="3" t="s">
        <v>438</v>
      </c>
      <c r="I379" s="3" t="s">
        <v>439</v>
      </c>
      <c r="J379" s="3" t="s">
        <v>1660</v>
      </c>
      <c r="K379" s="4">
        <v>45307</v>
      </c>
      <c r="L379" s="3" t="s">
        <v>1661</v>
      </c>
      <c r="M379" s="3" t="s">
        <v>173</v>
      </c>
      <c r="N379" s="3">
        <v>272.51</v>
      </c>
      <c r="O379" s="3">
        <v>3</v>
      </c>
      <c r="P379" s="3" t="s">
        <v>36</v>
      </c>
      <c r="Q379" s="3">
        <v>6</v>
      </c>
      <c r="R379" s="3">
        <v>44</v>
      </c>
      <c r="S379" s="4">
        <v>45310</v>
      </c>
      <c r="T379" s="3" t="s">
        <v>1662</v>
      </c>
      <c r="U379" s="5">
        <f>Table1[[#This Row],[Delivery_Date]]-Table1[[#This Row],[Order_Date]]</f>
        <v>3</v>
      </c>
      <c r="V379" s="5">
        <f>Table1[[#This Row],[Price]]*Table1[[#This Row],[Quantity]]</f>
        <v>817.53</v>
      </c>
      <c r="W379" s="6" cm="1">
        <f t="array" ref="W379">_xlfn.IFS(
P379="FLAT8",8%,
P379="FLAT10",10%,
P379="FLAT15",15%,P379="FLAT20",20%,P379="DEL0",0%,
TRUE,0%
)</f>
        <v>0.08</v>
      </c>
      <c r="X379" s="5">
        <f>Table1[[#This Row],[Amount]]-(Table1[[#This Row],[Amount]]*Table1[[#This Row],[Discount_Percentage]])</f>
        <v>752.12760000000003</v>
      </c>
      <c r="Y379" s="5">
        <f>IF(P379="DEL0",Table1[[#This Row],[Discount_Amount]],Table1[[#This Row],[Discount_Amount]]+Table1[[#This Row],[Delivery_Charge]])</f>
        <v>796.12760000000003</v>
      </c>
      <c r="Z379" s="7" t="str">
        <f>_xlfn.CONCAT(Table1[[#This Row],[First_Name]],"  ",Table1[[#This Row],[Last_Name]])</f>
        <v>Mary  Knight</v>
      </c>
      <c r="AA379" s="5" t="str" cm="1">
        <f t="array" ref="AA379">_xlfn.IFS( (S379-K379)&gt;Q379,"Late", (S379-K379)=Q379,"InTime", (S379-K379)&lt;Q379,"BeforeTime" )</f>
        <v>BeforeTime</v>
      </c>
      <c r="AB379" s="3">
        <f>MONTH(Table1[[#This Row],[Order_Date]])</f>
        <v>1</v>
      </c>
    </row>
    <row r="380" spans="1:28" x14ac:dyDescent="0.3">
      <c r="A380" s="3" t="s">
        <v>705</v>
      </c>
      <c r="B380" s="3" t="s">
        <v>706</v>
      </c>
      <c r="C380" s="3" t="s">
        <v>707</v>
      </c>
      <c r="D380" s="3" t="str">
        <f>_xlfn.CONCAT(Table1[[#This Row],[First_Name]],Table1[[#This Row],[Last_Name]])</f>
        <v>GregoryLee</v>
      </c>
      <c r="E380" s="3">
        <v>26</v>
      </c>
      <c r="F380" s="3" t="s">
        <v>52</v>
      </c>
      <c r="G380" s="3" t="s">
        <v>76</v>
      </c>
      <c r="H380" s="3" t="s">
        <v>708</v>
      </c>
      <c r="I380" s="3" t="s">
        <v>709</v>
      </c>
      <c r="J380" s="3" t="s">
        <v>1663</v>
      </c>
      <c r="K380" s="4">
        <v>45238</v>
      </c>
      <c r="L380" s="3" t="s">
        <v>1664</v>
      </c>
      <c r="M380" s="3" t="s">
        <v>135</v>
      </c>
      <c r="N380" s="3">
        <v>175.93</v>
      </c>
      <c r="O380" s="3">
        <v>4</v>
      </c>
      <c r="P380" s="3" t="s">
        <v>85</v>
      </c>
      <c r="Q380" s="3">
        <v>6</v>
      </c>
      <c r="R380" s="3">
        <v>54</v>
      </c>
      <c r="S380" s="4">
        <v>45240</v>
      </c>
      <c r="T380" s="3" t="s">
        <v>1665</v>
      </c>
      <c r="U380" s="5">
        <f>Table1[[#This Row],[Delivery_Date]]-Table1[[#This Row],[Order_Date]]</f>
        <v>2</v>
      </c>
      <c r="V380" s="5">
        <f>Table1[[#This Row],[Price]]*Table1[[#This Row],[Quantity]]</f>
        <v>703.72</v>
      </c>
      <c r="W380" s="6" cm="1">
        <f t="array" ref="W380">_xlfn.IFS(
P380="FLAT8",8%,
P380="FLAT10",10%,
P380="FLAT15",15%,P380="FLAT20",20%,P380="DEL0",0%,
TRUE,0%
)</f>
        <v>0.2</v>
      </c>
      <c r="X380" s="5">
        <f>Table1[[#This Row],[Amount]]-(Table1[[#This Row],[Amount]]*Table1[[#This Row],[Discount_Percentage]])</f>
        <v>562.976</v>
      </c>
      <c r="Y380" s="5">
        <f>IF(P380="DEL0",Table1[[#This Row],[Discount_Amount]],Table1[[#This Row],[Discount_Amount]]+Table1[[#This Row],[Delivery_Charge]])</f>
        <v>616.976</v>
      </c>
      <c r="Z380" s="7" t="str">
        <f>_xlfn.CONCAT(Table1[[#This Row],[First_Name]],"  ",Table1[[#This Row],[Last_Name]])</f>
        <v>Gregory  Lee</v>
      </c>
      <c r="AA380" s="5" t="str" cm="1">
        <f t="array" ref="AA380">_xlfn.IFS( (S380-K380)&gt;Q380,"Late", (S380-K380)=Q380,"InTime", (S380-K380)&lt;Q380,"BeforeTime" )</f>
        <v>BeforeTime</v>
      </c>
      <c r="AB380" s="3">
        <f>MONTH(Table1[[#This Row],[Order_Date]])</f>
        <v>11</v>
      </c>
    </row>
    <row r="381" spans="1:28" x14ac:dyDescent="0.3">
      <c r="A381" s="3" t="s">
        <v>1614</v>
      </c>
      <c r="B381" s="3" t="s">
        <v>273</v>
      </c>
      <c r="C381" s="3" t="s">
        <v>1615</v>
      </c>
      <c r="D381" s="3" t="str">
        <f>_xlfn.CONCAT(Table1[[#This Row],[First_Name]],Table1[[#This Row],[Last_Name]])</f>
        <v>LaurenCrane</v>
      </c>
      <c r="E381" s="3">
        <v>62</v>
      </c>
      <c r="F381" s="3" t="s">
        <v>41</v>
      </c>
      <c r="G381" s="3" t="s">
        <v>42</v>
      </c>
      <c r="H381" s="3" t="s">
        <v>1616</v>
      </c>
      <c r="I381" s="3" t="s">
        <v>1617</v>
      </c>
      <c r="J381" s="3" t="s">
        <v>1666</v>
      </c>
      <c r="K381" s="4">
        <v>45459</v>
      </c>
      <c r="L381" s="3" t="s">
        <v>1667</v>
      </c>
      <c r="M381" s="3" t="s">
        <v>430</v>
      </c>
      <c r="N381" s="3">
        <v>369.03</v>
      </c>
      <c r="O381" s="3">
        <v>3</v>
      </c>
      <c r="P381" s="3" t="s">
        <v>36</v>
      </c>
      <c r="Q381" s="3">
        <v>6</v>
      </c>
      <c r="R381" s="3">
        <v>57</v>
      </c>
      <c r="S381" s="4">
        <v>45461</v>
      </c>
      <c r="T381" s="3" t="s">
        <v>1668</v>
      </c>
      <c r="U381" s="5">
        <f>Table1[[#This Row],[Delivery_Date]]-Table1[[#This Row],[Order_Date]]</f>
        <v>2</v>
      </c>
      <c r="V381" s="5">
        <f>Table1[[#This Row],[Price]]*Table1[[#This Row],[Quantity]]</f>
        <v>1107.0899999999999</v>
      </c>
      <c r="W381" s="6" cm="1">
        <f t="array" ref="W381">_xlfn.IFS(
P381="FLAT8",8%,
P381="FLAT10",10%,
P381="FLAT15",15%,P381="FLAT20",20%,P381="DEL0",0%,
TRUE,0%
)</f>
        <v>0.08</v>
      </c>
      <c r="X381" s="5">
        <f>Table1[[#This Row],[Amount]]-(Table1[[#This Row],[Amount]]*Table1[[#This Row],[Discount_Percentage]])</f>
        <v>1018.5228</v>
      </c>
      <c r="Y381" s="5">
        <f>IF(P381="DEL0",Table1[[#This Row],[Discount_Amount]],Table1[[#This Row],[Discount_Amount]]+Table1[[#This Row],[Delivery_Charge]])</f>
        <v>1075.5228</v>
      </c>
      <c r="Z381" s="7" t="str">
        <f>_xlfn.CONCAT(Table1[[#This Row],[First_Name]],"  ",Table1[[#This Row],[Last_Name]])</f>
        <v>Lauren  Crane</v>
      </c>
      <c r="AA381" s="5" t="str" cm="1">
        <f t="array" ref="AA381">_xlfn.IFS( (S381-K381)&gt;Q381,"Late", (S381-K381)=Q381,"InTime", (S381-K381)&lt;Q381,"BeforeTime" )</f>
        <v>BeforeTime</v>
      </c>
      <c r="AB381" s="3">
        <f>MONTH(Table1[[#This Row],[Order_Date]])</f>
        <v>6</v>
      </c>
    </row>
    <row r="382" spans="1:28" x14ac:dyDescent="0.3">
      <c r="A382" s="3" t="s">
        <v>1342</v>
      </c>
      <c r="B382" s="3" t="s">
        <v>508</v>
      </c>
      <c r="C382" s="3" t="s">
        <v>1343</v>
      </c>
      <c r="D382" s="3" t="str">
        <f>_xlfn.CONCAT(Table1[[#This Row],[First_Name]],Table1[[#This Row],[Last_Name]])</f>
        <v>SarahBenson</v>
      </c>
      <c r="E382" s="3">
        <v>40</v>
      </c>
      <c r="F382" s="3" t="s">
        <v>52</v>
      </c>
      <c r="G382" s="3" t="s">
        <v>220</v>
      </c>
      <c r="H382" s="3" t="s">
        <v>1344</v>
      </c>
      <c r="I382" s="3" t="s">
        <v>1345</v>
      </c>
      <c r="J382" s="3" t="s">
        <v>1669</v>
      </c>
      <c r="K382" s="4">
        <v>45040</v>
      </c>
      <c r="L382" s="3" t="s">
        <v>1670</v>
      </c>
      <c r="M382" s="3" t="s">
        <v>344</v>
      </c>
      <c r="N382" s="3">
        <v>372.62</v>
      </c>
      <c r="O382" s="3">
        <v>2</v>
      </c>
      <c r="P382" s="3" t="s">
        <v>85</v>
      </c>
      <c r="Q382" s="3">
        <v>2</v>
      </c>
      <c r="R382" s="3">
        <v>47</v>
      </c>
      <c r="S382" s="4">
        <v>45041</v>
      </c>
      <c r="T382" s="3" t="s">
        <v>1671</v>
      </c>
      <c r="U382" s="5">
        <f>Table1[[#This Row],[Delivery_Date]]-Table1[[#This Row],[Order_Date]]</f>
        <v>1</v>
      </c>
      <c r="V382" s="5">
        <f>Table1[[#This Row],[Price]]*Table1[[#This Row],[Quantity]]</f>
        <v>745.24</v>
      </c>
      <c r="W382" s="6" cm="1">
        <f t="array" ref="W382">_xlfn.IFS(
P382="FLAT8",8%,
P382="FLAT10",10%,
P382="FLAT15",15%,P382="FLAT20",20%,P382="DEL0",0%,
TRUE,0%
)</f>
        <v>0.2</v>
      </c>
      <c r="X382" s="5">
        <f>Table1[[#This Row],[Amount]]-(Table1[[#This Row],[Amount]]*Table1[[#This Row],[Discount_Percentage]])</f>
        <v>596.19200000000001</v>
      </c>
      <c r="Y382" s="5">
        <f>IF(P382="DEL0",Table1[[#This Row],[Discount_Amount]],Table1[[#This Row],[Discount_Amount]]+Table1[[#This Row],[Delivery_Charge]])</f>
        <v>643.19200000000001</v>
      </c>
      <c r="Z382" s="7" t="str">
        <f>_xlfn.CONCAT(Table1[[#This Row],[First_Name]],"  ",Table1[[#This Row],[Last_Name]])</f>
        <v>Sarah  Benson</v>
      </c>
      <c r="AA382" s="5" t="str" cm="1">
        <f t="array" ref="AA382">_xlfn.IFS( (S382-K382)&gt;Q382,"Late", (S382-K382)=Q382,"InTime", (S382-K382)&lt;Q382,"BeforeTime" )</f>
        <v>BeforeTime</v>
      </c>
      <c r="AB382" s="3">
        <f>MONTH(Table1[[#This Row],[Order_Date]])</f>
        <v>4</v>
      </c>
    </row>
    <row r="383" spans="1:28" x14ac:dyDescent="0.3">
      <c r="A383" s="3" t="s">
        <v>349</v>
      </c>
      <c r="B383" s="3" t="s">
        <v>350</v>
      </c>
      <c r="C383" s="3" t="s">
        <v>351</v>
      </c>
      <c r="D383" s="3" t="str">
        <f>_xlfn.CONCAT(Table1[[#This Row],[First_Name]],Table1[[#This Row],[Last_Name]])</f>
        <v>DonnaOneill</v>
      </c>
      <c r="E383" s="3">
        <v>70</v>
      </c>
      <c r="F383" s="3" t="s">
        <v>29</v>
      </c>
      <c r="G383" s="3" t="s">
        <v>168</v>
      </c>
      <c r="H383" s="3" t="s">
        <v>352</v>
      </c>
      <c r="I383" s="3" t="s">
        <v>353</v>
      </c>
      <c r="J383" s="3" t="s">
        <v>1672</v>
      </c>
      <c r="K383" s="4">
        <v>45270</v>
      </c>
      <c r="L383" s="3" t="s">
        <v>1673</v>
      </c>
      <c r="M383" s="3" t="s">
        <v>418</v>
      </c>
      <c r="N383" s="3">
        <v>44.5</v>
      </c>
      <c r="O383" s="3">
        <v>1</v>
      </c>
      <c r="P383" s="3" t="s">
        <v>63</v>
      </c>
      <c r="Q383" s="3">
        <v>1</v>
      </c>
      <c r="R383" s="3">
        <v>37</v>
      </c>
      <c r="S383" s="4">
        <v>45277</v>
      </c>
      <c r="T383" s="3" t="s">
        <v>1674</v>
      </c>
      <c r="U383" s="5">
        <f>Table1[[#This Row],[Delivery_Date]]-Table1[[#This Row],[Order_Date]]</f>
        <v>7</v>
      </c>
      <c r="V383" s="5">
        <f>Table1[[#This Row],[Price]]*Table1[[#This Row],[Quantity]]</f>
        <v>44.5</v>
      </c>
      <c r="W383" s="6" cm="1">
        <f t="array" ref="W383">_xlfn.IFS(
P383="FLAT8",8%,
P383="FLAT10",10%,
P383="FLAT15",15%,P383="FLAT20",20%,P383="DEL0",0%,
TRUE,0%
)</f>
        <v>0</v>
      </c>
      <c r="X383" s="5">
        <f>Table1[[#This Row],[Amount]]-(Table1[[#This Row],[Amount]]*Table1[[#This Row],[Discount_Percentage]])</f>
        <v>44.5</v>
      </c>
      <c r="Y383" s="5">
        <f>IF(P383="DEL0",Table1[[#This Row],[Discount_Amount]],Table1[[#This Row],[Discount_Amount]]+Table1[[#This Row],[Delivery_Charge]])</f>
        <v>44.5</v>
      </c>
      <c r="Z383" s="7" t="str">
        <f>_xlfn.CONCAT(Table1[[#This Row],[First_Name]],"  ",Table1[[#This Row],[Last_Name]])</f>
        <v>Donna  Oneill</v>
      </c>
      <c r="AA383" s="5" t="str" cm="1">
        <f t="array" ref="AA383">_xlfn.IFS( (S383-K383)&gt;Q383,"Late", (S383-K383)=Q383,"InTime", (S383-K383)&lt;Q383,"BeforeTime" )</f>
        <v>Late</v>
      </c>
      <c r="AB383" s="3">
        <f>MONTH(Table1[[#This Row],[Order_Date]])</f>
        <v>12</v>
      </c>
    </row>
    <row r="384" spans="1:28" x14ac:dyDescent="0.3">
      <c r="A384" s="3" t="s">
        <v>475</v>
      </c>
      <c r="B384" s="3" t="s">
        <v>108</v>
      </c>
      <c r="C384" s="3" t="s">
        <v>476</v>
      </c>
      <c r="D384" s="3" t="str">
        <f>_xlfn.CONCAT(Table1[[#This Row],[First_Name]],Table1[[#This Row],[Last_Name]])</f>
        <v>DebraHayes</v>
      </c>
      <c r="E384" s="3">
        <v>33</v>
      </c>
      <c r="F384" s="3" t="s">
        <v>29</v>
      </c>
      <c r="G384" s="3" t="s">
        <v>168</v>
      </c>
      <c r="H384" s="3" t="s">
        <v>477</v>
      </c>
      <c r="I384" s="3" t="s">
        <v>478</v>
      </c>
      <c r="J384" s="3" t="s">
        <v>1675</v>
      </c>
      <c r="K384" s="4">
        <v>45060</v>
      </c>
      <c r="L384" s="3" t="s">
        <v>1676</v>
      </c>
      <c r="M384" s="3" t="s">
        <v>287</v>
      </c>
      <c r="N384" s="3">
        <v>157.63999999999999</v>
      </c>
      <c r="O384" s="3">
        <v>1</v>
      </c>
      <c r="P384" s="3" t="s">
        <v>96</v>
      </c>
      <c r="Q384" s="3">
        <v>7</v>
      </c>
      <c r="R384" s="3">
        <v>48</v>
      </c>
      <c r="S384" s="4">
        <v>45067</v>
      </c>
      <c r="T384" s="3" t="s">
        <v>1677</v>
      </c>
      <c r="U384" s="5">
        <f>Table1[[#This Row],[Delivery_Date]]-Table1[[#This Row],[Order_Date]]</f>
        <v>7</v>
      </c>
      <c r="V384" s="5">
        <f>Table1[[#This Row],[Price]]*Table1[[#This Row],[Quantity]]</f>
        <v>157.63999999999999</v>
      </c>
      <c r="W384" s="6" cm="1">
        <f t="array" ref="W384">_xlfn.IFS(
P384="FLAT8",8%,
P384="FLAT10",10%,
P384="FLAT15",15%,P384="FLAT20",20%,P384="DEL0",0%,
TRUE,0%
)</f>
        <v>0.1</v>
      </c>
      <c r="X384" s="5">
        <f>Table1[[#This Row],[Amount]]-(Table1[[#This Row],[Amount]]*Table1[[#This Row],[Discount_Percentage]])</f>
        <v>141.87599999999998</v>
      </c>
      <c r="Y384" s="5">
        <f>IF(P384="DEL0",Table1[[#This Row],[Discount_Amount]],Table1[[#This Row],[Discount_Amount]]+Table1[[#This Row],[Delivery_Charge]])</f>
        <v>189.87599999999998</v>
      </c>
      <c r="Z384" s="7" t="str">
        <f>_xlfn.CONCAT(Table1[[#This Row],[First_Name]],"  ",Table1[[#This Row],[Last_Name]])</f>
        <v>Debra  Hayes</v>
      </c>
      <c r="AA384" s="5" t="str" cm="1">
        <f t="array" ref="AA384">_xlfn.IFS( (S384-K384)&gt;Q384,"Late", (S384-K384)=Q384,"InTime", (S384-K384)&lt;Q384,"BeforeTime" )</f>
        <v>InTime</v>
      </c>
      <c r="AB384" s="3">
        <f>MONTH(Table1[[#This Row],[Order_Date]])</f>
        <v>5</v>
      </c>
    </row>
    <row r="385" spans="1:28" x14ac:dyDescent="0.3">
      <c r="A385" s="3" t="s">
        <v>192</v>
      </c>
      <c r="B385" s="3" t="s">
        <v>193</v>
      </c>
      <c r="C385" s="3" t="s">
        <v>194</v>
      </c>
      <c r="D385" s="3" t="str">
        <f>_xlfn.CONCAT(Table1[[#This Row],[First_Name]],Table1[[#This Row],[Last_Name]])</f>
        <v>TraciJones</v>
      </c>
      <c r="E385" s="3">
        <v>34</v>
      </c>
      <c r="F385" s="3" t="s">
        <v>29</v>
      </c>
      <c r="G385" s="3" t="s">
        <v>90</v>
      </c>
      <c r="H385" s="3" t="s">
        <v>195</v>
      </c>
      <c r="I385" s="3" t="s">
        <v>196</v>
      </c>
      <c r="J385" s="3" t="s">
        <v>1678</v>
      </c>
      <c r="K385" s="4">
        <v>45243</v>
      </c>
      <c r="L385" s="3" t="s">
        <v>1679</v>
      </c>
      <c r="M385" s="3" t="s">
        <v>199</v>
      </c>
      <c r="N385" s="3">
        <v>20.7</v>
      </c>
      <c r="O385" s="3">
        <v>3</v>
      </c>
      <c r="P385" s="3" t="s">
        <v>36</v>
      </c>
      <c r="Q385" s="3">
        <v>5</v>
      </c>
      <c r="R385" s="3">
        <v>46</v>
      </c>
      <c r="S385" s="4">
        <v>45245</v>
      </c>
      <c r="T385" s="3" t="s">
        <v>1680</v>
      </c>
      <c r="U385" s="5">
        <f>Table1[[#This Row],[Delivery_Date]]-Table1[[#This Row],[Order_Date]]</f>
        <v>2</v>
      </c>
      <c r="V385" s="5">
        <f>Table1[[#This Row],[Price]]*Table1[[#This Row],[Quantity]]</f>
        <v>62.099999999999994</v>
      </c>
      <c r="W385" s="6" cm="1">
        <f t="array" ref="W385">_xlfn.IFS(
P385="FLAT8",8%,
P385="FLAT10",10%,
P385="FLAT15",15%,P385="FLAT20",20%,P385="DEL0",0%,
TRUE,0%
)</f>
        <v>0.08</v>
      </c>
      <c r="X385" s="5">
        <f>Table1[[#This Row],[Amount]]-(Table1[[#This Row],[Amount]]*Table1[[#This Row],[Discount_Percentage]])</f>
        <v>57.131999999999991</v>
      </c>
      <c r="Y385" s="5">
        <f>IF(P385="DEL0",Table1[[#This Row],[Discount_Amount]],Table1[[#This Row],[Discount_Amount]]+Table1[[#This Row],[Delivery_Charge]])</f>
        <v>103.13199999999999</v>
      </c>
      <c r="Z385" s="7" t="str">
        <f>_xlfn.CONCAT(Table1[[#This Row],[First_Name]],"  ",Table1[[#This Row],[Last_Name]])</f>
        <v>Traci  Jones</v>
      </c>
      <c r="AA385" s="5" t="str" cm="1">
        <f t="array" ref="AA385">_xlfn.IFS( (S385-K385)&gt;Q385,"Late", (S385-K385)=Q385,"InTime", (S385-K385)&lt;Q385,"BeforeTime" )</f>
        <v>BeforeTime</v>
      </c>
      <c r="AB385" s="3">
        <f>MONTH(Table1[[#This Row],[Order_Date]])</f>
        <v>11</v>
      </c>
    </row>
    <row r="386" spans="1:28" x14ac:dyDescent="0.3">
      <c r="A386" s="3" t="s">
        <v>639</v>
      </c>
      <c r="B386" s="3" t="s">
        <v>148</v>
      </c>
      <c r="C386" s="3" t="s">
        <v>640</v>
      </c>
      <c r="D386" s="3" t="str">
        <f>_xlfn.CONCAT(Table1[[#This Row],[First_Name]],Table1[[#This Row],[Last_Name]])</f>
        <v>AmyEllis</v>
      </c>
      <c r="E386" s="3">
        <v>44</v>
      </c>
      <c r="F386" s="3" t="s">
        <v>52</v>
      </c>
      <c r="G386" s="3" t="s">
        <v>90</v>
      </c>
      <c r="H386" s="3" t="s">
        <v>641</v>
      </c>
      <c r="I386" s="3" t="s">
        <v>642</v>
      </c>
      <c r="J386" s="3" t="s">
        <v>1681</v>
      </c>
      <c r="K386" s="4">
        <v>45264</v>
      </c>
      <c r="L386" s="3" t="s">
        <v>1682</v>
      </c>
      <c r="M386" s="3" t="s">
        <v>250</v>
      </c>
      <c r="N386" s="3">
        <v>128.13999999999999</v>
      </c>
      <c r="O386" s="3">
        <v>3</v>
      </c>
      <c r="P386" s="3" t="s">
        <v>85</v>
      </c>
      <c r="Q386" s="3">
        <v>2</v>
      </c>
      <c r="R386" s="3">
        <v>49</v>
      </c>
      <c r="S386" s="4">
        <v>45270</v>
      </c>
      <c r="T386" s="3" t="s">
        <v>1683</v>
      </c>
      <c r="U386" s="5">
        <f>Table1[[#This Row],[Delivery_Date]]-Table1[[#This Row],[Order_Date]]</f>
        <v>6</v>
      </c>
      <c r="V386" s="5">
        <f>Table1[[#This Row],[Price]]*Table1[[#This Row],[Quantity]]</f>
        <v>384.41999999999996</v>
      </c>
      <c r="W386" s="6" cm="1">
        <f t="array" ref="W386">_xlfn.IFS(
P386="FLAT8",8%,
P386="FLAT10",10%,
P386="FLAT15",15%,P386="FLAT20",20%,P386="DEL0",0%,
TRUE,0%
)</f>
        <v>0.2</v>
      </c>
      <c r="X386" s="5">
        <f>Table1[[#This Row],[Amount]]-(Table1[[#This Row],[Amount]]*Table1[[#This Row],[Discount_Percentage]])</f>
        <v>307.53599999999994</v>
      </c>
      <c r="Y386" s="5">
        <f>IF(P386="DEL0",Table1[[#This Row],[Discount_Amount]],Table1[[#This Row],[Discount_Amount]]+Table1[[#This Row],[Delivery_Charge]])</f>
        <v>356.53599999999994</v>
      </c>
      <c r="Z386" s="7" t="str">
        <f>_xlfn.CONCAT(Table1[[#This Row],[First_Name]],"  ",Table1[[#This Row],[Last_Name]])</f>
        <v>Amy  Ellis</v>
      </c>
      <c r="AA386" s="5" t="str" cm="1">
        <f t="array" ref="AA386">_xlfn.IFS( (S386-K386)&gt;Q386,"Late", (S386-K386)=Q386,"InTime", (S386-K386)&lt;Q386,"BeforeTime" )</f>
        <v>Late</v>
      </c>
      <c r="AB386" s="3">
        <f>MONTH(Table1[[#This Row],[Order_Date]])</f>
        <v>12</v>
      </c>
    </row>
    <row r="387" spans="1:28" x14ac:dyDescent="0.3">
      <c r="A387" s="3" t="s">
        <v>646</v>
      </c>
      <c r="B387" s="3" t="s">
        <v>647</v>
      </c>
      <c r="C387" s="3" t="s">
        <v>648</v>
      </c>
      <c r="D387" s="3" t="str">
        <f>_xlfn.CONCAT(Table1[[#This Row],[First_Name]],Table1[[#This Row],[Last_Name]])</f>
        <v>BethMason</v>
      </c>
      <c r="E387" s="3">
        <v>45</v>
      </c>
      <c r="F387" s="3" t="s">
        <v>52</v>
      </c>
      <c r="G387" s="3" t="s">
        <v>90</v>
      </c>
      <c r="H387" s="3" t="s">
        <v>649</v>
      </c>
      <c r="I387" s="3" t="s">
        <v>650</v>
      </c>
      <c r="J387" s="3" t="s">
        <v>1684</v>
      </c>
      <c r="K387" s="4">
        <v>45404</v>
      </c>
      <c r="L387" s="3" t="s">
        <v>1685</v>
      </c>
      <c r="M387" s="3" t="s">
        <v>287</v>
      </c>
      <c r="N387" s="3">
        <v>157.63999999999999</v>
      </c>
      <c r="O387" s="3">
        <v>3</v>
      </c>
      <c r="P387" s="3" t="s">
        <v>36</v>
      </c>
      <c r="Q387" s="3">
        <v>4</v>
      </c>
      <c r="R387" s="3">
        <v>66</v>
      </c>
      <c r="S387" s="4">
        <v>45405</v>
      </c>
      <c r="T387" s="3" t="s">
        <v>1399</v>
      </c>
      <c r="U387" s="5">
        <f>Table1[[#This Row],[Delivery_Date]]-Table1[[#This Row],[Order_Date]]</f>
        <v>1</v>
      </c>
      <c r="V387" s="5">
        <f>Table1[[#This Row],[Price]]*Table1[[#This Row],[Quantity]]</f>
        <v>472.91999999999996</v>
      </c>
      <c r="W387" s="6" cm="1">
        <f t="array" ref="W387">_xlfn.IFS(
P387="FLAT8",8%,
P387="FLAT10",10%,
P387="FLAT15",15%,P387="FLAT20",20%,P387="DEL0",0%,
TRUE,0%
)</f>
        <v>0.08</v>
      </c>
      <c r="X387" s="5">
        <f>Table1[[#This Row],[Amount]]-(Table1[[#This Row],[Amount]]*Table1[[#This Row],[Discount_Percentage]])</f>
        <v>435.08639999999997</v>
      </c>
      <c r="Y387" s="5">
        <f>IF(P387="DEL0",Table1[[#This Row],[Discount_Amount]],Table1[[#This Row],[Discount_Amount]]+Table1[[#This Row],[Delivery_Charge]])</f>
        <v>501.08639999999997</v>
      </c>
      <c r="Z387" s="7" t="str">
        <f>_xlfn.CONCAT(Table1[[#This Row],[First_Name]],"  ",Table1[[#This Row],[Last_Name]])</f>
        <v>Beth  Mason</v>
      </c>
      <c r="AA387" s="5" t="str" cm="1">
        <f t="array" ref="AA387">_xlfn.IFS( (S387-K387)&gt;Q387,"Late", (S387-K387)=Q387,"InTime", (S387-K387)&lt;Q387,"BeforeTime" )</f>
        <v>BeforeTime</v>
      </c>
      <c r="AB387" s="3">
        <f>MONTH(Table1[[#This Row],[Order_Date]])</f>
        <v>4</v>
      </c>
    </row>
    <row r="388" spans="1:28" x14ac:dyDescent="0.3">
      <c r="A388" s="3" t="s">
        <v>38</v>
      </c>
      <c r="B388" s="3" t="s">
        <v>39</v>
      </c>
      <c r="C388" s="3" t="s">
        <v>40</v>
      </c>
      <c r="D388" s="3" t="str">
        <f>_xlfn.CONCAT(Table1[[#This Row],[First_Name]],Table1[[#This Row],[Last_Name]])</f>
        <v>AnthonyThomas</v>
      </c>
      <c r="E388" s="3">
        <v>53</v>
      </c>
      <c r="F388" s="3" t="s">
        <v>41</v>
      </c>
      <c r="G388" s="3" t="s">
        <v>42</v>
      </c>
      <c r="H388" s="3" t="s">
        <v>43</v>
      </c>
      <c r="I388" s="3" t="s">
        <v>44</v>
      </c>
      <c r="J388" s="3" t="s">
        <v>1686</v>
      </c>
      <c r="K388" s="4">
        <v>45469</v>
      </c>
      <c r="L388" s="3" t="s">
        <v>1687</v>
      </c>
      <c r="M388" s="3" t="s">
        <v>344</v>
      </c>
      <c r="N388" s="3">
        <v>372.62</v>
      </c>
      <c r="O388" s="3">
        <v>1</v>
      </c>
      <c r="P388" s="3" t="s">
        <v>96</v>
      </c>
      <c r="Q388" s="3">
        <v>1</v>
      </c>
      <c r="R388" s="3">
        <v>66</v>
      </c>
      <c r="S388" s="4">
        <v>45471</v>
      </c>
      <c r="T388" s="3" t="s">
        <v>1688</v>
      </c>
      <c r="U388" s="5">
        <f>Table1[[#This Row],[Delivery_Date]]-Table1[[#This Row],[Order_Date]]</f>
        <v>2</v>
      </c>
      <c r="V388" s="5">
        <f>Table1[[#This Row],[Price]]*Table1[[#This Row],[Quantity]]</f>
        <v>372.62</v>
      </c>
      <c r="W388" s="6" cm="1">
        <f t="array" ref="W388">_xlfn.IFS(
P388="FLAT8",8%,
P388="FLAT10",10%,
P388="FLAT15",15%,P388="FLAT20",20%,P388="DEL0",0%,
TRUE,0%
)</f>
        <v>0.1</v>
      </c>
      <c r="X388" s="5">
        <f>Table1[[#This Row],[Amount]]-(Table1[[#This Row],[Amount]]*Table1[[#This Row],[Discount_Percentage]])</f>
        <v>335.358</v>
      </c>
      <c r="Y388" s="5">
        <f>IF(P388="DEL0",Table1[[#This Row],[Discount_Amount]],Table1[[#This Row],[Discount_Amount]]+Table1[[#This Row],[Delivery_Charge]])</f>
        <v>401.358</v>
      </c>
      <c r="Z388" s="7" t="str">
        <f>_xlfn.CONCAT(Table1[[#This Row],[First_Name]],"  ",Table1[[#This Row],[Last_Name]])</f>
        <v>Anthony  Thomas</v>
      </c>
      <c r="AA388" s="5" t="str" cm="1">
        <f t="array" ref="AA388">_xlfn.IFS( (S388-K388)&gt;Q388,"Late", (S388-K388)=Q388,"InTime", (S388-K388)&lt;Q388,"BeforeTime" )</f>
        <v>Late</v>
      </c>
      <c r="AB388" s="3">
        <f>MONTH(Table1[[#This Row],[Order_Date]])</f>
        <v>6</v>
      </c>
    </row>
    <row r="389" spans="1:28" x14ac:dyDescent="0.3">
      <c r="A389" s="3" t="s">
        <v>1614</v>
      </c>
      <c r="B389" s="3" t="s">
        <v>273</v>
      </c>
      <c r="C389" s="3" t="s">
        <v>1615</v>
      </c>
      <c r="D389" s="3" t="str">
        <f>_xlfn.CONCAT(Table1[[#This Row],[First_Name]],Table1[[#This Row],[Last_Name]])</f>
        <v>LaurenCrane</v>
      </c>
      <c r="E389" s="3">
        <v>62</v>
      </c>
      <c r="F389" s="3" t="s">
        <v>41</v>
      </c>
      <c r="G389" s="3" t="s">
        <v>42</v>
      </c>
      <c r="H389" s="3" t="s">
        <v>1616</v>
      </c>
      <c r="I389" s="3" t="s">
        <v>1617</v>
      </c>
      <c r="J389" s="3" t="s">
        <v>1689</v>
      </c>
      <c r="K389" s="4">
        <v>45116</v>
      </c>
      <c r="L389" s="3" t="s">
        <v>1690</v>
      </c>
      <c r="M389" s="3" t="s">
        <v>95</v>
      </c>
      <c r="N389" s="3">
        <v>363.64</v>
      </c>
      <c r="O389" s="3">
        <v>4</v>
      </c>
      <c r="P389" s="3" t="s">
        <v>63</v>
      </c>
      <c r="Q389" s="3">
        <v>6</v>
      </c>
      <c r="R389" s="3">
        <v>56</v>
      </c>
      <c r="S389" s="4">
        <v>45121</v>
      </c>
      <c r="T389" s="3" t="s">
        <v>1691</v>
      </c>
      <c r="U389" s="5">
        <f>Table1[[#This Row],[Delivery_Date]]-Table1[[#This Row],[Order_Date]]</f>
        <v>5</v>
      </c>
      <c r="V389" s="5">
        <f>Table1[[#This Row],[Price]]*Table1[[#This Row],[Quantity]]</f>
        <v>1454.56</v>
      </c>
      <c r="W389" s="6" cm="1">
        <f t="array" ref="W389">_xlfn.IFS(
P389="FLAT8",8%,
P389="FLAT10",10%,
P389="FLAT15",15%,P389="FLAT20",20%,P389="DEL0",0%,
TRUE,0%
)</f>
        <v>0</v>
      </c>
      <c r="X389" s="5">
        <f>Table1[[#This Row],[Amount]]-(Table1[[#This Row],[Amount]]*Table1[[#This Row],[Discount_Percentage]])</f>
        <v>1454.56</v>
      </c>
      <c r="Y389" s="5">
        <f>IF(P389="DEL0",Table1[[#This Row],[Discount_Amount]],Table1[[#This Row],[Discount_Amount]]+Table1[[#This Row],[Delivery_Charge]])</f>
        <v>1454.56</v>
      </c>
      <c r="Z389" s="7" t="str">
        <f>_xlfn.CONCAT(Table1[[#This Row],[First_Name]],"  ",Table1[[#This Row],[Last_Name]])</f>
        <v>Lauren  Crane</v>
      </c>
      <c r="AA389" s="5" t="str" cm="1">
        <f t="array" ref="AA389">_xlfn.IFS( (S389-K389)&gt;Q389,"Late", (S389-K389)=Q389,"InTime", (S389-K389)&lt;Q389,"BeforeTime" )</f>
        <v>BeforeTime</v>
      </c>
      <c r="AB389" s="3">
        <f>MONTH(Table1[[#This Row],[Order_Date]])</f>
        <v>7</v>
      </c>
    </row>
    <row r="390" spans="1:28" x14ac:dyDescent="0.3">
      <c r="A390" s="3" t="s">
        <v>236</v>
      </c>
      <c r="B390" s="3" t="s">
        <v>66</v>
      </c>
      <c r="C390" s="3" t="s">
        <v>237</v>
      </c>
      <c r="D390" s="3" t="str">
        <f>_xlfn.CONCAT(Table1[[#This Row],[First_Name]],Table1[[#This Row],[Last_Name]])</f>
        <v>AngelaEvans</v>
      </c>
      <c r="E390" s="3">
        <v>52</v>
      </c>
      <c r="F390" s="3" t="s">
        <v>52</v>
      </c>
      <c r="G390" s="3" t="s">
        <v>42</v>
      </c>
      <c r="H390" s="3" t="s">
        <v>238</v>
      </c>
      <c r="I390" s="3" t="s">
        <v>239</v>
      </c>
      <c r="J390" s="3" t="s">
        <v>1692</v>
      </c>
      <c r="K390" s="4">
        <v>45397</v>
      </c>
      <c r="L390" s="3" t="s">
        <v>1693</v>
      </c>
      <c r="M390" s="3" t="s">
        <v>473</v>
      </c>
      <c r="N390" s="3">
        <v>286.07</v>
      </c>
      <c r="O390" s="3">
        <v>5</v>
      </c>
      <c r="P390" s="3" t="s">
        <v>63</v>
      </c>
      <c r="Q390" s="3">
        <v>1</v>
      </c>
      <c r="R390" s="3">
        <v>41</v>
      </c>
      <c r="S390" s="4">
        <v>45404</v>
      </c>
      <c r="T390" s="3" t="s">
        <v>1694</v>
      </c>
      <c r="U390" s="5">
        <f>Table1[[#This Row],[Delivery_Date]]-Table1[[#This Row],[Order_Date]]</f>
        <v>7</v>
      </c>
      <c r="V390" s="5">
        <f>Table1[[#This Row],[Price]]*Table1[[#This Row],[Quantity]]</f>
        <v>1430.35</v>
      </c>
      <c r="W390" s="6" cm="1">
        <f t="array" ref="W390">_xlfn.IFS(
P390="FLAT8",8%,
P390="FLAT10",10%,
P390="FLAT15",15%,P390="FLAT20",20%,P390="DEL0",0%,
TRUE,0%
)</f>
        <v>0</v>
      </c>
      <c r="X390" s="5">
        <f>Table1[[#This Row],[Amount]]-(Table1[[#This Row],[Amount]]*Table1[[#This Row],[Discount_Percentage]])</f>
        <v>1430.35</v>
      </c>
      <c r="Y390" s="5">
        <f>IF(P390="DEL0",Table1[[#This Row],[Discount_Amount]],Table1[[#This Row],[Discount_Amount]]+Table1[[#This Row],[Delivery_Charge]])</f>
        <v>1430.35</v>
      </c>
      <c r="Z390" s="7" t="str">
        <f>_xlfn.CONCAT(Table1[[#This Row],[First_Name]],"  ",Table1[[#This Row],[Last_Name]])</f>
        <v>Angela  Evans</v>
      </c>
      <c r="AA390" s="5" t="str" cm="1">
        <f t="array" ref="AA390">_xlfn.IFS( (S390-K390)&gt;Q390,"Late", (S390-K390)=Q390,"InTime", (S390-K390)&lt;Q390,"BeforeTime" )</f>
        <v>Late</v>
      </c>
      <c r="AB390" s="3">
        <f>MONTH(Table1[[#This Row],[Order_Date]])</f>
        <v>4</v>
      </c>
    </row>
    <row r="391" spans="1:28" x14ac:dyDescent="0.3">
      <c r="A391" s="3" t="s">
        <v>546</v>
      </c>
      <c r="B391" s="3" t="s">
        <v>547</v>
      </c>
      <c r="C391" s="3" t="s">
        <v>548</v>
      </c>
      <c r="D391" s="3" t="str">
        <f>_xlfn.CONCAT(Table1[[#This Row],[First_Name]],Table1[[#This Row],[Last_Name]])</f>
        <v>JodiWhitney</v>
      </c>
      <c r="E391" s="3">
        <v>33</v>
      </c>
      <c r="F391" s="3" t="s">
        <v>52</v>
      </c>
      <c r="G391" s="3" t="s">
        <v>168</v>
      </c>
      <c r="H391" s="3" t="s">
        <v>549</v>
      </c>
      <c r="I391" s="3" t="s">
        <v>550</v>
      </c>
      <c r="J391" s="3" t="s">
        <v>1695</v>
      </c>
      <c r="K391" s="4">
        <v>45302</v>
      </c>
      <c r="L391" s="3" t="s">
        <v>1696</v>
      </c>
      <c r="M391" s="3" t="s">
        <v>246</v>
      </c>
      <c r="N391" s="3">
        <v>282.63</v>
      </c>
      <c r="O391" s="3">
        <v>3</v>
      </c>
      <c r="P391" s="3" t="s">
        <v>63</v>
      </c>
      <c r="Q391" s="3">
        <v>4</v>
      </c>
      <c r="R391" s="3">
        <v>66</v>
      </c>
      <c r="S391" s="4">
        <v>45307</v>
      </c>
      <c r="T391" s="3" t="s">
        <v>744</v>
      </c>
      <c r="U391" s="5">
        <f>Table1[[#This Row],[Delivery_Date]]-Table1[[#This Row],[Order_Date]]</f>
        <v>5</v>
      </c>
      <c r="V391" s="5">
        <f>Table1[[#This Row],[Price]]*Table1[[#This Row],[Quantity]]</f>
        <v>847.89</v>
      </c>
      <c r="W391" s="6" cm="1">
        <f t="array" ref="W391">_xlfn.IFS(
P391="FLAT8",8%,
P391="FLAT10",10%,
P391="FLAT15",15%,P391="FLAT20",20%,P391="DEL0",0%,
TRUE,0%
)</f>
        <v>0</v>
      </c>
      <c r="X391" s="5">
        <f>Table1[[#This Row],[Amount]]-(Table1[[#This Row],[Amount]]*Table1[[#This Row],[Discount_Percentage]])</f>
        <v>847.89</v>
      </c>
      <c r="Y391" s="5">
        <f>IF(P391="DEL0",Table1[[#This Row],[Discount_Amount]],Table1[[#This Row],[Discount_Amount]]+Table1[[#This Row],[Delivery_Charge]])</f>
        <v>847.89</v>
      </c>
      <c r="Z391" s="7" t="str">
        <f>_xlfn.CONCAT(Table1[[#This Row],[First_Name]],"  ",Table1[[#This Row],[Last_Name]])</f>
        <v>Jodi  Whitney</v>
      </c>
      <c r="AA391" s="5" t="str" cm="1">
        <f t="array" ref="AA391">_xlfn.IFS( (S391-K391)&gt;Q391,"Late", (S391-K391)=Q391,"InTime", (S391-K391)&lt;Q391,"BeforeTime" )</f>
        <v>Late</v>
      </c>
      <c r="AB391" s="3">
        <f>MONTH(Table1[[#This Row],[Order_Date]])</f>
        <v>1</v>
      </c>
    </row>
    <row r="392" spans="1:28" x14ac:dyDescent="0.3">
      <c r="A392" s="3" t="s">
        <v>1457</v>
      </c>
      <c r="B392" s="3" t="s">
        <v>273</v>
      </c>
      <c r="C392" s="3" t="s">
        <v>1458</v>
      </c>
      <c r="D392" s="3" t="str">
        <f>_xlfn.CONCAT(Table1[[#This Row],[First_Name]],Table1[[#This Row],[Last_Name]])</f>
        <v>LaurenLane</v>
      </c>
      <c r="E392" s="3">
        <v>30</v>
      </c>
      <c r="F392" s="3" t="s">
        <v>29</v>
      </c>
      <c r="G392" s="3" t="s">
        <v>220</v>
      </c>
      <c r="H392" s="3" t="s">
        <v>1459</v>
      </c>
      <c r="I392" s="3" t="s">
        <v>1460</v>
      </c>
      <c r="J392" s="3" t="s">
        <v>1697</v>
      </c>
      <c r="K392" s="4">
        <v>45361</v>
      </c>
      <c r="L392" s="3" t="s">
        <v>1698</v>
      </c>
      <c r="M392" s="3" t="s">
        <v>344</v>
      </c>
      <c r="N392" s="3">
        <v>372.62</v>
      </c>
      <c r="O392" s="3">
        <v>5</v>
      </c>
      <c r="P392" s="3" t="s">
        <v>36</v>
      </c>
      <c r="Q392" s="3">
        <v>4</v>
      </c>
      <c r="R392" s="3">
        <v>66</v>
      </c>
      <c r="S392" s="4">
        <v>45364</v>
      </c>
      <c r="T392" s="3" t="s">
        <v>1699</v>
      </c>
      <c r="U392" s="5">
        <f>Table1[[#This Row],[Delivery_Date]]-Table1[[#This Row],[Order_Date]]</f>
        <v>3</v>
      </c>
      <c r="V392" s="5">
        <f>Table1[[#This Row],[Price]]*Table1[[#This Row],[Quantity]]</f>
        <v>1863.1</v>
      </c>
      <c r="W392" s="6" cm="1">
        <f t="array" ref="W392">_xlfn.IFS(
P392="FLAT8",8%,
P392="FLAT10",10%,
P392="FLAT15",15%,P392="FLAT20",20%,P392="DEL0",0%,
TRUE,0%
)</f>
        <v>0.08</v>
      </c>
      <c r="X392" s="5">
        <f>Table1[[#This Row],[Amount]]-(Table1[[#This Row],[Amount]]*Table1[[#This Row],[Discount_Percentage]])</f>
        <v>1714.0519999999999</v>
      </c>
      <c r="Y392" s="5">
        <f>IF(P392="DEL0",Table1[[#This Row],[Discount_Amount]],Table1[[#This Row],[Discount_Amount]]+Table1[[#This Row],[Delivery_Charge]])</f>
        <v>1780.0519999999999</v>
      </c>
      <c r="Z392" s="7" t="str">
        <f>_xlfn.CONCAT(Table1[[#This Row],[First_Name]],"  ",Table1[[#This Row],[Last_Name]])</f>
        <v>Lauren  Lane</v>
      </c>
      <c r="AA392" s="5" t="str" cm="1">
        <f t="array" ref="AA392">_xlfn.IFS( (S392-K392)&gt;Q392,"Late", (S392-K392)=Q392,"InTime", (S392-K392)&lt;Q392,"BeforeTime" )</f>
        <v>BeforeTime</v>
      </c>
      <c r="AB392" s="3">
        <f>MONTH(Table1[[#This Row],[Order_Date]])</f>
        <v>3</v>
      </c>
    </row>
    <row r="393" spans="1:28" x14ac:dyDescent="0.3">
      <c r="A393" s="3" t="s">
        <v>175</v>
      </c>
      <c r="B393" s="3" t="s">
        <v>176</v>
      </c>
      <c r="C393" s="3" t="s">
        <v>177</v>
      </c>
      <c r="D393" s="3" t="str">
        <f>_xlfn.CONCAT(Table1[[#This Row],[First_Name]],Table1[[#This Row],[Last_Name]])</f>
        <v>GinaMoreno</v>
      </c>
      <c r="E393" s="3">
        <v>36</v>
      </c>
      <c r="F393" s="3" t="s">
        <v>52</v>
      </c>
      <c r="G393" s="3" t="s">
        <v>140</v>
      </c>
      <c r="H393" s="3" t="s">
        <v>178</v>
      </c>
      <c r="I393" s="3" t="s">
        <v>179</v>
      </c>
      <c r="J393" s="3" t="s">
        <v>1700</v>
      </c>
      <c r="K393" s="4">
        <v>45091</v>
      </c>
      <c r="L393" s="3" t="s">
        <v>1701</v>
      </c>
      <c r="M393" s="3" t="s">
        <v>686</v>
      </c>
      <c r="N393" s="3">
        <v>424.82</v>
      </c>
      <c r="O393" s="3">
        <v>4</v>
      </c>
      <c r="P393" s="3" t="s">
        <v>96</v>
      </c>
      <c r="Q393" s="3">
        <v>5</v>
      </c>
      <c r="R393" s="3">
        <v>58</v>
      </c>
      <c r="S393" s="4">
        <v>45098</v>
      </c>
      <c r="T393" s="3" t="s">
        <v>1702</v>
      </c>
      <c r="U393" s="5">
        <f>Table1[[#This Row],[Delivery_Date]]-Table1[[#This Row],[Order_Date]]</f>
        <v>7</v>
      </c>
      <c r="V393" s="5">
        <f>Table1[[#This Row],[Price]]*Table1[[#This Row],[Quantity]]</f>
        <v>1699.28</v>
      </c>
      <c r="W393" s="6" cm="1">
        <f t="array" ref="W393">_xlfn.IFS(
P393="FLAT8",8%,
P393="FLAT10",10%,
P393="FLAT15",15%,P393="FLAT20",20%,P393="DEL0",0%,
TRUE,0%
)</f>
        <v>0.1</v>
      </c>
      <c r="X393" s="5">
        <f>Table1[[#This Row],[Amount]]-(Table1[[#This Row],[Amount]]*Table1[[#This Row],[Discount_Percentage]])</f>
        <v>1529.3519999999999</v>
      </c>
      <c r="Y393" s="5">
        <f>IF(P393="DEL0",Table1[[#This Row],[Discount_Amount]],Table1[[#This Row],[Discount_Amount]]+Table1[[#This Row],[Delivery_Charge]])</f>
        <v>1587.3519999999999</v>
      </c>
      <c r="Z393" s="7" t="str">
        <f>_xlfn.CONCAT(Table1[[#This Row],[First_Name]],"  ",Table1[[#This Row],[Last_Name]])</f>
        <v>Gina  Moreno</v>
      </c>
      <c r="AA393" s="5" t="str" cm="1">
        <f t="array" ref="AA393">_xlfn.IFS( (S393-K393)&gt;Q393,"Late", (S393-K393)=Q393,"InTime", (S393-K393)&lt;Q393,"BeforeTime" )</f>
        <v>Late</v>
      </c>
      <c r="AB393" s="3">
        <f>MONTH(Table1[[#This Row],[Order_Date]])</f>
        <v>6</v>
      </c>
    </row>
    <row r="394" spans="1:28" x14ac:dyDescent="0.3">
      <c r="A394" s="3" t="s">
        <v>401</v>
      </c>
      <c r="B394" s="3" t="s">
        <v>402</v>
      </c>
      <c r="C394" s="3" t="s">
        <v>403</v>
      </c>
      <c r="D394" s="3" t="str">
        <f>_xlfn.CONCAT(Table1[[#This Row],[First_Name]],Table1[[#This Row],[Last_Name]])</f>
        <v>AlexandraSmith</v>
      </c>
      <c r="E394" s="3">
        <v>70</v>
      </c>
      <c r="F394" s="3" t="s">
        <v>29</v>
      </c>
      <c r="G394" s="3" t="s">
        <v>30</v>
      </c>
      <c r="H394" s="3" t="s">
        <v>404</v>
      </c>
      <c r="I394" s="3" t="s">
        <v>405</v>
      </c>
      <c r="J394" s="3" t="s">
        <v>1703</v>
      </c>
      <c r="K394" s="4">
        <v>45172</v>
      </c>
      <c r="L394" s="3" t="s">
        <v>1704</v>
      </c>
      <c r="M394" s="3" t="s">
        <v>495</v>
      </c>
      <c r="N394" s="3">
        <v>421.7</v>
      </c>
      <c r="O394" s="3">
        <v>3</v>
      </c>
      <c r="P394" s="3" t="s">
        <v>63</v>
      </c>
      <c r="Q394" s="3">
        <v>3</v>
      </c>
      <c r="R394" s="3">
        <v>56</v>
      </c>
      <c r="S394" s="4">
        <v>45177</v>
      </c>
      <c r="T394" s="3" t="s">
        <v>1705</v>
      </c>
      <c r="U394" s="5">
        <f>Table1[[#This Row],[Delivery_Date]]-Table1[[#This Row],[Order_Date]]</f>
        <v>5</v>
      </c>
      <c r="V394" s="5">
        <f>Table1[[#This Row],[Price]]*Table1[[#This Row],[Quantity]]</f>
        <v>1265.0999999999999</v>
      </c>
      <c r="W394" s="6" cm="1">
        <f t="array" ref="W394">_xlfn.IFS(
P394="FLAT8",8%,
P394="FLAT10",10%,
P394="FLAT15",15%,P394="FLAT20",20%,P394="DEL0",0%,
TRUE,0%
)</f>
        <v>0</v>
      </c>
      <c r="X394" s="5">
        <f>Table1[[#This Row],[Amount]]-(Table1[[#This Row],[Amount]]*Table1[[#This Row],[Discount_Percentage]])</f>
        <v>1265.0999999999999</v>
      </c>
      <c r="Y394" s="5">
        <f>IF(P394="DEL0",Table1[[#This Row],[Discount_Amount]],Table1[[#This Row],[Discount_Amount]]+Table1[[#This Row],[Delivery_Charge]])</f>
        <v>1265.0999999999999</v>
      </c>
      <c r="Z394" s="7" t="str">
        <f>_xlfn.CONCAT(Table1[[#This Row],[First_Name]],"  ",Table1[[#This Row],[Last_Name]])</f>
        <v>Alexandra  Smith</v>
      </c>
      <c r="AA394" s="5" t="str" cm="1">
        <f t="array" ref="AA394">_xlfn.IFS( (S394-K394)&gt;Q394,"Late", (S394-K394)=Q394,"InTime", (S394-K394)&lt;Q394,"BeforeTime" )</f>
        <v>Late</v>
      </c>
      <c r="AB394" s="3">
        <f>MONTH(Table1[[#This Row],[Order_Date]])</f>
        <v>9</v>
      </c>
    </row>
    <row r="395" spans="1:28" x14ac:dyDescent="0.3">
      <c r="A395" s="3" t="s">
        <v>716</v>
      </c>
      <c r="B395" s="3" t="s">
        <v>717</v>
      </c>
      <c r="C395" s="3" t="s">
        <v>718</v>
      </c>
      <c r="D395" s="3" t="str">
        <f>_xlfn.CONCAT(Table1[[#This Row],[First_Name]],Table1[[#This Row],[Last_Name]])</f>
        <v>BruceAllen</v>
      </c>
      <c r="E395" s="3">
        <v>32</v>
      </c>
      <c r="F395" s="3" t="s">
        <v>41</v>
      </c>
      <c r="G395" s="3" t="s">
        <v>30</v>
      </c>
      <c r="H395" s="3" t="s">
        <v>719</v>
      </c>
      <c r="I395" s="3" t="s">
        <v>720</v>
      </c>
      <c r="J395" s="3" t="s">
        <v>1706</v>
      </c>
      <c r="K395" s="4">
        <v>45343</v>
      </c>
      <c r="L395" s="3" t="s">
        <v>1707</v>
      </c>
      <c r="M395" s="3" t="s">
        <v>871</v>
      </c>
      <c r="N395" s="3">
        <v>292.14999999999998</v>
      </c>
      <c r="O395" s="3">
        <v>2</v>
      </c>
      <c r="P395" s="3" t="s">
        <v>58</v>
      </c>
      <c r="Q395" s="3">
        <v>6</v>
      </c>
      <c r="R395" s="3">
        <v>60</v>
      </c>
      <c r="S395" s="4">
        <v>45348</v>
      </c>
      <c r="T395" s="3" t="s">
        <v>1708</v>
      </c>
      <c r="U395" s="5">
        <f>Table1[[#This Row],[Delivery_Date]]-Table1[[#This Row],[Order_Date]]</f>
        <v>5</v>
      </c>
      <c r="V395" s="5">
        <f>Table1[[#This Row],[Price]]*Table1[[#This Row],[Quantity]]</f>
        <v>584.29999999999995</v>
      </c>
      <c r="W395" s="6" cm="1">
        <f t="array" ref="W395">_xlfn.IFS(
P395="FLAT8",8%,
P395="FLAT10",10%,
P395="FLAT15",15%,P395="FLAT20",20%,P395="DEL0",0%,
TRUE,0%
)</f>
        <v>0.15</v>
      </c>
      <c r="X395" s="5">
        <f>Table1[[#This Row],[Amount]]-(Table1[[#This Row],[Amount]]*Table1[[#This Row],[Discount_Percentage]])</f>
        <v>496.65499999999997</v>
      </c>
      <c r="Y395" s="5">
        <f>IF(P395="DEL0",Table1[[#This Row],[Discount_Amount]],Table1[[#This Row],[Discount_Amount]]+Table1[[#This Row],[Delivery_Charge]])</f>
        <v>556.65499999999997</v>
      </c>
      <c r="Z395" s="7" t="str">
        <f>_xlfn.CONCAT(Table1[[#This Row],[First_Name]],"  ",Table1[[#This Row],[Last_Name]])</f>
        <v>Bruce  Allen</v>
      </c>
      <c r="AA395" s="5" t="str" cm="1">
        <f t="array" ref="AA395">_xlfn.IFS( (S395-K395)&gt;Q395,"Late", (S395-K395)=Q395,"InTime", (S395-K395)&lt;Q395,"BeforeTime" )</f>
        <v>BeforeTime</v>
      </c>
      <c r="AB395" s="3">
        <f>MONTH(Table1[[#This Row],[Order_Date]])</f>
        <v>2</v>
      </c>
    </row>
    <row r="396" spans="1:28" x14ac:dyDescent="0.3">
      <c r="A396" s="3" t="s">
        <v>217</v>
      </c>
      <c r="B396" s="3" t="s">
        <v>218</v>
      </c>
      <c r="C396" s="3" t="s">
        <v>219</v>
      </c>
      <c r="D396" s="3" t="str">
        <f>_xlfn.CONCAT(Table1[[#This Row],[First_Name]],Table1[[#This Row],[Last_Name]])</f>
        <v>MarkHenderson</v>
      </c>
      <c r="E396" s="3">
        <v>33</v>
      </c>
      <c r="F396" s="3" t="s">
        <v>52</v>
      </c>
      <c r="G396" s="3" t="s">
        <v>220</v>
      </c>
      <c r="H396" s="3" t="s">
        <v>221</v>
      </c>
      <c r="I396" s="3" t="s">
        <v>222</v>
      </c>
      <c r="J396" s="3" t="s">
        <v>1709</v>
      </c>
      <c r="K396" s="4">
        <v>45657</v>
      </c>
      <c r="L396" s="3" t="s">
        <v>1710</v>
      </c>
      <c r="M396" s="3" t="s">
        <v>344</v>
      </c>
      <c r="N396" s="3">
        <v>372.62</v>
      </c>
      <c r="O396" s="3">
        <v>1</v>
      </c>
      <c r="P396" s="3" t="s">
        <v>58</v>
      </c>
      <c r="Q396" s="3">
        <v>5</v>
      </c>
      <c r="R396" s="3">
        <v>50</v>
      </c>
      <c r="S396" s="4">
        <v>45661</v>
      </c>
      <c r="T396" s="3" t="s">
        <v>1711</v>
      </c>
      <c r="U396" s="5">
        <f>Table1[[#This Row],[Delivery_Date]]-Table1[[#This Row],[Order_Date]]</f>
        <v>4</v>
      </c>
      <c r="V396" s="5">
        <f>Table1[[#This Row],[Price]]*Table1[[#This Row],[Quantity]]</f>
        <v>372.62</v>
      </c>
      <c r="W396" s="6" cm="1">
        <f t="array" ref="W396">_xlfn.IFS(
P396="FLAT8",8%,
P396="FLAT10",10%,
P396="FLAT15",15%,P396="FLAT20",20%,P396="DEL0",0%,
TRUE,0%
)</f>
        <v>0.15</v>
      </c>
      <c r="X396" s="5">
        <f>Table1[[#This Row],[Amount]]-(Table1[[#This Row],[Amount]]*Table1[[#This Row],[Discount_Percentage]])</f>
        <v>316.72699999999998</v>
      </c>
      <c r="Y396" s="5">
        <f>IF(P396="DEL0",Table1[[#This Row],[Discount_Amount]],Table1[[#This Row],[Discount_Amount]]+Table1[[#This Row],[Delivery_Charge]])</f>
        <v>366.72699999999998</v>
      </c>
      <c r="Z396" s="7" t="str">
        <f>_xlfn.CONCAT(Table1[[#This Row],[First_Name]],"  ",Table1[[#This Row],[Last_Name]])</f>
        <v>Mark  Henderson</v>
      </c>
      <c r="AA396" s="5" t="str" cm="1">
        <f t="array" ref="AA396">_xlfn.IFS( (S396-K396)&gt;Q396,"Late", (S396-K396)=Q396,"InTime", (S396-K396)&lt;Q396,"BeforeTime" )</f>
        <v>BeforeTime</v>
      </c>
      <c r="AB396" s="3">
        <f>MONTH(Table1[[#This Row],[Order_Date]])</f>
        <v>12</v>
      </c>
    </row>
    <row r="397" spans="1:28" x14ac:dyDescent="0.3">
      <c r="A397" s="3" t="s">
        <v>1614</v>
      </c>
      <c r="B397" s="3" t="s">
        <v>273</v>
      </c>
      <c r="C397" s="3" t="s">
        <v>1615</v>
      </c>
      <c r="D397" s="3" t="str">
        <f>_xlfn.CONCAT(Table1[[#This Row],[First_Name]],Table1[[#This Row],[Last_Name]])</f>
        <v>LaurenCrane</v>
      </c>
      <c r="E397" s="3">
        <v>62</v>
      </c>
      <c r="F397" s="3" t="s">
        <v>41</v>
      </c>
      <c r="G397" s="3" t="s">
        <v>42</v>
      </c>
      <c r="H397" s="3" t="s">
        <v>1616</v>
      </c>
      <c r="I397" s="3" t="s">
        <v>1617</v>
      </c>
      <c r="J397" s="3" t="s">
        <v>1712</v>
      </c>
      <c r="K397" s="4">
        <v>45340</v>
      </c>
      <c r="L397" s="3" t="s">
        <v>1713</v>
      </c>
      <c r="M397" s="3" t="s">
        <v>114</v>
      </c>
      <c r="N397" s="3">
        <v>48.45</v>
      </c>
      <c r="O397" s="3">
        <v>3</v>
      </c>
      <c r="P397" s="3" t="s">
        <v>58</v>
      </c>
      <c r="Q397" s="3">
        <v>5</v>
      </c>
      <c r="R397" s="3">
        <v>42</v>
      </c>
      <c r="S397" s="4">
        <v>45347</v>
      </c>
      <c r="T397" s="3" t="s">
        <v>1714</v>
      </c>
      <c r="U397" s="5">
        <f>Table1[[#This Row],[Delivery_Date]]-Table1[[#This Row],[Order_Date]]</f>
        <v>7</v>
      </c>
      <c r="V397" s="5">
        <f>Table1[[#This Row],[Price]]*Table1[[#This Row],[Quantity]]</f>
        <v>145.35000000000002</v>
      </c>
      <c r="W397" s="6" cm="1">
        <f t="array" ref="W397">_xlfn.IFS(
P397="FLAT8",8%,
P397="FLAT10",10%,
P397="FLAT15",15%,P397="FLAT20",20%,P397="DEL0",0%,
TRUE,0%
)</f>
        <v>0.15</v>
      </c>
      <c r="X397" s="5">
        <f>Table1[[#This Row],[Amount]]-(Table1[[#This Row],[Amount]]*Table1[[#This Row],[Discount_Percentage]])</f>
        <v>123.54750000000001</v>
      </c>
      <c r="Y397" s="5">
        <f>IF(P397="DEL0",Table1[[#This Row],[Discount_Amount]],Table1[[#This Row],[Discount_Amount]]+Table1[[#This Row],[Delivery_Charge]])</f>
        <v>165.54750000000001</v>
      </c>
      <c r="Z397" s="7" t="str">
        <f>_xlfn.CONCAT(Table1[[#This Row],[First_Name]],"  ",Table1[[#This Row],[Last_Name]])</f>
        <v>Lauren  Crane</v>
      </c>
      <c r="AA397" s="5" t="str" cm="1">
        <f t="array" ref="AA397">_xlfn.IFS( (S397-K397)&gt;Q397,"Late", (S397-K397)=Q397,"InTime", (S397-K397)&lt;Q397,"BeforeTime" )</f>
        <v>Late</v>
      </c>
      <c r="AB397" s="3">
        <f>MONTH(Table1[[#This Row],[Order_Date]])</f>
        <v>2</v>
      </c>
    </row>
    <row r="398" spans="1:28" x14ac:dyDescent="0.3">
      <c r="A398" s="3" t="s">
        <v>671</v>
      </c>
      <c r="B398" s="3" t="s">
        <v>672</v>
      </c>
      <c r="C398" s="3" t="s">
        <v>673</v>
      </c>
      <c r="D398" s="3" t="str">
        <f>_xlfn.CONCAT(Table1[[#This Row],[First_Name]],Table1[[#This Row],[Last_Name]])</f>
        <v>ChristyChang</v>
      </c>
      <c r="E398" s="3">
        <v>38</v>
      </c>
      <c r="F398" s="3" t="s">
        <v>41</v>
      </c>
      <c r="G398" s="3" t="s">
        <v>220</v>
      </c>
      <c r="H398" s="3" t="s">
        <v>674</v>
      </c>
      <c r="I398" s="3" t="s">
        <v>675</v>
      </c>
      <c r="J398" s="3" t="s">
        <v>1715</v>
      </c>
      <c r="K398" s="4">
        <v>45312</v>
      </c>
      <c r="L398" s="3" t="s">
        <v>1716</v>
      </c>
      <c r="M398" s="3" t="s">
        <v>145</v>
      </c>
      <c r="N398" s="3">
        <v>190.1</v>
      </c>
      <c r="O398" s="3">
        <v>3</v>
      </c>
      <c r="P398" s="3" t="s">
        <v>96</v>
      </c>
      <c r="Q398" s="3">
        <v>3</v>
      </c>
      <c r="R398" s="3">
        <v>41</v>
      </c>
      <c r="S398" s="4">
        <v>45315</v>
      </c>
      <c r="T398" s="3" t="s">
        <v>1717</v>
      </c>
      <c r="U398" s="5">
        <f>Table1[[#This Row],[Delivery_Date]]-Table1[[#This Row],[Order_Date]]</f>
        <v>3</v>
      </c>
      <c r="V398" s="5">
        <f>Table1[[#This Row],[Price]]*Table1[[#This Row],[Quantity]]</f>
        <v>570.29999999999995</v>
      </c>
      <c r="W398" s="6" cm="1">
        <f t="array" ref="W398">_xlfn.IFS(
P398="FLAT8",8%,
P398="FLAT10",10%,
P398="FLAT15",15%,P398="FLAT20",20%,P398="DEL0",0%,
TRUE,0%
)</f>
        <v>0.1</v>
      </c>
      <c r="X398" s="5">
        <f>Table1[[#This Row],[Amount]]-(Table1[[#This Row],[Amount]]*Table1[[#This Row],[Discount_Percentage]])</f>
        <v>513.27</v>
      </c>
      <c r="Y398" s="5">
        <f>IF(P398="DEL0",Table1[[#This Row],[Discount_Amount]],Table1[[#This Row],[Discount_Amount]]+Table1[[#This Row],[Delivery_Charge]])</f>
        <v>554.27</v>
      </c>
      <c r="Z398" s="7" t="str">
        <f>_xlfn.CONCAT(Table1[[#This Row],[First_Name]],"  ",Table1[[#This Row],[Last_Name]])</f>
        <v>Christy  Chang</v>
      </c>
      <c r="AA398" s="5" t="str" cm="1">
        <f t="array" ref="AA398">_xlfn.IFS( (S398-K398)&gt;Q398,"Late", (S398-K398)=Q398,"InTime", (S398-K398)&lt;Q398,"BeforeTime" )</f>
        <v>InTime</v>
      </c>
      <c r="AB398" s="3">
        <f>MONTH(Table1[[#This Row],[Order_Date]])</f>
        <v>1</v>
      </c>
    </row>
    <row r="399" spans="1:28" x14ac:dyDescent="0.3">
      <c r="A399" s="3" t="s">
        <v>1614</v>
      </c>
      <c r="B399" s="3" t="s">
        <v>273</v>
      </c>
      <c r="C399" s="3" t="s">
        <v>1615</v>
      </c>
      <c r="D399" s="3" t="str">
        <f>_xlfn.CONCAT(Table1[[#This Row],[First_Name]],Table1[[#This Row],[Last_Name]])</f>
        <v>LaurenCrane</v>
      </c>
      <c r="E399" s="3">
        <v>62</v>
      </c>
      <c r="F399" s="3" t="s">
        <v>41</v>
      </c>
      <c r="G399" s="3" t="s">
        <v>42</v>
      </c>
      <c r="H399" s="3" t="s">
        <v>1616</v>
      </c>
      <c r="I399" s="3" t="s">
        <v>1617</v>
      </c>
      <c r="J399" s="3" t="s">
        <v>1718</v>
      </c>
      <c r="K399" s="4">
        <v>45344</v>
      </c>
      <c r="L399" s="3" t="s">
        <v>1719</v>
      </c>
      <c r="M399" s="3" t="s">
        <v>225</v>
      </c>
      <c r="N399" s="3">
        <v>461.07</v>
      </c>
      <c r="O399" s="3">
        <v>4</v>
      </c>
      <c r="P399" s="3" t="s">
        <v>58</v>
      </c>
      <c r="Q399" s="3">
        <v>1</v>
      </c>
      <c r="R399" s="3">
        <v>66</v>
      </c>
      <c r="S399" s="4">
        <v>45346</v>
      </c>
      <c r="T399" s="3" t="s">
        <v>1720</v>
      </c>
      <c r="U399" s="5">
        <f>Table1[[#This Row],[Delivery_Date]]-Table1[[#This Row],[Order_Date]]</f>
        <v>2</v>
      </c>
      <c r="V399" s="5">
        <f>Table1[[#This Row],[Price]]*Table1[[#This Row],[Quantity]]</f>
        <v>1844.28</v>
      </c>
      <c r="W399" s="6" cm="1">
        <f t="array" ref="W399">_xlfn.IFS(
P399="FLAT8",8%,
P399="FLAT10",10%,
P399="FLAT15",15%,P399="FLAT20",20%,P399="DEL0",0%,
TRUE,0%
)</f>
        <v>0.15</v>
      </c>
      <c r="X399" s="5">
        <f>Table1[[#This Row],[Amount]]-(Table1[[#This Row],[Amount]]*Table1[[#This Row],[Discount_Percentage]])</f>
        <v>1567.6379999999999</v>
      </c>
      <c r="Y399" s="5">
        <f>IF(P399="DEL0",Table1[[#This Row],[Discount_Amount]],Table1[[#This Row],[Discount_Amount]]+Table1[[#This Row],[Delivery_Charge]])</f>
        <v>1633.6379999999999</v>
      </c>
      <c r="Z399" s="7" t="str">
        <f>_xlfn.CONCAT(Table1[[#This Row],[First_Name]],"  ",Table1[[#This Row],[Last_Name]])</f>
        <v>Lauren  Crane</v>
      </c>
      <c r="AA399" s="5" t="str" cm="1">
        <f t="array" ref="AA399">_xlfn.IFS( (S399-K399)&gt;Q399,"Late", (S399-K399)=Q399,"InTime", (S399-K399)&lt;Q399,"BeforeTime" )</f>
        <v>Late</v>
      </c>
      <c r="AB399" s="3">
        <f>MONTH(Table1[[#This Row],[Order_Date]])</f>
        <v>2</v>
      </c>
    </row>
    <row r="400" spans="1:28" x14ac:dyDescent="0.3">
      <c r="A400" s="3" t="s">
        <v>325</v>
      </c>
      <c r="B400" s="3" t="s">
        <v>326</v>
      </c>
      <c r="C400" s="3" t="s">
        <v>327</v>
      </c>
      <c r="D400" s="3" t="str">
        <f>_xlfn.CONCAT(Table1[[#This Row],[First_Name]],Table1[[#This Row],[Last_Name]])</f>
        <v>CourtneyParker</v>
      </c>
      <c r="E400" s="3">
        <v>29</v>
      </c>
      <c r="F400" s="3" t="s">
        <v>52</v>
      </c>
      <c r="G400" s="3" t="s">
        <v>90</v>
      </c>
      <c r="H400" s="3" t="s">
        <v>328</v>
      </c>
      <c r="I400" s="3" t="s">
        <v>329</v>
      </c>
      <c r="J400" s="3" t="s">
        <v>1721</v>
      </c>
      <c r="K400" s="4">
        <v>45295</v>
      </c>
      <c r="L400" s="3" t="s">
        <v>1722</v>
      </c>
      <c r="M400" s="3" t="s">
        <v>287</v>
      </c>
      <c r="N400" s="3">
        <v>157.63999999999999</v>
      </c>
      <c r="O400" s="3">
        <v>5</v>
      </c>
      <c r="P400" s="3" t="s">
        <v>36</v>
      </c>
      <c r="Q400" s="3">
        <v>2</v>
      </c>
      <c r="R400" s="3">
        <v>46</v>
      </c>
      <c r="S400" s="4">
        <v>45301</v>
      </c>
      <c r="T400" s="3" t="s">
        <v>1723</v>
      </c>
      <c r="U400" s="5">
        <f>Table1[[#This Row],[Delivery_Date]]-Table1[[#This Row],[Order_Date]]</f>
        <v>6</v>
      </c>
      <c r="V400" s="5">
        <f>Table1[[#This Row],[Price]]*Table1[[#This Row],[Quantity]]</f>
        <v>788.19999999999993</v>
      </c>
      <c r="W400" s="6" cm="1">
        <f t="array" ref="W400">_xlfn.IFS(
P400="FLAT8",8%,
P400="FLAT10",10%,
P400="FLAT15",15%,P400="FLAT20",20%,P400="DEL0",0%,
TRUE,0%
)</f>
        <v>0.08</v>
      </c>
      <c r="X400" s="5">
        <f>Table1[[#This Row],[Amount]]-(Table1[[#This Row],[Amount]]*Table1[[#This Row],[Discount_Percentage]])</f>
        <v>725.14399999999989</v>
      </c>
      <c r="Y400" s="5">
        <f>IF(P400="DEL0",Table1[[#This Row],[Discount_Amount]],Table1[[#This Row],[Discount_Amount]]+Table1[[#This Row],[Delivery_Charge]])</f>
        <v>771.14399999999989</v>
      </c>
      <c r="Z400" s="7" t="str">
        <f>_xlfn.CONCAT(Table1[[#This Row],[First_Name]],"  ",Table1[[#This Row],[Last_Name]])</f>
        <v>Courtney  Parker</v>
      </c>
      <c r="AA400" s="5" t="str" cm="1">
        <f t="array" ref="AA400">_xlfn.IFS( (S400-K400)&gt;Q400,"Late", (S400-K400)=Q400,"InTime", (S400-K400)&lt;Q400,"BeforeTime" )</f>
        <v>Late</v>
      </c>
      <c r="AB400" s="3">
        <f>MONTH(Table1[[#This Row],[Order_Date]])</f>
        <v>1</v>
      </c>
    </row>
    <row r="401" spans="1:28" x14ac:dyDescent="0.3">
      <c r="A401" s="3" t="s">
        <v>201</v>
      </c>
      <c r="B401" s="3" t="s">
        <v>202</v>
      </c>
      <c r="C401" s="3" t="s">
        <v>203</v>
      </c>
      <c r="D401" s="3" t="str">
        <f>_xlfn.CONCAT(Table1[[#This Row],[First_Name]],Table1[[#This Row],[Last_Name]])</f>
        <v>DeborahBates</v>
      </c>
      <c r="E401" s="3">
        <v>23</v>
      </c>
      <c r="F401" s="3" t="s">
        <v>29</v>
      </c>
      <c r="G401" s="3" t="s">
        <v>90</v>
      </c>
      <c r="H401" s="3" t="s">
        <v>204</v>
      </c>
      <c r="I401" s="3" t="s">
        <v>205</v>
      </c>
      <c r="J401" s="3" t="s">
        <v>1724</v>
      </c>
      <c r="K401" s="4">
        <v>45477</v>
      </c>
      <c r="L401" s="3" t="s">
        <v>1725</v>
      </c>
      <c r="M401" s="3" t="s">
        <v>637</v>
      </c>
      <c r="N401" s="3">
        <v>445.81</v>
      </c>
      <c r="O401" s="3">
        <v>3</v>
      </c>
      <c r="P401" s="3" t="s">
        <v>36</v>
      </c>
      <c r="Q401" s="3">
        <v>1</v>
      </c>
      <c r="R401" s="3">
        <v>37</v>
      </c>
      <c r="S401" s="4">
        <v>45478</v>
      </c>
      <c r="T401" s="3" t="s">
        <v>1726</v>
      </c>
      <c r="U401" s="5">
        <f>Table1[[#This Row],[Delivery_Date]]-Table1[[#This Row],[Order_Date]]</f>
        <v>1</v>
      </c>
      <c r="V401" s="5">
        <f>Table1[[#This Row],[Price]]*Table1[[#This Row],[Quantity]]</f>
        <v>1337.43</v>
      </c>
      <c r="W401" s="6" cm="1">
        <f t="array" ref="W401">_xlfn.IFS(
P401="FLAT8",8%,
P401="FLAT10",10%,
P401="FLAT15",15%,P401="FLAT20",20%,P401="DEL0",0%,
TRUE,0%
)</f>
        <v>0.08</v>
      </c>
      <c r="X401" s="5">
        <f>Table1[[#This Row],[Amount]]-(Table1[[#This Row],[Amount]]*Table1[[#This Row],[Discount_Percentage]])</f>
        <v>1230.4356</v>
      </c>
      <c r="Y401" s="5">
        <f>IF(P401="DEL0",Table1[[#This Row],[Discount_Amount]],Table1[[#This Row],[Discount_Amount]]+Table1[[#This Row],[Delivery_Charge]])</f>
        <v>1267.4356</v>
      </c>
      <c r="Z401" s="7" t="str">
        <f>_xlfn.CONCAT(Table1[[#This Row],[First_Name]],"  ",Table1[[#This Row],[Last_Name]])</f>
        <v>Deborah  Bates</v>
      </c>
      <c r="AA401" s="5" t="str" cm="1">
        <f t="array" ref="AA401">_xlfn.IFS( (S401-K401)&gt;Q401,"Late", (S401-K401)=Q401,"InTime", (S401-K401)&lt;Q401,"BeforeTime" )</f>
        <v>InTime</v>
      </c>
      <c r="AB401" s="3">
        <f>MONTH(Table1[[#This Row],[Order_Date]])</f>
        <v>7</v>
      </c>
    </row>
    <row r="402" spans="1:28" x14ac:dyDescent="0.3">
      <c r="A402" s="3" t="s">
        <v>1727</v>
      </c>
      <c r="B402" s="3" t="s">
        <v>1728</v>
      </c>
      <c r="C402" s="3" t="s">
        <v>368</v>
      </c>
      <c r="D402" s="3" t="str">
        <f>_xlfn.CONCAT(Table1[[#This Row],[First_Name]],Table1[[#This Row],[Last_Name]])</f>
        <v>KatieHicks</v>
      </c>
      <c r="E402" s="3">
        <v>34</v>
      </c>
      <c r="F402" s="3" t="s">
        <v>52</v>
      </c>
      <c r="G402" s="3" t="s">
        <v>159</v>
      </c>
      <c r="H402" s="3" t="s">
        <v>1729</v>
      </c>
      <c r="I402" s="3" t="s">
        <v>1730</v>
      </c>
      <c r="J402" s="3" t="s">
        <v>1731</v>
      </c>
      <c r="K402" s="4">
        <v>45646</v>
      </c>
      <c r="L402" s="3" t="s">
        <v>1732</v>
      </c>
      <c r="M402" s="3" t="s">
        <v>323</v>
      </c>
      <c r="N402" s="3">
        <v>481.48</v>
      </c>
      <c r="O402" s="3">
        <v>4</v>
      </c>
      <c r="P402" s="3" t="s">
        <v>58</v>
      </c>
      <c r="Q402" s="3">
        <v>4</v>
      </c>
      <c r="R402" s="3">
        <v>38</v>
      </c>
      <c r="S402" s="4">
        <v>45647</v>
      </c>
      <c r="T402" s="3" t="s">
        <v>1733</v>
      </c>
      <c r="U402" s="5">
        <f>Table1[[#This Row],[Delivery_Date]]-Table1[[#This Row],[Order_Date]]</f>
        <v>1</v>
      </c>
      <c r="V402" s="5">
        <f>Table1[[#This Row],[Price]]*Table1[[#This Row],[Quantity]]</f>
        <v>1925.92</v>
      </c>
      <c r="W402" s="6" cm="1">
        <f t="array" ref="W402">_xlfn.IFS(
P402="FLAT8",8%,
P402="FLAT10",10%,
P402="FLAT15",15%,P402="FLAT20",20%,P402="DEL0",0%,
TRUE,0%
)</f>
        <v>0.15</v>
      </c>
      <c r="X402" s="5">
        <f>Table1[[#This Row],[Amount]]-(Table1[[#This Row],[Amount]]*Table1[[#This Row],[Discount_Percentage]])</f>
        <v>1637.0320000000002</v>
      </c>
      <c r="Y402" s="5">
        <f>IF(P402="DEL0",Table1[[#This Row],[Discount_Amount]],Table1[[#This Row],[Discount_Amount]]+Table1[[#This Row],[Delivery_Charge]])</f>
        <v>1675.0320000000002</v>
      </c>
      <c r="Z402" s="7" t="str">
        <f>_xlfn.CONCAT(Table1[[#This Row],[First_Name]],"  ",Table1[[#This Row],[Last_Name]])</f>
        <v>Katie  Hicks</v>
      </c>
      <c r="AA402" s="5" t="str" cm="1">
        <f t="array" ref="AA402">_xlfn.IFS( (S402-K402)&gt;Q402,"Late", (S402-K402)=Q402,"InTime", (S402-K402)&lt;Q402,"BeforeTime" )</f>
        <v>BeforeTime</v>
      </c>
      <c r="AB402" s="3">
        <f>MONTH(Table1[[#This Row],[Order_Date]])</f>
        <v>12</v>
      </c>
    </row>
    <row r="403" spans="1:28" x14ac:dyDescent="0.3">
      <c r="A403" s="3" t="s">
        <v>393</v>
      </c>
      <c r="B403" s="3" t="s">
        <v>394</v>
      </c>
      <c r="C403" s="3" t="s">
        <v>395</v>
      </c>
      <c r="D403" s="3" t="str">
        <f>_xlfn.CONCAT(Table1[[#This Row],[First_Name]],Table1[[#This Row],[Last_Name]])</f>
        <v>JasonLopez</v>
      </c>
      <c r="E403" s="3">
        <v>40</v>
      </c>
      <c r="F403" s="3" t="s">
        <v>52</v>
      </c>
      <c r="G403" s="3" t="s">
        <v>168</v>
      </c>
      <c r="H403" s="3" t="s">
        <v>396</v>
      </c>
      <c r="I403" s="3" t="s">
        <v>397</v>
      </c>
      <c r="J403" s="3" t="s">
        <v>1734</v>
      </c>
      <c r="K403" s="4">
        <v>45033</v>
      </c>
      <c r="L403" s="3" t="s">
        <v>1735</v>
      </c>
      <c r="M403" s="3" t="s">
        <v>563</v>
      </c>
      <c r="N403" s="3">
        <v>133.62</v>
      </c>
      <c r="O403" s="3">
        <v>1</v>
      </c>
      <c r="P403" s="3" t="s">
        <v>58</v>
      </c>
      <c r="Q403" s="3">
        <v>5</v>
      </c>
      <c r="R403" s="3">
        <v>66</v>
      </c>
      <c r="S403" s="4">
        <v>45037</v>
      </c>
      <c r="T403" s="3" t="s">
        <v>1736</v>
      </c>
      <c r="U403" s="5">
        <f>Table1[[#This Row],[Delivery_Date]]-Table1[[#This Row],[Order_Date]]</f>
        <v>4</v>
      </c>
      <c r="V403" s="5">
        <f>Table1[[#This Row],[Price]]*Table1[[#This Row],[Quantity]]</f>
        <v>133.62</v>
      </c>
      <c r="W403" s="6" cm="1">
        <f t="array" ref="W403">_xlfn.IFS(
P403="FLAT8",8%,
P403="FLAT10",10%,
P403="FLAT15",15%,P403="FLAT20",20%,P403="DEL0",0%,
TRUE,0%
)</f>
        <v>0.15</v>
      </c>
      <c r="X403" s="5">
        <f>Table1[[#This Row],[Amount]]-(Table1[[#This Row],[Amount]]*Table1[[#This Row],[Discount_Percentage]])</f>
        <v>113.577</v>
      </c>
      <c r="Y403" s="5">
        <f>IF(P403="DEL0",Table1[[#This Row],[Discount_Amount]],Table1[[#This Row],[Discount_Amount]]+Table1[[#This Row],[Delivery_Charge]])</f>
        <v>179.577</v>
      </c>
      <c r="Z403" s="7" t="str">
        <f>_xlfn.CONCAT(Table1[[#This Row],[First_Name]],"  ",Table1[[#This Row],[Last_Name]])</f>
        <v>Jason  Lopez</v>
      </c>
      <c r="AA403" s="5" t="str" cm="1">
        <f t="array" ref="AA403">_xlfn.IFS( (S403-K403)&gt;Q403,"Late", (S403-K403)=Q403,"InTime", (S403-K403)&lt;Q403,"BeforeTime" )</f>
        <v>BeforeTime</v>
      </c>
      <c r="AB403" s="3">
        <f>MONTH(Table1[[#This Row],[Order_Date]])</f>
        <v>4</v>
      </c>
    </row>
    <row r="404" spans="1:28" x14ac:dyDescent="0.3">
      <c r="A404" s="3" t="s">
        <v>1737</v>
      </c>
      <c r="B404" s="3" t="s">
        <v>1738</v>
      </c>
      <c r="C404" s="3" t="s">
        <v>1739</v>
      </c>
      <c r="D404" s="3" t="str">
        <f>_xlfn.CONCAT(Table1[[#This Row],[First_Name]],Table1[[#This Row],[Last_Name]])</f>
        <v>ReginaHawkins</v>
      </c>
      <c r="E404" s="3">
        <v>47</v>
      </c>
      <c r="F404" s="3" t="s">
        <v>41</v>
      </c>
      <c r="G404" s="3" t="s">
        <v>30</v>
      </c>
      <c r="H404" s="3" t="s">
        <v>1740</v>
      </c>
      <c r="I404" s="3" t="s">
        <v>1741</v>
      </c>
      <c r="J404" s="3" t="s">
        <v>1742</v>
      </c>
      <c r="K404" s="4">
        <v>45327</v>
      </c>
      <c r="L404" s="3" t="s">
        <v>1743</v>
      </c>
      <c r="M404" s="3" t="s">
        <v>553</v>
      </c>
      <c r="N404" s="3">
        <v>425.59</v>
      </c>
      <c r="O404" s="3">
        <v>3</v>
      </c>
      <c r="P404" s="3" t="s">
        <v>96</v>
      </c>
      <c r="Q404" s="3">
        <v>7</v>
      </c>
      <c r="R404" s="3">
        <v>51</v>
      </c>
      <c r="S404" s="4">
        <v>45330</v>
      </c>
      <c r="T404" s="3" t="s">
        <v>1744</v>
      </c>
      <c r="U404" s="5">
        <f>Table1[[#This Row],[Delivery_Date]]-Table1[[#This Row],[Order_Date]]</f>
        <v>3</v>
      </c>
      <c r="V404" s="5">
        <f>Table1[[#This Row],[Price]]*Table1[[#This Row],[Quantity]]</f>
        <v>1276.77</v>
      </c>
      <c r="W404" s="6" cm="1">
        <f t="array" ref="W404">_xlfn.IFS(
P404="FLAT8",8%,
P404="FLAT10",10%,
P404="FLAT15",15%,P404="FLAT20",20%,P404="DEL0",0%,
TRUE,0%
)</f>
        <v>0.1</v>
      </c>
      <c r="X404" s="5">
        <f>Table1[[#This Row],[Amount]]-(Table1[[#This Row],[Amount]]*Table1[[#This Row],[Discount_Percentage]])</f>
        <v>1149.0930000000001</v>
      </c>
      <c r="Y404" s="5">
        <f>IF(P404="DEL0",Table1[[#This Row],[Discount_Amount]],Table1[[#This Row],[Discount_Amount]]+Table1[[#This Row],[Delivery_Charge]])</f>
        <v>1200.0930000000001</v>
      </c>
      <c r="Z404" s="7" t="str">
        <f>_xlfn.CONCAT(Table1[[#This Row],[First_Name]],"  ",Table1[[#This Row],[Last_Name]])</f>
        <v>Regina  Hawkins</v>
      </c>
      <c r="AA404" s="5" t="str" cm="1">
        <f t="array" ref="AA404">_xlfn.IFS( (S404-K404)&gt;Q404,"Late", (S404-K404)=Q404,"InTime", (S404-K404)&lt;Q404,"BeforeTime" )</f>
        <v>BeforeTime</v>
      </c>
      <c r="AB404" s="3">
        <f>MONTH(Table1[[#This Row],[Order_Date]])</f>
        <v>2</v>
      </c>
    </row>
    <row r="405" spans="1:28" x14ac:dyDescent="0.3">
      <c r="A405" s="3" t="s">
        <v>1614</v>
      </c>
      <c r="B405" s="3" t="s">
        <v>273</v>
      </c>
      <c r="C405" s="3" t="s">
        <v>1615</v>
      </c>
      <c r="D405" s="3" t="str">
        <f>_xlfn.CONCAT(Table1[[#This Row],[First_Name]],Table1[[#This Row],[Last_Name]])</f>
        <v>LaurenCrane</v>
      </c>
      <c r="E405" s="3">
        <v>62</v>
      </c>
      <c r="F405" s="3" t="s">
        <v>41</v>
      </c>
      <c r="G405" s="3" t="s">
        <v>42</v>
      </c>
      <c r="H405" s="3" t="s">
        <v>1616</v>
      </c>
      <c r="I405" s="3" t="s">
        <v>1617</v>
      </c>
      <c r="J405" s="3" t="s">
        <v>1745</v>
      </c>
      <c r="K405" s="4">
        <v>45517</v>
      </c>
      <c r="L405" s="3" t="s">
        <v>1746</v>
      </c>
      <c r="M405" s="3" t="s">
        <v>573</v>
      </c>
      <c r="N405" s="3">
        <v>477.52</v>
      </c>
      <c r="O405" s="3">
        <v>5</v>
      </c>
      <c r="P405" s="3" t="s">
        <v>85</v>
      </c>
      <c r="Q405" s="3">
        <v>2</v>
      </c>
      <c r="R405" s="3">
        <v>60</v>
      </c>
      <c r="S405" s="4">
        <v>45520</v>
      </c>
      <c r="T405" s="3" t="s">
        <v>1747</v>
      </c>
      <c r="U405" s="5">
        <f>Table1[[#This Row],[Delivery_Date]]-Table1[[#This Row],[Order_Date]]</f>
        <v>3</v>
      </c>
      <c r="V405" s="5">
        <f>Table1[[#This Row],[Price]]*Table1[[#This Row],[Quantity]]</f>
        <v>2387.6</v>
      </c>
      <c r="W405" s="6" cm="1">
        <f t="array" ref="W405">_xlfn.IFS(
P405="FLAT8",8%,
P405="FLAT10",10%,
P405="FLAT15",15%,P405="FLAT20",20%,P405="DEL0",0%,
TRUE,0%
)</f>
        <v>0.2</v>
      </c>
      <c r="X405" s="5">
        <f>Table1[[#This Row],[Amount]]-(Table1[[#This Row],[Amount]]*Table1[[#This Row],[Discount_Percentage]])</f>
        <v>1910.08</v>
      </c>
      <c r="Y405" s="5">
        <f>IF(P405="DEL0",Table1[[#This Row],[Discount_Amount]],Table1[[#This Row],[Discount_Amount]]+Table1[[#This Row],[Delivery_Charge]])</f>
        <v>1970.08</v>
      </c>
      <c r="Z405" s="7" t="str">
        <f>_xlfn.CONCAT(Table1[[#This Row],[First_Name]],"  ",Table1[[#This Row],[Last_Name]])</f>
        <v>Lauren  Crane</v>
      </c>
      <c r="AA405" s="5" t="str" cm="1">
        <f t="array" ref="AA405">_xlfn.IFS( (S405-K405)&gt;Q405,"Late", (S405-K405)=Q405,"InTime", (S405-K405)&lt;Q405,"BeforeTime" )</f>
        <v>Late</v>
      </c>
      <c r="AB405" s="3">
        <f>MONTH(Table1[[#This Row],[Order_Date]])</f>
        <v>8</v>
      </c>
    </row>
    <row r="406" spans="1:28" x14ac:dyDescent="0.3">
      <c r="A406" s="3" t="s">
        <v>420</v>
      </c>
      <c r="B406" s="3" t="s">
        <v>421</v>
      </c>
      <c r="C406" s="3" t="s">
        <v>422</v>
      </c>
      <c r="D406" s="3" t="str">
        <f>_xlfn.CONCAT(Table1[[#This Row],[First_Name]],Table1[[#This Row],[Last_Name]])</f>
        <v>AmandaHoward</v>
      </c>
      <c r="E406" s="3">
        <v>52</v>
      </c>
      <c r="F406" s="3" t="s">
        <v>52</v>
      </c>
      <c r="G406" s="3" t="s">
        <v>220</v>
      </c>
      <c r="H406" s="3" t="s">
        <v>423</v>
      </c>
      <c r="I406" s="3" t="s">
        <v>424</v>
      </c>
      <c r="J406" s="3" t="s">
        <v>1748</v>
      </c>
      <c r="K406" s="4">
        <v>45471</v>
      </c>
      <c r="L406" s="3" t="s">
        <v>1749</v>
      </c>
      <c r="M406" s="3" t="s">
        <v>246</v>
      </c>
      <c r="N406" s="3">
        <v>282.63</v>
      </c>
      <c r="O406" s="3">
        <v>3</v>
      </c>
      <c r="P406" s="3" t="s">
        <v>36</v>
      </c>
      <c r="Q406" s="3">
        <v>3</v>
      </c>
      <c r="R406" s="3">
        <v>36</v>
      </c>
      <c r="S406" s="4">
        <v>45478</v>
      </c>
      <c r="T406" s="3" t="s">
        <v>1750</v>
      </c>
      <c r="U406" s="5">
        <f>Table1[[#This Row],[Delivery_Date]]-Table1[[#This Row],[Order_Date]]</f>
        <v>7</v>
      </c>
      <c r="V406" s="5">
        <f>Table1[[#This Row],[Price]]*Table1[[#This Row],[Quantity]]</f>
        <v>847.89</v>
      </c>
      <c r="W406" s="6" cm="1">
        <f t="array" ref="W406">_xlfn.IFS(
P406="FLAT8",8%,
P406="FLAT10",10%,
P406="FLAT15",15%,P406="FLAT20",20%,P406="DEL0",0%,
TRUE,0%
)</f>
        <v>0.08</v>
      </c>
      <c r="X406" s="5">
        <f>Table1[[#This Row],[Amount]]-(Table1[[#This Row],[Amount]]*Table1[[#This Row],[Discount_Percentage]])</f>
        <v>780.05880000000002</v>
      </c>
      <c r="Y406" s="5">
        <f>IF(P406="DEL0",Table1[[#This Row],[Discount_Amount]],Table1[[#This Row],[Discount_Amount]]+Table1[[#This Row],[Delivery_Charge]])</f>
        <v>816.05880000000002</v>
      </c>
      <c r="Z406" s="7" t="str">
        <f>_xlfn.CONCAT(Table1[[#This Row],[First_Name]],"  ",Table1[[#This Row],[Last_Name]])</f>
        <v>Amanda  Howard</v>
      </c>
      <c r="AA406" s="5" t="str" cm="1">
        <f t="array" ref="AA406">_xlfn.IFS( (S406-K406)&gt;Q406,"Late", (S406-K406)=Q406,"InTime", (S406-K406)&lt;Q406,"BeforeTime" )</f>
        <v>Late</v>
      </c>
      <c r="AB406" s="3">
        <f>MONTH(Table1[[#This Row],[Order_Date]])</f>
        <v>6</v>
      </c>
    </row>
    <row r="407" spans="1:28" x14ac:dyDescent="0.3">
      <c r="A407" s="3" t="s">
        <v>435</v>
      </c>
      <c r="B407" s="3" t="s">
        <v>436</v>
      </c>
      <c r="C407" s="3" t="s">
        <v>437</v>
      </c>
      <c r="D407" s="3" t="str">
        <f>_xlfn.CONCAT(Table1[[#This Row],[First_Name]],Table1[[#This Row],[Last_Name]])</f>
        <v>MaryKnight</v>
      </c>
      <c r="E407" s="3">
        <v>28</v>
      </c>
      <c r="F407" s="3" t="s">
        <v>52</v>
      </c>
      <c r="G407" s="3" t="s">
        <v>76</v>
      </c>
      <c r="H407" s="3" t="s">
        <v>438</v>
      </c>
      <c r="I407" s="3" t="s">
        <v>439</v>
      </c>
      <c r="J407" s="3" t="s">
        <v>1751</v>
      </c>
      <c r="K407" s="4">
        <v>45350</v>
      </c>
      <c r="L407" s="3" t="s">
        <v>1752</v>
      </c>
      <c r="M407" s="3" t="s">
        <v>287</v>
      </c>
      <c r="N407" s="3">
        <v>157.63999999999999</v>
      </c>
      <c r="O407" s="3">
        <v>1</v>
      </c>
      <c r="P407" s="3" t="s">
        <v>85</v>
      </c>
      <c r="Q407" s="3">
        <v>1</v>
      </c>
      <c r="R407" s="3">
        <v>59</v>
      </c>
      <c r="S407" s="4">
        <v>45356</v>
      </c>
      <c r="T407" s="3" t="s">
        <v>1753</v>
      </c>
      <c r="U407" s="5">
        <f>Table1[[#This Row],[Delivery_Date]]-Table1[[#This Row],[Order_Date]]</f>
        <v>6</v>
      </c>
      <c r="V407" s="5">
        <f>Table1[[#This Row],[Price]]*Table1[[#This Row],[Quantity]]</f>
        <v>157.63999999999999</v>
      </c>
      <c r="W407" s="6" cm="1">
        <f t="array" ref="W407">_xlfn.IFS(
P407="FLAT8",8%,
P407="FLAT10",10%,
P407="FLAT15",15%,P407="FLAT20",20%,P407="DEL0",0%,
TRUE,0%
)</f>
        <v>0.2</v>
      </c>
      <c r="X407" s="5">
        <f>Table1[[#This Row],[Amount]]-(Table1[[#This Row],[Amount]]*Table1[[#This Row],[Discount_Percentage]])</f>
        <v>126.11199999999999</v>
      </c>
      <c r="Y407" s="5">
        <f>IF(P407="DEL0",Table1[[#This Row],[Discount_Amount]],Table1[[#This Row],[Discount_Amount]]+Table1[[#This Row],[Delivery_Charge]])</f>
        <v>185.11199999999999</v>
      </c>
      <c r="Z407" s="7" t="str">
        <f>_xlfn.CONCAT(Table1[[#This Row],[First_Name]],"  ",Table1[[#This Row],[Last_Name]])</f>
        <v>Mary  Knight</v>
      </c>
      <c r="AA407" s="5" t="str" cm="1">
        <f t="array" ref="AA407">_xlfn.IFS( (S407-K407)&gt;Q407,"Late", (S407-K407)=Q407,"InTime", (S407-K407)&lt;Q407,"BeforeTime" )</f>
        <v>Late</v>
      </c>
      <c r="AB407" s="3">
        <f>MONTH(Table1[[#This Row],[Order_Date]])</f>
        <v>2</v>
      </c>
    </row>
    <row r="408" spans="1:28" x14ac:dyDescent="0.3">
      <c r="A408" s="3" t="s">
        <v>1727</v>
      </c>
      <c r="B408" s="3" t="s">
        <v>1728</v>
      </c>
      <c r="C408" s="3" t="s">
        <v>368</v>
      </c>
      <c r="D408" s="3" t="str">
        <f>_xlfn.CONCAT(Table1[[#This Row],[First_Name]],Table1[[#This Row],[Last_Name]])</f>
        <v>KatieHicks</v>
      </c>
      <c r="E408" s="3">
        <v>34</v>
      </c>
      <c r="F408" s="3" t="s">
        <v>52</v>
      </c>
      <c r="G408" s="3" t="s">
        <v>159</v>
      </c>
      <c r="H408" s="3" t="s">
        <v>1729</v>
      </c>
      <c r="I408" s="3" t="s">
        <v>1730</v>
      </c>
      <c r="J408" s="3" t="s">
        <v>1754</v>
      </c>
      <c r="K408" s="4">
        <v>45449</v>
      </c>
      <c r="L408" s="3" t="s">
        <v>1755</v>
      </c>
      <c r="M408" s="3" t="s">
        <v>114</v>
      </c>
      <c r="N408" s="3">
        <v>48.45</v>
      </c>
      <c r="O408" s="3">
        <v>1</v>
      </c>
      <c r="P408" s="3" t="s">
        <v>96</v>
      </c>
      <c r="Q408" s="3">
        <v>5</v>
      </c>
      <c r="R408" s="3">
        <v>38</v>
      </c>
      <c r="S408" s="4">
        <v>45456</v>
      </c>
      <c r="T408" s="3" t="s">
        <v>1756</v>
      </c>
      <c r="U408" s="5">
        <f>Table1[[#This Row],[Delivery_Date]]-Table1[[#This Row],[Order_Date]]</f>
        <v>7</v>
      </c>
      <c r="V408" s="5">
        <f>Table1[[#This Row],[Price]]*Table1[[#This Row],[Quantity]]</f>
        <v>48.45</v>
      </c>
      <c r="W408" s="6" cm="1">
        <f t="array" ref="W408">_xlfn.IFS(
P408="FLAT8",8%,
P408="FLAT10",10%,
P408="FLAT15",15%,P408="FLAT20",20%,P408="DEL0",0%,
TRUE,0%
)</f>
        <v>0.1</v>
      </c>
      <c r="X408" s="5">
        <f>Table1[[#This Row],[Amount]]-(Table1[[#This Row],[Amount]]*Table1[[#This Row],[Discount_Percentage]])</f>
        <v>43.605000000000004</v>
      </c>
      <c r="Y408" s="5">
        <f>IF(P408="DEL0",Table1[[#This Row],[Discount_Amount]],Table1[[#This Row],[Discount_Amount]]+Table1[[#This Row],[Delivery_Charge]])</f>
        <v>81.605000000000004</v>
      </c>
      <c r="Z408" s="7" t="str">
        <f>_xlfn.CONCAT(Table1[[#This Row],[First_Name]],"  ",Table1[[#This Row],[Last_Name]])</f>
        <v>Katie  Hicks</v>
      </c>
      <c r="AA408" s="5" t="str" cm="1">
        <f t="array" ref="AA408">_xlfn.IFS( (S408-K408)&gt;Q408,"Late", (S408-K408)=Q408,"InTime", (S408-K408)&lt;Q408,"BeforeTime" )</f>
        <v>Late</v>
      </c>
      <c r="AB408" s="3">
        <f>MONTH(Table1[[#This Row],[Order_Date]])</f>
        <v>6</v>
      </c>
    </row>
    <row r="409" spans="1:28" x14ac:dyDescent="0.3">
      <c r="A409" s="3" t="s">
        <v>87</v>
      </c>
      <c r="B409" s="3" t="s">
        <v>88</v>
      </c>
      <c r="C409" s="3" t="s">
        <v>89</v>
      </c>
      <c r="D409" s="3" t="str">
        <f>_xlfn.CONCAT(Table1[[#This Row],[First_Name]],Table1[[#This Row],[Last_Name]])</f>
        <v>DavidDelacruz</v>
      </c>
      <c r="E409" s="3">
        <v>26</v>
      </c>
      <c r="F409" s="3" t="s">
        <v>41</v>
      </c>
      <c r="G409" s="3" t="s">
        <v>90</v>
      </c>
      <c r="H409" s="3" t="s">
        <v>91</v>
      </c>
      <c r="I409" s="3" t="s">
        <v>92</v>
      </c>
      <c r="J409" s="3" t="s">
        <v>1757</v>
      </c>
      <c r="K409" s="4">
        <v>45359</v>
      </c>
      <c r="L409" s="3" t="s">
        <v>1758</v>
      </c>
      <c r="M409" s="3" t="s">
        <v>871</v>
      </c>
      <c r="N409" s="3">
        <v>292.14999999999998</v>
      </c>
      <c r="O409" s="3">
        <v>1</v>
      </c>
      <c r="P409" s="3" t="s">
        <v>85</v>
      </c>
      <c r="Q409" s="3">
        <v>5</v>
      </c>
      <c r="R409" s="3">
        <v>57</v>
      </c>
      <c r="S409" s="4">
        <v>45365</v>
      </c>
      <c r="T409" s="3" t="s">
        <v>1759</v>
      </c>
      <c r="U409" s="5">
        <f>Table1[[#This Row],[Delivery_Date]]-Table1[[#This Row],[Order_Date]]</f>
        <v>6</v>
      </c>
      <c r="V409" s="5">
        <f>Table1[[#This Row],[Price]]*Table1[[#This Row],[Quantity]]</f>
        <v>292.14999999999998</v>
      </c>
      <c r="W409" s="6" cm="1">
        <f t="array" ref="W409">_xlfn.IFS(
P409="FLAT8",8%,
P409="FLAT10",10%,
P409="FLAT15",15%,P409="FLAT20",20%,P409="DEL0",0%,
TRUE,0%
)</f>
        <v>0.2</v>
      </c>
      <c r="X409" s="5">
        <f>Table1[[#This Row],[Amount]]-(Table1[[#This Row],[Amount]]*Table1[[#This Row],[Discount_Percentage]])</f>
        <v>233.71999999999997</v>
      </c>
      <c r="Y409" s="5">
        <f>IF(P409="DEL0",Table1[[#This Row],[Discount_Amount]],Table1[[#This Row],[Discount_Amount]]+Table1[[#This Row],[Delivery_Charge]])</f>
        <v>290.71999999999997</v>
      </c>
      <c r="Z409" s="7" t="str">
        <f>_xlfn.CONCAT(Table1[[#This Row],[First_Name]],"  ",Table1[[#This Row],[Last_Name]])</f>
        <v>David  Delacruz</v>
      </c>
      <c r="AA409" s="5" t="str" cm="1">
        <f t="array" ref="AA409">_xlfn.IFS( (S409-K409)&gt;Q409,"Late", (S409-K409)=Q409,"InTime", (S409-K409)&lt;Q409,"BeforeTime" )</f>
        <v>Late</v>
      </c>
      <c r="AB409" s="3">
        <f>MONTH(Table1[[#This Row],[Order_Date]])</f>
        <v>3</v>
      </c>
    </row>
    <row r="410" spans="1:28" x14ac:dyDescent="0.3">
      <c r="A410" s="3" t="s">
        <v>1760</v>
      </c>
      <c r="B410" s="3" t="s">
        <v>1761</v>
      </c>
      <c r="C410" s="3" t="s">
        <v>395</v>
      </c>
      <c r="D410" s="3" t="str">
        <f>_xlfn.CONCAT(Table1[[#This Row],[First_Name]],Table1[[#This Row],[Last_Name]])</f>
        <v>RachelLopez</v>
      </c>
      <c r="E410" s="3">
        <v>57</v>
      </c>
      <c r="F410" s="3" t="s">
        <v>41</v>
      </c>
      <c r="G410" s="3" t="s">
        <v>90</v>
      </c>
      <c r="H410" s="3" t="s">
        <v>1762</v>
      </c>
      <c r="I410" s="3" t="s">
        <v>1763</v>
      </c>
      <c r="J410" s="3" t="s">
        <v>1764</v>
      </c>
      <c r="K410" s="4">
        <v>45333</v>
      </c>
      <c r="L410" s="3" t="s">
        <v>1765</v>
      </c>
      <c r="M410" s="3" t="s">
        <v>774</v>
      </c>
      <c r="N410" s="3">
        <v>20</v>
      </c>
      <c r="O410" s="3">
        <v>4</v>
      </c>
      <c r="P410" s="3" t="s">
        <v>85</v>
      </c>
      <c r="Q410" s="3">
        <v>1</v>
      </c>
      <c r="R410" s="3">
        <v>51</v>
      </c>
      <c r="S410" s="4">
        <v>45334</v>
      </c>
      <c r="T410" s="3" t="s">
        <v>1766</v>
      </c>
      <c r="U410" s="5">
        <f>Table1[[#This Row],[Delivery_Date]]-Table1[[#This Row],[Order_Date]]</f>
        <v>1</v>
      </c>
      <c r="V410" s="5">
        <f>Table1[[#This Row],[Price]]*Table1[[#This Row],[Quantity]]</f>
        <v>80</v>
      </c>
      <c r="W410" s="6" cm="1">
        <f t="array" ref="W410">_xlfn.IFS(
P410="FLAT8",8%,
P410="FLAT10",10%,
P410="FLAT15",15%,P410="FLAT20",20%,P410="DEL0",0%,
TRUE,0%
)</f>
        <v>0.2</v>
      </c>
      <c r="X410" s="5">
        <f>Table1[[#This Row],[Amount]]-(Table1[[#This Row],[Amount]]*Table1[[#This Row],[Discount_Percentage]])</f>
        <v>64</v>
      </c>
      <c r="Y410" s="5">
        <f>IF(P410="DEL0",Table1[[#This Row],[Discount_Amount]],Table1[[#This Row],[Discount_Amount]]+Table1[[#This Row],[Delivery_Charge]])</f>
        <v>115</v>
      </c>
      <c r="Z410" s="7" t="str">
        <f>_xlfn.CONCAT(Table1[[#This Row],[First_Name]],"  ",Table1[[#This Row],[Last_Name]])</f>
        <v>Rachel  Lopez</v>
      </c>
      <c r="AA410" s="5" t="str" cm="1">
        <f t="array" ref="AA410">_xlfn.IFS( (S410-K410)&gt;Q410,"Late", (S410-K410)=Q410,"InTime", (S410-K410)&lt;Q410,"BeforeTime" )</f>
        <v>InTime</v>
      </c>
      <c r="AB410" s="3">
        <f>MONTH(Table1[[#This Row],[Order_Date]])</f>
        <v>2</v>
      </c>
    </row>
    <row r="411" spans="1:28" x14ac:dyDescent="0.3">
      <c r="A411" s="3" t="s">
        <v>894</v>
      </c>
      <c r="B411" s="3" t="s">
        <v>148</v>
      </c>
      <c r="C411" s="3" t="s">
        <v>895</v>
      </c>
      <c r="D411" s="3" t="str">
        <f>_xlfn.CONCAT(Table1[[#This Row],[First_Name]],Table1[[#This Row],[Last_Name]])</f>
        <v>AmyGriffin</v>
      </c>
      <c r="E411" s="3">
        <v>29</v>
      </c>
      <c r="F411" s="3" t="s">
        <v>29</v>
      </c>
      <c r="G411" s="3" t="s">
        <v>42</v>
      </c>
      <c r="H411" s="3" t="s">
        <v>896</v>
      </c>
      <c r="I411" s="3" t="s">
        <v>897</v>
      </c>
      <c r="J411" s="3" t="s">
        <v>1767</v>
      </c>
      <c r="K411" s="4">
        <v>45681</v>
      </c>
      <c r="L411" s="3" t="s">
        <v>1768</v>
      </c>
      <c r="M411" s="3" t="s">
        <v>114</v>
      </c>
      <c r="N411" s="3">
        <v>48.45</v>
      </c>
      <c r="O411" s="3">
        <v>2</v>
      </c>
      <c r="P411" s="3" t="s">
        <v>58</v>
      </c>
      <c r="Q411" s="3">
        <v>7</v>
      </c>
      <c r="R411" s="3">
        <v>56</v>
      </c>
      <c r="S411" s="4">
        <v>45687</v>
      </c>
      <c r="T411" s="3" t="s">
        <v>1769</v>
      </c>
      <c r="U411" s="5">
        <f>Table1[[#This Row],[Delivery_Date]]-Table1[[#This Row],[Order_Date]]</f>
        <v>6</v>
      </c>
      <c r="V411" s="5">
        <f>Table1[[#This Row],[Price]]*Table1[[#This Row],[Quantity]]</f>
        <v>96.9</v>
      </c>
      <c r="W411" s="6" cm="1">
        <f t="array" ref="W411">_xlfn.IFS(
P411="FLAT8",8%,
P411="FLAT10",10%,
P411="FLAT15",15%,P411="FLAT20",20%,P411="DEL0",0%,
TRUE,0%
)</f>
        <v>0.15</v>
      </c>
      <c r="X411" s="5">
        <f>Table1[[#This Row],[Amount]]-(Table1[[#This Row],[Amount]]*Table1[[#This Row],[Discount_Percentage]])</f>
        <v>82.365000000000009</v>
      </c>
      <c r="Y411" s="5">
        <f>IF(P411="DEL0",Table1[[#This Row],[Discount_Amount]],Table1[[#This Row],[Discount_Amount]]+Table1[[#This Row],[Delivery_Charge]])</f>
        <v>138.36500000000001</v>
      </c>
      <c r="Z411" s="7" t="str">
        <f>_xlfn.CONCAT(Table1[[#This Row],[First_Name]],"  ",Table1[[#This Row],[Last_Name]])</f>
        <v>Amy  Griffin</v>
      </c>
      <c r="AA411" s="5" t="str" cm="1">
        <f t="array" ref="AA411">_xlfn.IFS( (S411-K411)&gt;Q411,"Late", (S411-K411)=Q411,"InTime", (S411-K411)&lt;Q411,"BeforeTime" )</f>
        <v>BeforeTime</v>
      </c>
      <c r="AB411" s="3">
        <f>MONTH(Table1[[#This Row],[Order_Date]])</f>
        <v>1</v>
      </c>
    </row>
    <row r="412" spans="1:28" x14ac:dyDescent="0.3">
      <c r="A412" s="3" t="s">
        <v>646</v>
      </c>
      <c r="B412" s="3" t="s">
        <v>647</v>
      </c>
      <c r="C412" s="3" t="s">
        <v>648</v>
      </c>
      <c r="D412" s="3" t="str">
        <f>_xlfn.CONCAT(Table1[[#This Row],[First_Name]],Table1[[#This Row],[Last_Name]])</f>
        <v>BethMason</v>
      </c>
      <c r="E412" s="3">
        <v>45</v>
      </c>
      <c r="F412" s="3" t="s">
        <v>52</v>
      </c>
      <c r="G412" s="3" t="s">
        <v>90</v>
      </c>
      <c r="H412" s="3" t="s">
        <v>649</v>
      </c>
      <c r="I412" s="3" t="s">
        <v>650</v>
      </c>
      <c r="J412" s="3" t="s">
        <v>1770</v>
      </c>
      <c r="K412" s="4">
        <v>45190</v>
      </c>
      <c r="L412" s="3" t="s">
        <v>1771</v>
      </c>
      <c r="M412" s="3" t="s">
        <v>242</v>
      </c>
      <c r="N412" s="3">
        <v>126.19</v>
      </c>
      <c r="O412" s="3">
        <v>2</v>
      </c>
      <c r="P412" s="3" t="s">
        <v>85</v>
      </c>
      <c r="Q412" s="3">
        <v>4</v>
      </c>
      <c r="R412" s="3">
        <v>67</v>
      </c>
      <c r="S412" s="4">
        <v>45196</v>
      </c>
      <c r="T412" s="3" t="s">
        <v>1772</v>
      </c>
      <c r="U412" s="5">
        <f>Table1[[#This Row],[Delivery_Date]]-Table1[[#This Row],[Order_Date]]</f>
        <v>6</v>
      </c>
      <c r="V412" s="5">
        <f>Table1[[#This Row],[Price]]*Table1[[#This Row],[Quantity]]</f>
        <v>252.38</v>
      </c>
      <c r="W412" s="6" cm="1">
        <f t="array" ref="W412">_xlfn.IFS(
P412="FLAT8",8%,
P412="FLAT10",10%,
P412="FLAT15",15%,P412="FLAT20",20%,P412="DEL0",0%,
TRUE,0%
)</f>
        <v>0.2</v>
      </c>
      <c r="X412" s="5">
        <f>Table1[[#This Row],[Amount]]-(Table1[[#This Row],[Amount]]*Table1[[#This Row],[Discount_Percentage]])</f>
        <v>201.904</v>
      </c>
      <c r="Y412" s="5">
        <f>IF(P412="DEL0",Table1[[#This Row],[Discount_Amount]],Table1[[#This Row],[Discount_Amount]]+Table1[[#This Row],[Delivery_Charge]])</f>
        <v>268.904</v>
      </c>
      <c r="Z412" s="7" t="str">
        <f>_xlfn.CONCAT(Table1[[#This Row],[First_Name]],"  ",Table1[[#This Row],[Last_Name]])</f>
        <v>Beth  Mason</v>
      </c>
      <c r="AA412" s="5" t="str" cm="1">
        <f t="array" ref="AA412">_xlfn.IFS( (S412-K412)&gt;Q412,"Late", (S412-K412)=Q412,"InTime", (S412-K412)&lt;Q412,"BeforeTime" )</f>
        <v>Late</v>
      </c>
      <c r="AB412" s="3">
        <f>MONTH(Table1[[#This Row],[Order_Date]])</f>
        <v>9</v>
      </c>
    </row>
    <row r="413" spans="1:28" x14ac:dyDescent="0.3">
      <c r="A413" s="3" t="s">
        <v>1457</v>
      </c>
      <c r="B413" s="3" t="s">
        <v>273</v>
      </c>
      <c r="C413" s="3" t="s">
        <v>1458</v>
      </c>
      <c r="D413" s="3" t="str">
        <f>_xlfn.CONCAT(Table1[[#This Row],[First_Name]],Table1[[#This Row],[Last_Name]])</f>
        <v>LaurenLane</v>
      </c>
      <c r="E413" s="3">
        <v>30</v>
      </c>
      <c r="F413" s="3" t="s">
        <v>29</v>
      </c>
      <c r="G413" s="3" t="s">
        <v>220</v>
      </c>
      <c r="H413" s="3" t="s">
        <v>1459</v>
      </c>
      <c r="I413" s="3" t="s">
        <v>1460</v>
      </c>
      <c r="J413" s="3" t="s">
        <v>1773</v>
      </c>
      <c r="K413" s="4">
        <v>45393</v>
      </c>
      <c r="L413" s="3" t="s">
        <v>1774</v>
      </c>
      <c r="M413" s="3" t="s">
        <v>242</v>
      </c>
      <c r="N413" s="3">
        <v>126.19</v>
      </c>
      <c r="O413" s="3">
        <v>4</v>
      </c>
      <c r="P413" s="3" t="s">
        <v>36</v>
      </c>
      <c r="Q413" s="3">
        <v>5</v>
      </c>
      <c r="R413" s="3">
        <v>69</v>
      </c>
      <c r="S413" s="4">
        <v>45396</v>
      </c>
      <c r="T413" s="3" t="s">
        <v>1775</v>
      </c>
      <c r="U413" s="5">
        <f>Table1[[#This Row],[Delivery_Date]]-Table1[[#This Row],[Order_Date]]</f>
        <v>3</v>
      </c>
      <c r="V413" s="5">
        <f>Table1[[#This Row],[Price]]*Table1[[#This Row],[Quantity]]</f>
        <v>504.76</v>
      </c>
      <c r="W413" s="6" cm="1">
        <f t="array" ref="W413">_xlfn.IFS(
P413="FLAT8",8%,
P413="FLAT10",10%,
P413="FLAT15",15%,P413="FLAT20",20%,P413="DEL0",0%,
TRUE,0%
)</f>
        <v>0.08</v>
      </c>
      <c r="X413" s="5">
        <f>Table1[[#This Row],[Amount]]-(Table1[[#This Row],[Amount]]*Table1[[#This Row],[Discount_Percentage]])</f>
        <v>464.37919999999997</v>
      </c>
      <c r="Y413" s="5">
        <f>IF(P413="DEL0",Table1[[#This Row],[Discount_Amount]],Table1[[#This Row],[Discount_Amount]]+Table1[[#This Row],[Delivery_Charge]])</f>
        <v>533.37919999999997</v>
      </c>
      <c r="Z413" s="7" t="str">
        <f>_xlfn.CONCAT(Table1[[#This Row],[First_Name]],"  ",Table1[[#This Row],[Last_Name]])</f>
        <v>Lauren  Lane</v>
      </c>
      <c r="AA413" s="5" t="str" cm="1">
        <f t="array" ref="AA413">_xlfn.IFS( (S413-K413)&gt;Q413,"Late", (S413-K413)=Q413,"InTime", (S413-K413)&lt;Q413,"BeforeTime" )</f>
        <v>BeforeTime</v>
      </c>
      <c r="AB413" s="3">
        <f>MONTH(Table1[[#This Row],[Order_Date]])</f>
        <v>4</v>
      </c>
    </row>
    <row r="414" spans="1:28" x14ac:dyDescent="0.3">
      <c r="A414" s="3" t="s">
        <v>293</v>
      </c>
      <c r="B414" s="3" t="s">
        <v>294</v>
      </c>
      <c r="C414" s="3" t="s">
        <v>295</v>
      </c>
      <c r="D414" s="3" t="str">
        <f>_xlfn.CONCAT(Table1[[#This Row],[First_Name]],Table1[[#This Row],[Last_Name]])</f>
        <v>HeatherSchneider</v>
      </c>
      <c r="E414" s="3">
        <v>48</v>
      </c>
      <c r="F414" s="3" t="s">
        <v>41</v>
      </c>
      <c r="G414" s="3" t="s">
        <v>90</v>
      </c>
      <c r="H414" s="3" t="s">
        <v>296</v>
      </c>
      <c r="I414" s="3" t="s">
        <v>297</v>
      </c>
      <c r="J414" s="3" t="s">
        <v>1776</v>
      </c>
      <c r="K414" s="4">
        <v>45399</v>
      </c>
      <c r="L414" s="3" t="s">
        <v>1777</v>
      </c>
      <c r="M414" s="3" t="s">
        <v>356</v>
      </c>
      <c r="N414" s="3">
        <v>496.59</v>
      </c>
      <c r="O414" s="3">
        <v>3</v>
      </c>
      <c r="P414" s="3" t="s">
        <v>63</v>
      </c>
      <c r="Q414" s="3">
        <v>3</v>
      </c>
      <c r="R414" s="3">
        <v>49</v>
      </c>
      <c r="S414" s="4">
        <v>45406</v>
      </c>
      <c r="T414" s="3" t="s">
        <v>1778</v>
      </c>
      <c r="U414" s="5">
        <f>Table1[[#This Row],[Delivery_Date]]-Table1[[#This Row],[Order_Date]]</f>
        <v>7</v>
      </c>
      <c r="V414" s="5">
        <f>Table1[[#This Row],[Price]]*Table1[[#This Row],[Quantity]]</f>
        <v>1489.77</v>
      </c>
      <c r="W414" s="6" cm="1">
        <f t="array" ref="W414">_xlfn.IFS(
P414="FLAT8",8%,
P414="FLAT10",10%,
P414="FLAT15",15%,P414="FLAT20",20%,P414="DEL0",0%,
TRUE,0%
)</f>
        <v>0</v>
      </c>
      <c r="X414" s="5">
        <f>Table1[[#This Row],[Amount]]-(Table1[[#This Row],[Amount]]*Table1[[#This Row],[Discount_Percentage]])</f>
        <v>1489.77</v>
      </c>
      <c r="Y414" s="5">
        <f>IF(P414="DEL0",Table1[[#This Row],[Discount_Amount]],Table1[[#This Row],[Discount_Amount]]+Table1[[#This Row],[Delivery_Charge]])</f>
        <v>1489.77</v>
      </c>
      <c r="Z414" s="7" t="str">
        <f>_xlfn.CONCAT(Table1[[#This Row],[First_Name]],"  ",Table1[[#This Row],[Last_Name]])</f>
        <v>Heather  Schneider</v>
      </c>
      <c r="AA414" s="5" t="str" cm="1">
        <f t="array" ref="AA414">_xlfn.IFS( (S414-K414)&gt;Q414,"Late", (S414-K414)=Q414,"InTime", (S414-K414)&lt;Q414,"BeforeTime" )</f>
        <v>Late</v>
      </c>
      <c r="AB414" s="3">
        <f>MONTH(Table1[[#This Row],[Order_Date]])</f>
        <v>4</v>
      </c>
    </row>
    <row r="415" spans="1:28" x14ac:dyDescent="0.3">
      <c r="A415" s="3" t="s">
        <v>349</v>
      </c>
      <c r="B415" s="3" t="s">
        <v>350</v>
      </c>
      <c r="C415" s="3" t="s">
        <v>351</v>
      </c>
      <c r="D415" s="3" t="str">
        <f>_xlfn.CONCAT(Table1[[#This Row],[First_Name]],Table1[[#This Row],[Last_Name]])</f>
        <v>DonnaOneill</v>
      </c>
      <c r="E415" s="3">
        <v>70</v>
      </c>
      <c r="F415" s="3" t="s">
        <v>29</v>
      </c>
      <c r="G415" s="3" t="s">
        <v>168</v>
      </c>
      <c r="H415" s="3" t="s">
        <v>352</v>
      </c>
      <c r="I415" s="3" t="s">
        <v>353</v>
      </c>
      <c r="J415" s="3" t="s">
        <v>1779</v>
      </c>
      <c r="K415" s="4">
        <v>45396</v>
      </c>
      <c r="L415" s="3" t="s">
        <v>1780</v>
      </c>
      <c r="M415" s="3" t="s">
        <v>686</v>
      </c>
      <c r="N415" s="3">
        <v>424.82</v>
      </c>
      <c r="O415" s="3">
        <v>4</v>
      </c>
      <c r="P415" s="3" t="s">
        <v>58</v>
      </c>
      <c r="Q415" s="3">
        <v>1</v>
      </c>
      <c r="R415" s="3">
        <v>70</v>
      </c>
      <c r="S415" s="4">
        <v>45402</v>
      </c>
      <c r="T415" s="3" t="s">
        <v>1781</v>
      </c>
      <c r="U415" s="5">
        <f>Table1[[#This Row],[Delivery_Date]]-Table1[[#This Row],[Order_Date]]</f>
        <v>6</v>
      </c>
      <c r="V415" s="5">
        <f>Table1[[#This Row],[Price]]*Table1[[#This Row],[Quantity]]</f>
        <v>1699.28</v>
      </c>
      <c r="W415" s="6" cm="1">
        <f t="array" ref="W415">_xlfn.IFS(
P415="FLAT8",8%,
P415="FLAT10",10%,
P415="FLAT15",15%,P415="FLAT20",20%,P415="DEL0",0%,
TRUE,0%
)</f>
        <v>0.15</v>
      </c>
      <c r="X415" s="5">
        <f>Table1[[#This Row],[Amount]]-(Table1[[#This Row],[Amount]]*Table1[[#This Row],[Discount_Percentage]])</f>
        <v>1444.3879999999999</v>
      </c>
      <c r="Y415" s="5">
        <f>IF(P415="DEL0",Table1[[#This Row],[Discount_Amount]],Table1[[#This Row],[Discount_Amount]]+Table1[[#This Row],[Delivery_Charge]])</f>
        <v>1514.3879999999999</v>
      </c>
      <c r="Z415" s="7" t="str">
        <f>_xlfn.CONCAT(Table1[[#This Row],[First_Name]],"  ",Table1[[#This Row],[Last_Name]])</f>
        <v>Donna  Oneill</v>
      </c>
      <c r="AA415" s="5" t="str" cm="1">
        <f t="array" ref="AA415">_xlfn.IFS( (S415-K415)&gt;Q415,"Late", (S415-K415)=Q415,"InTime", (S415-K415)&lt;Q415,"BeforeTime" )</f>
        <v>Late</v>
      </c>
      <c r="AB415" s="3">
        <f>MONTH(Table1[[#This Row],[Order_Date]])</f>
        <v>4</v>
      </c>
    </row>
    <row r="416" spans="1:28" x14ac:dyDescent="0.3">
      <c r="A416" s="3" t="s">
        <v>175</v>
      </c>
      <c r="B416" s="3" t="s">
        <v>176</v>
      </c>
      <c r="C416" s="3" t="s">
        <v>177</v>
      </c>
      <c r="D416" s="3" t="str">
        <f>_xlfn.CONCAT(Table1[[#This Row],[First_Name]],Table1[[#This Row],[Last_Name]])</f>
        <v>GinaMoreno</v>
      </c>
      <c r="E416" s="3">
        <v>36</v>
      </c>
      <c r="F416" s="3" t="s">
        <v>52</v>
      </c>
      <c r="G416" s="3" t="s">
        <v>140</v>
      </c>
      <c r="H416" s="3" t="s">
        <v>178</v>
      </c>
      <c r="I416" s="3" t="s">
        <v>179</v>
      </c>
      <c r="J416" s="3" t="s">
        <v>1782</v>
      </c>
      <c r="K416" s="4">
        <v>45194</v>
      </c>
      <c r="L416" s="3" t="s">
        <v>1783</v>
      </c>
      <c r="M416" s="3" t="s">
        <v>774</v>
      </c>
      <c r="N416" s="3">
        <v>20</v>
      </c>
      <c r="O416" s="3">
        <v>2</v>
      </c>
      <c r="P416" s="3" t="s">
        <v>96</v>
      </c>
      <c r="Q416" s="3">
        <v>1</v>
      </c>
      <c r="R416" s="3">
        <v>68</v>
      </c>
      <c r="S416" s="4">
        <v>45195</v>
      </c>
      <c r="T416" s="3" t="s">
        <v>1784</v>
      </c>
      <c r="U416" s="5">
        <f>Table1[[#This Row],[Delivery_Date]]-Table1[[#This Row],[Order_Date]]</f>
        <v>1</v>
      </c>
      <c r="V416" s="5">
        <f>Table1[[#This Row],[Price]]*Table1[[#This Row],[Quantity]]</f>
        <v>40</v>
      </c>
      <c r="W416" s="6" cm="1">
        <f t="array" ref="W416">_xlfn.IFS(
P416="FLAT8",8%,
P416="FLAT10",10%,
P416="FLAT15",15%,P416="FLAT20",20%,P416="DEL0",0%,
TRUE,0%
)</f>
        <v>0.1</v>
      </c>
      <c r="X416" s="5">
        <f>Table1[[#This Row],[Amount]]-(Table1[[#This Row],[Amount]]*Table1[[#This Row],[Discount_Percentage]])</f>
        <v>36</v>
      </c>
      <c r="Y416" s="5">
        <f>IF(P416="DEL0",Table1[[#This Row],[Discount_Amount]],Table1[[#This Row],[Discount_Amount]]+Table1[[#This Row],[Delivery_Charge]])</f>
        <v>104</v>
      </c>
      <c r="Z416" s="7" t="str">
        <f>_xlfn.CONCAT(Table1[[#This Row],[First_Name]],"  ",Table1[[#This Row],[Last_Name]])</f>
        <v>Gina  Moreno</v>
      </c>
      <c r="AA416" s="5" t="str" cm="1">
        <f t="array" ref="AA416">_xlfn.IFS( (S416-K416)&gt;Q416,"Late", (S416-K416)=Q416,"InTime", (S416-K416)&lt;Q416,"BeforeTime" )</f>
        <v>InTime</v>
      </c>
      <c r="AB416" s="3">
        <f>MONTH(Table1[[#This Row],[Order_Date]])</f>
        <v>9</v>
      </c>
    </row>
    <row r="417" spans="1:28" x14ac:dyDescent="0.3">
      <c r="A417" s="3" t="s">
        <v>1737</v>
      </c>
      <c r="B417" s="3" t="s">
        <v>1738</v>
      </c>
      <c r="C417" s="3" t="s">
        <v>1739</v>
      </c>
      <c r="D417" s="3" t="str">
        <f>_xlfn.CONCAT(Table1[[#This Row],[First_Name]],Table1[[#This Row],[Last_Name]])</f>
        <v>ReginaHawkins</v>
      </c>
      <c r="E417" s="3">
        <v>47</v>
      </c>
      <c r="F417" s="3" t="s">
        <v>41</v>
      </c>
      <c r="G417" s="3" t="s">
        <v>30</v>
      </c>
      <c r="H417" s="3" t="s">
        <v>1740</v>
      </c>
      <c r="I417" s="3" t="s">
        <v>1741</v>
      </c>
      <c r="J417" s="3" t="s">
        <v>1785</v>
      </c>
      <c r="K417" s="4">
        <v>45216</v>
      </c>
      <c r="L417" s="3" t="s">
        <v>1786</v>
      </c>
      <c r="M417" s="3" t="s">
        <v>57</v>
      </c>
      <c r="N417" s="3">
        <v>202.54</v>
      </c>
      <c r="O417" s="3">
        <v>5</v>
      </c>
      <c r="P417" s="3" t="s">
        <v>96</v>
      </c>
      <c r="Q417" s="3">
        <v>4</v>
      </c>
      <c r="R417" s="3">
        <v>58</v>
      </c>
      <c r="S417" s="4">
        <v>45218</v>
      </c>
      <c r="T417" s="3" t="s">
        <v>1787</v>
      </c>
      <c r="U417" s="5">
        <f>Table1[[#This Row],[Delivery_Date]]-Table1[[#This Row],[Order_Date]]</f>
        <v>2</v>
      </c>
      <c r="V417" s="5">
        <f>Table1[[#This Row],[Price]]*Table1[[#This Row],[Quantity]]</f>
        <v>1012.6999999999999</v>
      </c>
      <c r="W417" s="6" cm="1">
        <f t="array" ref="W417">_xlfn.IFS(
P417="FLAT8",8%,
P417="FLAT10",10%,
P417="FLAT15",15%,P417="FLAT20",20%,P417="DEL0",0%,
TRUE,0%
)</f>
        <v>0.1</v>
      </c>
      <c r="X417" s="5">
        <f>Table1[[#This Row],[Amount]]-(Table1[[#This Row],[Amount]]*Table1[[#This Row],[Discount_Percentage]])</f>
        <v>911.43</v>
      </c>
      <c r="Y417" s="5">
        <f>IF(P417="DEL0",Table1[[#This Row],[Discount_Amount]],Table1[[#This Row],[Discount_Amount]]+Table1[[#This Row],[Delivery_Charge]])</f>
        <v>969.43</v>
      </c>
      <c r="Z417" s="7" t="str">
        <f>_xlfn.CONCAT(Table1[[#This Row],[First_Name]],"  ",Table1[[#This Row],[Last_Name]])</f>
        <v>Regina  Hawkins</v>
      </c>
      <c r="AA417" s="5" t="str" cm="1">
        <f t="array" ref="AA417">_xlfn.IFS( (S417-K417)&gt;Q417,"Late", (S417-K417)=Q417,"InTime", (S417-K417)&lt;Q417,"BeforeTime" )</f>
        <v>BeforeTime</v>
      </c>
      <c r="AB417" s="3">
        <f>MONTH(Table1[[#This Row],[Order_Date]])</f>
        <v>10</v>
      </c>
    </row>
    <row r="418" spans="1:28" x14ac:dyDescent="0.3">
      <c r="A418" s="3" t="s">
        <v>175</v>
      </c>
      <c r="B418" s="3" t="s">
        <v>176</v>
      </c>
      <c r="C418" s="3" t="s">
        <v>177</v>
      </c>
      <c r="D418" s="3" t="str">
        <f>_xlfn.CONCAT(Table1[[#This Row],[First_Name]],Table1[[#This Row],[Last_Name]])</f>
        <v>GinaMoreno</v>
      </c>
      <c r="E418" s="3">
        <v>36</v>
      </c>
      <c r="F418" s="3" t="s">
        <v>52</v>
      </c>
      <c r="G418" s="3" t="s">
        <v>140</v>
      </c>
      <c r="H418" s="3" t="s">
        <v>178</v>
      </c>
      <c r="I418" s="3" t="s">
        <v>179</v>
      </c>
      <c r="J418" s="3" t="s">
        <v>1788</v>
      </c>
      <c r="K418" s="4">
        <v>45368</v>
      </c>
      <c r="L418" s="3" t="s">
        <v>1789</v>
      </c>
      <c r="M418" s="3" t="s">
        <v>514</v>
      </c>
      <c r="N418" s="3">
        <v>136.30000000000001</v>
      </c>
      <c r="O418" s="3">
        <v>4</v>
      </c>
      <c r="P418" s="3" t="s">
        <v>36</v>
      </c>
      <c r="Q418" s="3">
        <v>6</v>
      </c>
      <c r="R418" s="3">
        <v>52</v>
      </c>
      <c r="S418" s="4">
        <v>45371</v>
      </c>
      <c r="T418" s="3" t="s">
        <v>1790</v>
      </c>
      <c r="U418" s="5">
        <f>Table1[[#This Row],[Delivery_Date]]-Table1[[#This Row],[Order_Date]]</f>
        <v>3</v>
      </c>
      <c r="V418" s="5">
        <f>Table1[[#This Row],[Price]]*Table1[[#This Row],[Quantity]]</f>
        <v>545.20000000000005</v>
      </c>
      <c r="W418" s="6" cm="1">
        <f t="array" ref="W418">_xlfn.IFS(
P418="FLAT8",8%,
P418="FLAT10",10%,
P418="FLAT15",15%,P418="FLAT20",20%,P418="DEL0",0%,
TRUE,0%
)</f>
        <v>0.08</v>
      </c>
      <c r="X418" s="5">
        <f>Table1[[#This Row],[Amount]]-(Table1[[#This Row],[Amount]]*Table1[[#This Row],[Discount_Percentage]])</f>
        <v>501.58400000000006</v>
      </c>
      <c r="Y418" s="5">
        <f>IF(P418="DEL0",Table1[[#This Row],[Discount_Amount]],Table1[[#This Row],[Discount_Amount]]+Table1[[#This Row],[Delivery_Charge]])</f>
        <v>553.58400000000006</v>
      </c>
      <c r="Z418" s="7" t="str">
        <f>_xlfn.CONCAT(Table1[[#This Row],[First_Name]],"  ",Table1[[#This Row],[Last_Name]])</f>
        <v>Gina  Moreno</v>
      </c>
      <c r="AA418" s="5" t="str" cm="1">
        <f t="array" ref="AA418">_xlfn.IFS( (S418-K418)&gt;Q418,"Late", (S418-K418)=Q418,"InTime", (S418-K418)&lt;Q418,"BeforeTime" )</f>
        <v>BeforeTime</v>
      </c>
      <c r="AB418" s="3">
        <f>MONTH(Table1[[#This Row],[Order_Date]])</f>
        <v>3</v>
      </c>
    </row>
    <row r="419" spans="1:28" x14ac:dyDescent="0.3">
      <c r="A419" s="3" t="s">
        <v>107</v>
      </c>
      <c r="B419" s="3" t="s">
        <v>108</v>
      </c>
      <c r="C419" s="3" t="s">
        <v>109</v>
      </c>
      <c r="D419" s="3" t="str">
        <f>_xlfn.CONCAT(Table1[[#This Row],[First_Name]],Table1[[#This Row],[Last_Name]])</f>
        <v>DebraRodriguez</v>
      </c>
      <c r="E419" s="3">
        <v>48</v>
      </c>
      <c r="F419" s="3" t="s">
        <v>52</v>
      </c>
      <c r="G419" s="3" t="s">
        <v>42</v>
      </c>
      <c r="H419" s="3" t="s">
        <v>110</v>
      </c>
      <c r="I419" s="3" t="s">
        <v>111</v>
      </c>
      <c r="J419" s="3" t="s">
        <v>1791</v>
      </c>
      <c r="K419" s="4">
        <v>45661</v>
      </c>
      <c r="L419" s="3" t="s">
        <v>1007</v>
      </c>
      <c r="M419" s="3" t="s">
        <v>287</v>
      </c>
      <c r="N419" s="3">
        <v>157.63999999999999</v>
      </c>
      <c r="O419" s="3">
        <v>4</v>
      </c>
      <c r="P419" s="3" t="s">
        <v>63</v>
      </c>
      <c r="Q419" s="3">
        <v>7</v>
      </c>
      <c r="R419" s="3">
        <v>42</v>
      </c>
      <c r="S419" s="4">
        <v>45663</v>
      </c>
      <c r="T419" s="3" t="s">
        <v>1792</v>
      </c>
      <c r="U419" s="5">
        <f>Table1[[#This Row],[Delivery_Date]]-Table1[[#This Row],[Order_Date]]</f>
        <v>2</v>
      </c>
      <c r="V419" s="5">
        <f>Table1[[#This Row],[Price]]*Table1[[#This Row],[Quantity]]</f>
        <v>630.55999999999995</v>
      </c>
      <c r="W419" s="6" cm="1">
        <f t="array" ref="W419">_xlfn.IFS(
P419="FLAT8",8%,
P419="FLAT10",10%,
P419="FLAT15",15%,P419="FLAT20",20%,P419="DEL0",0%,
TRUE,0%
)</f>
        <v>0</v>
      </c>
      <c r="X419" s="5">
        <f>Table1[[#This Row],[Amount]]-(Table1[[#This Row],[Amount]]*Table1[[#This Row],[Discount_Percentage]])</f>
        <v>630.55999999999995</v>
      </c>
      <c r="Y419" s="5">
        <f>IF(P419="DEL0",Table1[[#This Row],[Discount_Amount]],Table1[[#This Row],[Discount_Amount]]+Table1[[#This Row],[Delivery_Charge]])</f>
        <v>630.55999999999995</v>
      </c>
      <c r="Z419" s="7" t="str">
        <f>_xlfn.CONCAT(Table1[[#This Row],[First_Name]],"  ",Table1[[#This Row],[Last_Name]])</f>
        <v>Debra  Rodriguez</v>
      </c>
      <c r="AA419" s="5" t="str" cm="1">
        <f t="array" ref="AA419">_xlfn.IFS( (S419-K419)&gt;Q419,"Late", (S419-K419)=Q419,"InTime", (S419-K419)&lt;Q419,"BeforeTime" )</f>
        <v>BeforeTime</v>
      </c>
      <c r="AB419" s="3">
        <f>MONTH(Table1[[#This Row],[Order_Date]])</f>
        <v>1</v>
      </c>
    </row>
    <row r="420" spans="1:28" x14ac:dyDescent="0.3">
      <c r="A420" s="3" t="s">
        <v>507</v>
      </c>
      <c r="B420" s="3" t="s">
        <v>508</v>
      </c>
      <c r="C420" s="3" t="s">
        <v>509</v>
      </c>
      <c r="D420" s="3" t="str">
        <f>_xlfn.CONCAT(Table1[[#This Row],[First_Name]],Table1[[#This Row],[Last_Name]])</f>
        <v>SarahButler</v>
      </c>
      <c r="E420" s="3">
        <v>64</v>
      </c>
      <c r="F420" s="3" t="s">
        <v>29</v>
      </c>
      <c r="G420" s="3" t="s">
        <v>30</v>
      </c>
      <c r="H420" s="3" t="s">
        <v>510</v>
      </c>
      <c r="I420" s="3" t="s">
        <v>511</v>
      </c>
      <c r="J420" s="3" t="s">
        <v>1793</v>
      </c>
      <c r="K420" s="4">
        <v>45147</v>
      </c>
      <c r="L420" s="3" t="s">
        <v>1794</v>
      </c>
      <c r="M420" s="3" t="s">
        <v>941</v>
      </c>
      <c r="N420" s="3">
        <v>107.47</v>
      </c>
      <c r="O420" s="3">
        <v>5</v>
      </c>
      <c r="P420" s="3" t="s">
        <v>85</v>
      </c>
      <c r="Q420" s="3">
        <v>6</v>
      </c>
      <c r="R420" s="3">
        <v>47</v>
      </c>
      <c r="S420" s="4">
        <v>45149</v>
      </c>
      <c r="T420" s="3" t="s">
        <v>1795</v>
      </c>
      <c r="U420" s="5">
        <f>Table1[[#This Row],[Delivery_Date]]-Table1[[#This Row],[Order_Date]]</f>
        <v>2</v>
      </c>
      <c r="V420" s="5">
        <f>Table1[[#This Row],[Price]]*Table1[[#This Row],[Quantity]]</f>
        <v>537.35</v>
      </c>
      <c r="W420" s="6" cm="1">
        <f t="array" ref="W420">_xlfn.IFS(
P420="FLAT8",8%,
P420="FLAT10",10%,
P420="FLAT15",15%,P420="FLAT20",20%,P420="DEL0",0%,
TRUE,0%
)</f>
        <v>0.2</v>
      </c>
      <c r="X420" s="5">
        <f>Table1[[#This Row],[Amount]]-(Table1[[#This Row],[Amount]]*Table1[[#This Row],[Discount_Percentage]])</f>
        <v>429.88</v>
      </c>
      <c r="Y420" s="5">
        <f>IF(P420="DEL0",Table1[[#This Row],[Discount_Amount]],Table1[[#This Row],[Discount_Amount]]+Table1[[#This Row],[Delivery_Charge]])</f>
        <v>476.88</v>
      </c>
      <c r="Z420" s="7" t="str">
        <f>_xlfn.CONCAT(Table1[[#This Row],[First_Name]],"  ",Table1[[#This Row],[Last_Name]])</f>
        <v>Sarah  Butler</v>
      </c>
      <c r="AA420" s="5" t="str" cm="1">
        <f t="array" ref="AA420">_xlfn.IFS( (S420-K420)&gt;Q420,"Late", (S420-K420)=Q420,"InTime", (S420-K420)&lt;Q420,"BeforeTime" )</f>
        <v>BeforeTime</v>
      </c>
      <c r="AB420" s="3">
        <f>MONTH(Table1[[#This Row],[Order_Date]])</f>
        <v>8</v>
      </c>
    </row>
    <row r="421" spans="1:28" x14ac:dyDescent="0.3">
      <c r="A421" s="3" t="s">
        <v>366</v>
      </c>
      <c r="B421" s="3" t="s">
        <v>367</v>
      </c>
      <c r="C421" s="3" t="s">
        <v>368</v>
      </c>
      <c r="D421" s="3" t="str">
        <f>_xlfn.CONCAT(Table1[[#This Row],[First_Name]],Table1[[#This Row],[Last_Name]])</f>
        <v>TimothyHicks</v>
      </c>
      <c r="E421" s="3">
        <v>31</v>
      </c>
      <c r="F421" s="3" t="s">
        <v>52</v>
      </c>
      <c r="G421" s="3" t="s">
        <v>140</v>
      </c>
      <c r="H421" s="3" t="s">
        <v>369</v>
      </c>
      <c r="I421" s="3" t="s">
        <v>370</v>
      </c>
      <c r="J421" s="3" t="s">
        <v>1796</v>
      </c>
      <c r="K421" s="4">
        <v>45653</v>
      </c>
      <c r="L421" s="3" t="s">
        <v>1797</v>
      </c>
      <c r="M421" s="3" t="s">
        <v>250</v>
      </c>
      <c r="N421" s="3">
        <v>128.13999999999999</v>
      </c>
      <c r="O421" s="3">
        <v>1</v>
      </c>
      <c r="P421" s="3" t="s">
        <v>63</v>
      </c>
      <c r="Q421" s="3">
        <v>3</v>
      </c>
      <c r="R421" s="3">
        <v>55</v>
      </c>
      <c r="S421" s="4">
        <v>45655</v>
      </c>
      <c r="T421" s="3" t="s">
        <v>1798</v>
      </c>
      <c r="U421" s="5">
        <f>Table1[[#This Row],[Delivery_Date]]-Table1[[#This Row],[Order_Date]]</f>
        <v>2</v>
      </c>
      <c r="V421" s="5">
        <f>Table1[[#This Row],[Price]]*Table1[[#This Row],[Quantity]]</f>
        <v>128.13999999999999</v>
      </c>
      <c r="W421" s="6" cm="1">
        <f t="array" ref="W421">_xlfn.IFS(
P421="FLAT8",8%,
P421="FLAT10",10%,
P421="FLAT15",15%,P421="FLAT20",20%,P421="DEL0",0%,
TRUE,0%
)</f>
        <v>0</v>
      </c>
      <c r="X421" s="5">
        <f>Table1[[#This Row],[Amount]]-(Table1[[#This Row],[Amount]]*Table1[[#This Row],[Discount_Percentage]])</f>
        <v>128.13999999999999</v>
      </c>
      <c r="Y421" s="5">
        <f>IF(P421="DEL0",Table1[[#This Row],[Discount_Amount]],Table1[[#This Row],[Discount_Amount]]+Table1[[#This Row],[Delivery_Charge]])</f>
        <v>128.13999999999999</v>
      </c>
      <c r="Z421" s="7" t="str">
        <f>_xlfn.CONCAT(Table1[[#This Row],[First_Name]],"  ",Table1[[#This Row],[Last_Name]])</f>
        <v>Timothy  Hicks</v>
      </c>
      <c r="AA421" s="5" t="str" cm="1">
        <f t="array" ref="AA421">_xlfn.IFS( (S421-K421)&gt;Q421,"Late", (S421-K421)=Q421,"InTime", (S421-K421)&lt;Q421,"BeforeTime" )</f>
        <v>BeforeTime</v>
      </c>
      <c r="AB421" s="3">
        <f>MONTH(Table1[[#This Row],[Order_Date]])</f>
        <v>12</v>
      </c>
    </row>
    <row r="422" spans="1:28" x14ac:dyDescent="0.3">
      <c r="A422" s="3" t="s">
        <v>546</v>
      </c>
      <c r="B422" s="3" t="s">
        <v>547</v>
      </c>
      <c r="C422" s="3" t="s">
        <v>548</v>
      </c>
      <c r="D422" s="3" t="str">
        <f>_xlfn.CONCAT(Table1[[#This Row],[First_Name]],Table1[[#This Row],[Last_Name]])</f>
        <v>JodiWhitney</v>
      </c>
      <c r="E422" s="3">
        <v>33</v>
      </c>
      <c r="F422" s="3" t="s">
        <v>52</v>
      </c>
      <c r="G422" s="3" t="s">
        <v>168</v>
      </c>
      <c r="H422" s="3" t="s">
        <v>549</v>
      </c>
      <c r="I422" s="3" t="s">
        <v>550</v>
      </c>
      <c r="J422" s="3" t="s">
        <v>1799</v>
      </c>
      <c r="K422" s="4">
        <v>45351</v>
      </c>
      <c r="L422" s="3" t="s">
        <v>1800</v>
      </c>
      <c r="M422" s="3" t="s">
        <v>553</v>
      </c>
      <c r="N422" s="3">
        <v>425.59</v>
      </c>
      <c r="O422" s="3">
        <v>2</v>
      </c>
      <c r="P422" s="3" t="s">
        <v>96</v>
      </c>
      <c r="Q422" s="3">
        <v>4</v>
      </c>
      <c r="R422" s="3">
        <v>64</v>
      </c>
      <c r="S422" s="4">
        <v>45358</v>
      </c>
      <c r="T422" s="3" t="s">
        <v>1801</v>
      </c>
      <c r="U422" s="5">
        <f>Table1[[#This Row],[Delivery_Date]]-Table1[[#This Row],[Order_Date]]</f>
        <v>7</v>
      </c>
      <c r="V422" s="5">
        <f>Table1[[#This Row],[Price]]*Table1[[#This Row],[Quantity]]</f>
        <v>851.18</v>
      </c>
      <c r="W422" s="6" cm="1">
        <f t="array" ref="W422">_xlfn.IFS(
P422="FLAT8",8%,
P422="FLAT10",10%,
P422="FLAT15",15%,P422="FLAT20",20%,P422="DEL0",0%,
TRUE,0%
)</f>
        <v>0.1</v>
      </c>
      <c r="X422" s="5">
        <f>Table1[[#This Row],[Amount]]-(Table1[[#This Row],[Amount]]*Table1[[#This Row],[Discount_Percentage]])</f>
        <v>766.0619999999999</v>
      </c>
      <c r="Y422" s="5">
        <f>IF(P422="DEL0",Table1[[#This Row],[Discount_Amount]],Table1[[#This Row],[Discount_Amount]]+Table1[[#This Row],[Delivery_Charge]])</f>
        <v>830.0619999999999</v>
      </c>
      <c r="Z422" s="7" t="str">
        <f>_xlfn.CONCAT(Table1[[#This Row],[First_Name]],"  ",Table1[[#This Row],[Last_Name]])</f>
        <v>Jodi  Whitney</v>
      </c>
      <c r="AA422" s="5" t="str" cm="1">
        <f t="array" ref="AA422">_xlfn.IFS( (S422-K422)&gt;Q422,"Late", (S422-K422)=Q422,"InTime", (S422-K422)&lt;Q422,"BeforeTime" )</f>
        <v>Late</v>
      </c>
      <c r="AB422" s="3">
        <f>MONTH(Table1[[#This Row],[Order_Date]])</f>
        <v>2</v>
      </c>
    </row>
    <row r="423" spans="1:28" x14ac:dyDescent="0.3">
      <c r="A423" s="3" t="s">
        <v>401</v>
      </c>
      <c r="B423" s="3" t="s">
        <v>402</v>
      </c>
      <c r="C423" s="3" t="s">
        <v>403</v>
      </c>
      <c r="D423" s="3" t="str">
        <f>_xlfn.CONCAT(Table1[[#This Row],[First_Name]],Table1[[#This Row],[Last_Name]])</f>
        <v>AlexandraSmith</v>
      </c>
      <c r="E423" s="3">
        <v>70</v>
      </c>
      <c r="F423" s="3" t="s">
        <v>29</v>
      </c>
      <c r="G423" s="3" t="s">
        <v>30</v>
      </c>
      <c r="H423" s="3" t="s">
        <v>404</v>
      </c>
      <c r="I423" s="3" t="s">
        <v>405</v>
      </c>
      <c r="J423" s="3" t="s">
        <v>1802</v>
      </c>
      <c r="K423" s="4">
        <v>45622</v>
      </c>
      <c r="L423" s="3" t="s">
        <v>1803</v>
      </c>
      <c r="M423" s="3" t="s">
        <v>984</v>
      </c>
      <c r="N423" s="3">
        <v>33.49</v>
      </c>
      <c r="O423" s="3">
        <v>5</v>
      </c>
      <c r="P423" s="3" t="s">
        <v>85</v>
      </c>
      <c r="Q423" s="3">
        <v>5</v>
      </c>
      <c r="R423" s="3">
        <v>64</v>
      </c>
      <c r="S423" s="4">
        <v>45628</v>
      </c>
      <c r="T423" s="3" t="s">
        <v>1804</v>
      </c>
      <c r="U423" s="5">
        <f>Table1[[#This Row],[Delivery_Date]]-Table1[[#This Row],[Order_Date]]</f>
        <v>6</v>
      </c>
      <c r="V423" s="5">
        <f>Table1[[#This Row],[Price]]*Table1[[#This Row],[Quantity]]</f>
        <v>167.45000000000002</v>
      </c>
      <c r="W423" s="6" cm="1">
        <f t="array" ref="W423">_xlfn.IFS(
P423="FLAT8",8%,
P423="FLAT10",10%,
P423="FLAT15",15%,P423="FLAT20",20%,P423="DEL0",0%,
TRUE,0%
)</f>
        <v>0.2</v>
      </c>
      <c r="X423" s="5">
        <f>Table1[[#This Row],[Amount]]-(Table1[[#This Row],[Amount]]*Table1[[#This Row],[Discount_Percentage]])</f>
        <v>133.96</v>
      </c>
      <c r="Y423" s="5">
        <f>IF(P423="DEL0",Table1[[#This Row],[Discount_Amount]],Table1[[#This Row],[Discount_Amount]]+Table1[[#This Row],[Delivery_Charge]])</f>
        <v>197.96</v>
      </c>
      <c r="Z423" s="7" t="str">
        <f>_xlfn.CONCAT(Table1[[#This Row],[First_Name]],"  ",Table1[[#This Row],[Last_Name]])</f>
        <v>Alexandra  Smith</v>
      </c>
      <c r="AA423" s="5" t="str" cm="1">
        <f t="array" ref="AA423">_xlfn.IFS( (S423-K423)&gt;Q423,"Late", (S423-K423)=Q423,"InTime", (S423-K423)&lt;Q423,"BeforeTime" )</f>
        <v>Late</v>
      </c>
      <c r="AB423" s="3">
        <f>MONTH(Table1[[#This Row],[Order_Date]])</f>
        <v>11</v>
      </c>
    </row>
    <row r="424" spans="1:28" x14ac:dyDescent="0.3">
      <c r="A424" s="3" t="s">
        <v>236</v>
      </c>
      <c r="B424" s="3" t="s">
        <v>66</v>
      </c>
      <c r="C424" s="3" t="s">
        <v>237</v>
      </c>
      <c r="D424" s="3" t="str">
        <f>_xlfn.CONCAT(Table1[[#This Row],[First_Name]],Table1[[#This Row],[Last_Name]])</f>
        <v>AngelaEvans</v>
      </c>
      <c r="E424" s="3">
        <v>52</v>
      </c>
      <c r="F424" s="3" t="s">
        <v>52</v>
      </c>
      <c r="G424" s="3" t="s">
        <v>42</v>
      </c>
      <c r="H424" s="3" t="s">
        <v>238</v>
      </c>
      <c r="I424" s="3" t="s">
        <v>239</v>
      </c>
      <c r="J424" s="3" t="s">
        <v>1805</v>
      </c>
      <c r="K424" s="4">
        <v>45269</v>
      </c>
      <c r="L424" s="3" t="s">
        <v>1806</v>
      </c>
      <c r="M424" s="3" t="s">
        <v>657</v>
      </c>
      <c r="N424" s="3">
        <v>235.63</v>
      </c>
      <c r="O424" s="3">
        <v>1</v>
      </c>
      <c r="P424" s="3" t="s">
        <v>63</v>
      </c>
      <c r="Q424" s="3">
        <v>6</v>
      </c>
      <c r="R424" s="3">
        <v>35</v>
      </c>
      <c r="S424" s="4">
        <v>45272</v>
      </c>
      <c r="T424" s="3" t="s">
        <v>1807</v>
      </c>
      <c r="U424" s="5">
        <f>Table1[[#This Row],[Delivery_Date]]-Table1[[#This Row],[Order_Date]]</f>
        <v>3</v>
      </c>
      <c r="V424" s="5">
        <f>Table1[[#This Row],[Price]]*Table1[[#This Row],[Quantity]]</f>
        <v>235.63</v>
      </c>
      <c r="W424" s="6" cm="1">
        <f t="array" ref="W424">_xlfn.IFS(
P424="FLAT8",8%,
P424="FLAT10",10%,
P424="FLAT15",15%,P424="FLAT20",20%,P424="DEL0",0%,
TRUE,0%
)</f>
        <v>0</v>
      </c>
      <c r="X424" s="5">
        <f>Table1[[#This Row],[Amount]]-(Table1[[#This Row],[Amount]]*Table1[[#This Row],[Discount_Percentage]])</f>
        <v>235.63</v>
      </c>
      <c r="Y424" s="5">
        <f>IF(P424="DEL0",Table1[[#This Row],[Discount_Amount]],Table1[[#This Row],[Discount_Amount]]+Table1[[#This Row],[Delivery_Charge]])</f>
        <v>235.63</v>
      </c>
      <c r="Z424" s="7" t="str">
        <f>_xlfn.CONCAT(Table1[[#This Row],[First_Name]],"  ",Table1[[#This Row],[Last_Name]])</f>
        <v>Angela  Evans</v>
      </c>
      <c r="AA424" s="5" t="str" cm="1">
        <f t="array" ref="AA424">_xlfn.IFS( (S424-K424)&gt;Q424,"Late", (S424-K424)=Q424,"InTime", (S424-K424)&lt;Q424,"BeforeTime" )</f>
        <v>BeforeTime</v>
      </c>
      <c r="AB424" s="3">
        <f>MONTH(Table1[[#This Row],[Order_Date]])</f>
        <v>12</v>
      </c>
    </row>
    <row r="425" spans="1:28" x14ac:dyDescent="0.3">
      <c r="A425" s="3" t="s">
        <v>1457</v>
      </c>
      <c r="B425" s="3" t="s">
        <v>273</v>
      </c>
      <c r="C425" s="3" t="s">
        <v>1458</v>
      </c>
      <c r="D425" s="3" t="str">
        <f>_xlfn.CONCAT(Table1[[#This Row],[First_Name]],Table1[[#This Row],[Last_Name]])</f>
        <v>LaurenLane</v>
      </c>
      <c r="E425" s="3">
        <v>30</v>
      </c>
      <c r="F425" s="3" t="s">
        <v>29</v>
      </c>
      <c r="G425" s="3" t="s">
        <v>220</v>
      </c>
      <c r="H425" s="3" t="s">
        <v>1459</v>
      </c>
      <c r="I425" s="3" t="s">
        <v>1460</v>
      </c>
      <c r="J425" s="3" t="s">
        <v>1808</v>
      </c>
      <c r="K425" s="4">
        <v>45695</v>
      </c>
      <c r="L425" s="3" t="s">
        <v>1809</v>
      </c>
      <c r="M425" s="3" t="s">
        <v>774</v>
      </c>
      <c r="N425" s="3">
        <v>20</v>
      </c>
      <c r="O425" s="3">
        <v>3</v>
      </c>
      <c r="P425" s="3" t="s">
        <v>96</v>
      </c>
      <c r="Q425" s="3">
        <v>7</v>
      </c>
      <c r="R425" s="3">
        <v>65</v>
      </c>
      <c r="S425" s="4">
        <v>45701</v>
      </c>
      <c r="T425" s="3" t="s">
        <v>1810</v>
      </c>
      <c r="U425" s="5">
        <f>Table1[[#This Row],[Delivery_Date]]-Table1[[#This Row],[Order_Date]]</f>
        <v>6</v>
      </c>
      <c r="V425" s="5">
        <f>Table1[[#This Row],[Price]]*Table1[[#This Row],[Quantity]]</f>
        <v>60</v>
      </c>
      <c r="W425" s="6" cm="1">
        <f t="array" ref="W425">_xlfn.IFS(
P425="FLAT8",8%,
P425="FLAT10",10%,
P425="FLAT15",15%,P425="FLAT20",20%,P425="DEL0",0%,
TRUE,0%
)</f>
        <v>0.1</v>
      </c>
      <c r="X425" s="5">
        <f>Table1[[#This Row],[Amount]]-(Table1[[#This Row],[Amount]]*Table1[[#This Row],[Discount_Percentage]])</f>
        <v>54</v>
      </c>
      <c r="Y425" s="5">
        <f>IF(P425="DEL0",Table1[[#This Row],[Discount_Amount]],Table1[[#This Row],[Discount_Amount]]+Table1[[#This Row],[Delivery_Charge]])</f>
        <v>119</v>
      </c>
      <c r="Z425" s="7" t="str">
        <f>_xlfn.CONCAT(Table1[[#This Row],[First_Name]],"  ",Table1[[#This Row],[Last_Name]])</f>
        <v>Lauren  Lane</v>
      </c>
      <c r="AA425" s="5" t="str" cm="1">
        <f t="array" ref="AA425">_xlfn.IFS( (S425-K425)&gt;Q425,"Late", (S425-K425)=Q425,"InTime", (S425-K425)&lt;Q425,"BeforeTime" )</f>
        <v>BeforeTime</v>
      </c>
      <c r="AB425" s="3">
        <f>MONTH(Table1[[#This Row],[Order_Date]])</f>
        <v>2</v>
      </c>
    </row>
    <row r="426" spans="1:28" x14ac:dyDescent="0.3">
      <c r="A426" s="3" t="s">
        <v>731</v>
      </c>
      <c r="B426" s="3" t="s">
        <v>732</v>
      </c>
      <c r="C426" s="3" t="s">
        <v>733</v>
      </c>
      <c r="D426" s="3" t="str">
        <f>_xlfn.CONCAT(Table1[[#This Row],[First_Name]],Table1[[#This Row],[Last_Name]])</f>
        <v>MelissaLevy</v>
      </c>
      <c r="E426" s="3">
        <v>30</v>
      </c>
      <c r="F426" s="3" t="s">
        <v>29</v>
      </c>
      <c r="G426" s="3" t="s">
        <v>159</v>
      </c>
      <c r="H426" s="3" t="s">
        <v>734</v>
      </c>
      <c r="I426" s="3" t="s">
        <v>735</v>
      </c>
      <c r="J426" s="3" t="s">
        <v>1811</v>
      </c>
      <c r="K426" s="4">
        <v>45587</v>
      </c>
      <c r="L426" s="3" t="s">
        <v>1812</v>
      </c>
      <c r="M426" s="3" t="s">
        <v>984</v>
      </c>
      <c r="N426" s="3">
        <v>33.49</v>
      </c>
      <c r="O426" s="3">
        <v>5</v>
      </c>
      <c r="P426" s="3" t="s">
        <v>85</v>
      </c>
      <c r="Q426" s="3">
        <v>2</v>
      </c>
      <c r="R426" s="3">
        <v>58</v>
      </c>
      <c r="S426" s="4">
        <v>45589</v>
      </c>
      <c r="T426" s="3" t="s">
        <v>1813</v>
      </c>
      <c r="U426" s="5">
        <f>Table1[[#This Row],[Delivery_Date]]-Table1[[#This Row],[Order_Date]]</f>
        <v>2</v>
      </c>
      <c r="V426" s="5">
        <f>Table1[[#This Row],[Price]]*Table1[[#This Row],[Quantity]]</f>
        <v>167.45000000000002</v>
      </c>
      <c r="W426" s="6" cm="1">
        <f t="array" ref="W426">_xlfn.IFS(
P426="FLAT8",8%,
P426="FLAT10",10%,
P426="FLAT15",15%,P426="FLAT20",20%,P426="DEL0",0%,
TRUE,0%
)</f>
        <v>0.2</v>
      </c>
      <c r="X426" s="5">
        <f>Table1[[#This Row],[Amount]]-(Table1[[#This Row],[Amount]]*Table1[[#This Row],[Discount_Percentage]])</f>
        <v>133.96</v>
      </c>
      <c r="Y426" s="5">
        <f>IF(P426="DEL0",Table1[[#This Row],[Discount_Amount]],Table1[[#This Row],[Discount_Amount]]+Table1[[#This Row],[Delivery_Charge]])</f>
        <v>191.96</v>
      </c>
      <c r="Z426" s="7" t="str">
        <f>_xlfn.CONCAT(Table1[[#This Row],[First_Name]],"  ",Table1[[#This Row],[Last_Name]])</f>
        <v>Melissa  Levy</v>
      </c>
      <c r="AA426" s="5" t="str" cm="1">
        <f t="array" ref="AA426">_xlfn.IFS( (S426-K426)&gt;Q426,"Late", (S426-K426)=Q426,"InTime", (S426-K426)&lt;Q426,"BeforeTime" )</f>
        <v>InTime</v>
      </c>
      <c r="AB426" s="3">
        <f>MONTH(Table1[[#This Row],[Order_Date]])</f>
        <v>10</v>
      </c>
    </row>
    <row r="427" spans="1:28" x14ac:dyDescent="0.3">
      <c r="A427" s="3" t="s">
        <v>646</v>
      </c>
      <c r="B427" s="3" t="s">
        <v>647</v>
      </c>
      <c r="C427" s="3" t="s">
        <v>648</v>
      </c>
      <c r="D427" s="3" t="str">
        <f>_xlfn.CONCAT(Table1[[#This Row],[First_Name]],Table1[[#This Row],[Last_Name]])</f>
        <v>BethMason</v>
      </c>
      <c r="E427" s="3">
        <v>45</v>
      </c>
      <c r="F427" s="3" t="s">
        <v>52</v>
      </c>
      <c r="G427" s="3" t="s">
        <v>90</v>
      </c>
      <c r="H427" s="3" t="s">
        <v>649</v>
      </c>
      <c r="I427" s="3" t="s">
        <v>650</v>
      </c>
      <c r="J427" s="3" t="s">
        <v>1814</v>
      </c>
      <c r="K427" s="4">
        <v>44987</v>
      </c>
      <c r="L427" s="3" t="s">
        <v>1815</v>
      </c>
      <c r="M427" s="3" t="s">
        <v>514</v>
      </c>
      <c r="N427" s="3">
        <v>136.30000000000001</v>
      </c>
      <c r="O427" s="3">
        <v>1</v>
      </c>
      <c r="P427" s="3" t="s">
        <v>36</v>
      </c>
      <c r="Q427" s="3">
        <v>4</v>
      </c>
      <c r="R427" s="3">
        <v>41</v>
      </c>
      <c r="S427" s="4">
        <v>44988</v>
      </c>
      <c r="T427" s="3" t="s">
        <v>1816</v>
      </c>
      <c r="U427" s="5">
        <f>Table1[[#This Row],[Delivery_Date]]-Table1[[#This Row],[Order_Date]]</f>
        <v>1</v>
      </c>
      <c r="V427" s="5">
        <f>Table1[[#This Row],[Price]]*Table1[[#This Row],[Quantity]]</f>
        <v>136.30000000000001</v>
      </c>
      <c r="W427" s="6" cm="1">
        <f t="array" ref="W427">_xlfn.IFS(
P427="FLAT8",8%,
P427="FLAT10",10%,
P427="FLAT15",15%,P427="FLAT20",20%,P427="DEL0",0%,
TRUE,0%
)</f>
        <v>0.08</v>
      </c>
      <c r="X427" s="5">
        <f>Table1[[#This Row],[Amount]]-(Table1[[#This Row],[Amount]]*Table1[[#This Row],[Discount_Percentage]])</f>
        <v>125.39600000000002</v>
      </c>
      <c r="Y427" s="5">
        <f>IF(P427="DEL0",Table1[[#This Row],[Discount_Amount]],Table1[[#This Row],[Discount_Amount]]+Table1[[#This Row],[Delivery_Charge]])</f>
        <v>166.39600000000002</v>
      </c>
      <c r="Z427" s="7" t="str">
        <f>_xlfn.CONCAT(Table1[[#This Row],[First_Name]],"  ",Table1[[#This Row],[Last_Name]])</f>
        <v>Beth  Mason</v>
      </c>
      <c r="AA427" s="5" t="str" cm="1">
        <f t="array" ref="AA427">_xlfn.IFS( (S427-K427)&gt;Q427,"Late", (S427-K427)=Q427,"InTime", (S427-K427)&lt;Q427,"BeforeTime" )</f>
        <v>BeforeTime</v>
      </c>
      <c r="AB427" s="3">
        <f>MONTH(Table1[[#This Row],[Order_Date]])</f>
        <v>3</v>
      </c>
    </row>
    <row r="428" spans="1:28" x14ac:dyDescent="0.3">
      <c r="A428" s="3" t="s">
        <v>1817</v>
      </c>
      <c r="B428" s="3" t="s">
        <v>1818</v>
      </c>
      <c r="C428" s="3" t="s">
        <v>194</v>
      </c>
      <c r="D428" s="3" t="str">
        <f>_xlfn.CONCAT(Table1[[#This Row],[First_Name]],Table1[[#This Row],[Last_Name]])</f>
        <v>ScottJones</v>
      </c>
      <c r="E428" s="3">
        <v>29</v>
      </c>
      <c r="F428" s="3" t="s">
        <v>52</v>
      </c>
      <c r="G428" s="3" t="s">
        <v>90</v>
      </c>
      <c r="H428" s="3" t="s">
        <v>1819</v>
      </c>
      <c r="I428" s="3" t="s">
        <v>1820</v>
      </c>
      <c r="J428" s="3" t="s">
        <v>1821</v>
      </c>
      <c r="K428" s="4">
        <v>45537</v>
      </c>
      <c r="L428" s="3" t="s">
        <v>1822</v>
      </c>
      <c r="M428" s="3" t="s">
        <v>270</v>
      </c>
      <c r="N428" s="3">
        <v>62.42</v>
      </c>
      <c r="O428" s="3">
        <v>1</v>
      </c>
      <c r="P428" s="3" t="s">
        <v>36</v>
      </c>
      <c r="Q428" s="3">
        <v>3</v>
      </c>
      <c r="R428" s="3">
        <v>48</v>
      </c>
      <c r="S428" s="4">
        <v>45542</v>
      </c>
      <c r="T428" s="3" t="s">
        <v>1823</v>
      </c>
      <c r="U428" s="5">
        <f>Table1[[#This Row],[Delivery_Date]]-Table1[[#This Row],[Order_Date]]</f>
        <v>5</v>
      </c>
      <c r="V428" s="5">
        <f>Table1[[#This Row],[Price]]*Table1[[#This Row],[Quantity]]</f>
        <v>62.42</v>
      </c>
      <c r="W428" s="6" cm="1">
        <f t="array" ref="W428">_xlfn.IFS(
P428="FLAT8",8%,
P428="FLAT10",10%,
P428="FLAT15",15%,P428="FLAT20",20%,P428="DEL0",0%,
TRUE,0%
)</f>
        <v>0.08</v>
      </c>
      <c r="X428" s="5">
        <f>Table1[[#This Row],[Amount]]-(Table1[[#This Row],[Amount]]*Table1[[#This Row],[Discount_Percentage]])</f>
        <v>57.426400000000001</v>
      </c>
      <c r="Y428" s="5">
        <f>IF(P428="DEL0",Table1[[#This Row],[Discount_Amount]],Table1[[#This Row],[Discount_Amount]]+Table1[[#This Row],[Delivery_Charge]])</f>
        <v>105.4264</v>
      </c>
      <c r="Z428" s="7" t="str">
        <f>_xlfn.CONCAT(Table1[[#This Row],[First_Name]],"  ",Table1[[#This Row],[Last_Name]])</f>
        <v>Scott  Jones</v>
      </c>
      <c r="AA428" s="5" t="str" cm="1">
        <f t="array" ref="AA428">_xlfn.IFS( (S428-K428)&gt;Q428,"Late", (S428-K428)=Q428,"InTime", (S428-K428)&lt;Q428,"BeforeTime" )</f>
        <v>Late</v>
      </c>
      <c r="AB428" s="3">
        <f>MONTH(Table1[[#This Row],[Order_Date]])</f>
        <v>9</v>
      </c>
    </row>
    <row r="429" spans="1:28" x14ac:dyDescent="0.3">
      <c r="A429" s="3" t="s">
        <v>520</v>
      </c>
      <c r="B429" s="3" t="s">
        <v>521</v>
      </c>
      <c r="C429" s="3" t="s">
        <v>522</v>
      </c>
      <c r="D429" s="3" t="str">
        <f>_xlfn.CONCAT(Table1[[#This Row],[First_Name]],Table1[[#This Row],[Last_Name]])</f>
        <v>KatherineWeber</v>
      </c>
      <c r="E429" s="3">
        <v>42</v>
      </c>
      <c r="F429" s="3" t="s">
        <v>52</v>
      </c>
      <c r="G429" s="3" t="s">
        <v>76</v>
      </c>
      <c r="H429" s="3" t="s">
        <v>523</v>
      </c>
      <c r="I429" s="3" t="s">
        <v>524</v>
      </c>
      <c r="J429" s="3" t="s">
        <v>1824</v>
      </c>
      <c r="K429" s="4">
        <v>45646</v>
      </c>
      <c r="L429" s="3" t="s">
        <v>1825</v>
      </c>
      <c r="M429" s="3" t="s">
        <v>553</v>
      </c>
      <c r="N429" s="3">
        <v>425.59</v>
      </c>
      <c r="O429" s="3">
        <v>5</v>
      </c>
      <c r="P429" s="3" t="s">
        <v>63</v>
      </c>
      <c r="Q429" s="3">
        <v>5</v>
      </c>
      <c r="R429" s="3">
        <v>47</v>
      </c>
      <c r="S429" s="4">
        <v>45652</v>
      </c>
      <c r="T429" s="3" t="s">
        <v>1826</v>
      </c>
      <c r="U429" s="5">
        <f>Table1[[#This Row],[Delivery_Date]]-Table1[[#This Row],[Order_Date]]</f>
        <v>6</v>
      </c>
      <c r="V429" s="5">
        <f>Table1[[#This Row],[Price]]*Table1[[#This Row],[Quantity]]</f>
        <v>2127.9499999999998</v>
      </c>
      <c r="W429" s="6" cm="1">
        <f t="array" ref="W429">_xlfn.IFS(
P429="FLAT8",8%,
P429="FLAT10",10%,
P429="FLAT15",15%,P429="FLAT20",20%,P429="DEL0",0%,
TRUE,0%
)</f>
        <v>0</v>
      </c>
      <c r="X429" s="5">
        <f>Table1[[#This Row],[Amount]]-(Table1[[#This Row],[Amount]]*Table1[[#This Row],[Discount_Percentage]])</f>
        <v>2127.9499999999998</v>
      </c>
      <c r="Y429" s="5">
        <f>IF(P429="DEL0",Table1[[#This Row],[Discount_Amount]],Table1[[#This Row],[Discount_Amount]]+Table1[[#This Row],[Delivery_Charge]])</f>
        <v>2127.9499999999998</v>
      </c>
      <c r="Z429" s="7" t="str">
        <f>_xlfn.CONCAT(Table1[[#This Row],[First_Name]],"  ",Table1[[#This Row],[Last_Name]])</f>
        <v>Katherine  Weber</v>
      </c>
      <c r="AA429" s="5" t="str" cm="1">
        <f t="array" ref="AA429">_xlfn.IFS( (S429-K429)&gt;Q429,"Late", (S429-K429)=Q429,"InTime", (S429-K429)&lt;Q429,"BeforeTime" )</f>
        <v>Late</v>
      </c>
      <c r="AB429" s="3">
        <f>MONTH(Table1[[#This Row],[Order_Date]])</f>
        <v>12</v>
      </c>
    </row>
    <row r="430" spans="1:28" x14ac:dyDescent="0.3">
      <c r="A430" s="3" t="s">
        <v>192</v>
      </c>
      <c r="B430" s="3" t="s">
        <v>193</v>
      </c>
      <c r="C430" s="3" t="s">
        <v>194</v>
      </c>
      <c r="D430" s="3" t="str">
        <f>_xlfn.CONCAT(Table1[[#This Row],[First_Name]],Table1[[#This Row],[Last_Name]])</f>
        <v>TraciJones</v>
      </c>
      <c r="E430" s="3">
        <v>34</v>
      </c>
      <c r="F430" s="3" t="s">
        <v>29</v>
      </c>
      <c r="G430" s="3" t="s">
        <v>90</v>
      </c>
      <c r="H430" s="3" t="s">
        <v>195</v>
      </c>
      <c r="I430" s="3" t="s">
        <v>196</v>
      </c>
      <c r="J430" s="3" t="s">
        <v>1827</v>
      </c>
      <c r="K430" s="4">
        <v>45504</v>
      </c>
      <c r="L430" s="3" t="s">
        <v>1828</v>
      </c>
      <c r="M430" s="3" t="s">
        <v>941</v>
      </c>
      <c r="N430" s="3">
        <v>107.47</v>
      </c>
      <c r="O430" s="3">
        <v>5</v>
      </c>
      <c r="P430" s="3" t="s">
        <v>96</v>
      </c>
      <c r="Q430" s="3">
        <v>5</v>
      </c>
      <c r="R430" s="3">
        <v>48</v>
      </c>
      <c r="S430" s="4">
        <v>45505</v>
      </c>
      <c r="T430" s="3" t="s">
        <v>1829</v>
      </c>
      <c r="U430" s="5">
        <f>Table1[[#This Row],[Delivery_Date]]-Table1[[#This Row],[Order_Date]]</f>
        <v>1</v>
      </c>
      <c r="V430" s="5">
        <f>Table1[[#This Row],[Price]]*Table1[[#This Row],[Quantity]]</f>
        <v>537.35</v>
      </c>
      <c r="W430" s="6" cm="1">
        <f t="array" ref="W430">_xlfn.IFS(
P430="FLAT8",8%,
P430="FLAT10",10%,
P430="FLAT15",15%,P430="FLAT20",20%,P430="DEL0",0%,
TRUE,0%
)</f>
        <v>0.1</v>
      </c>
      <c r="X430" s="5">
        <f>Table1[[#This Row],[Amount]]-(Table1[[#This Row],[Amount]]*Table1[[#This Row],[Discount_Percentage]])</f>
        <v>483.61500000000001</v>
      </c>
      <c r="Y430" s="5">
        <f>IF(P430="DEL0",Table1[[#This Row],[Discount_Amount]],Table1[[#This Row],[Discount_Amount]]+Table1[[#This Row],[Delivery_Charge]])</f>
        <v>531.61500000000001</v>
      </c>
      <c r="Z430" s="7" t="str">
        <f>_xlfn.CONCAT(Table1[[#This Row],[First_Name]],"  ",Table1[[#This Row],[Last_Name]])</f>
        <v>Traci  Jones</v>
      </c>
      <c r="AA430" s="5" t="str" cm="1">
        <f t="array" ref="AA430">_xlfn.IFS( (S430-K430)&gt;Q430,"Late", (S430-K430)=Q430,"InTime", (S430-K430)&lt;Q430,"BeforeTime" )</f>
        <v>BeforeTime</v>
      </c>
      <c r="AB430" s="3">
        <f>MONTH(Table1[[#This Row],[Order_Date]])</f>
        <v>7</v>
      </c>
    </row>
    <row r="431" spans="1:28" x14ac:dyDescent="0.3">
      <c r="A431" s="3" t="s">
        <v>137</v>
      </c>
      <c r="B431" s="3" t="s">
        <v>138</v>
      </c>
      <c r="C431" s="3" t="s">
        <v>139</v>
      </c>
      <c r="D431" s="3" t="str">
        <f>_xlfn.CONCAT(Table1[[#This Row],[First_Name]],Table1[[#This Row],[Last_Name]])</f>
        <v>KaraBrennan</v>
      </c>
      <c r="E431" s="3">
        <v>25</v>
      </c>
      <c r="F431" s="3" t="s">
        <v>52</v>
      </c>
      <c r="G431" s="3" t="s">
        <v>140</v>
      </c>
      <c r="H431" s="3" t="s">
        <v>141</v>
      </c>
      <c r="I431" s="3" t="s">
        <v>142</v>
      </c>
      <c r="J431" s="3" t="s">
        <v>1830</v>
      </c>
      <c r="K431" s="4">
        <v>45271</v>
      </c>
      <c r="L431" s="3" t="s">
        <v>1831</v>
      </c>
      <c r="M431" s="3" t="s">
        <v>287</v>
      </c>
      <c r="N431" s="3">
        <v>157.63999999999999</v>
      </c>
      <c r="O431" s="3">
        <v>2</v>
      </c>
      <c r="P431" s="3" t="s">
        <v>63</v>
      </c>
      <c r="Q431" s="3">
        <v>5</v>
      </c>
      <c r="R431" s="3">
        <v>57</v>
      </c>
      <c r="S431" s="4">
        <v>45277</v>
      </c>
      <c r="T431" s="3" t="s">
        <v>1832</v>
      </c>
      <c r="U431" s="5">
        <f>Table1[[#This Row],[Delivery_Date]]-Table1[[#This Row],[Order_Date]]</f>
        <v>6</v>
      </c>
      <c r="V431" s="5">
        <f>Table1[[#This Row],[Price]]*Table1[[#This Row],[Quantity]]</f>
        <v>315.27999999999997</v>
      </c>
      <c r="W431" s="6" cm="1">
        <f t="array" ref="W431">_xlfn.IFS(
P431="FLAT8",8%,
P431="FLAT10",10%,
P431="FLAT15",15%,P431="FLAT20",20%,P431="DEL0",0%,
TRUE,0%
)</f>
        <v>0</v>
      </c>
      <c r="X431" s="5">
        <f>Table1[[#This Row],[Amount]]-(Table1[[#This Row],[Amount]]*Table1[[#This Row],[Discount_Percentage]])</f>
        <v>315.27999999999997</v>
      </c>
      <c r="Y431" s="5">
        <f>IF(P431="DEL0",Table1[[#This Row],[Discount_Amount]],Table1[[#This Row],[Discount_Amount]]+Table1[[#This Row],[Delivery_Charge]])</f>
        <v>315.27999999999997</v>
      </c>
      <c r="Z431" s="7" t="str">
        <f>_xlfn.CONCAT(Table1[[#This Row],[First_Name]],"  ",Table1[[#This Row],[Last_Name]])</f>
        <v>Kara  Brennan</v>
      </c>
      <c r="AA431" s="5" t="str" cm="1">
        <f t="array" ref="AA431">_xlfn.IFS( (S431-K431)&gt;Q431,"Late", (S431-K431)=Q431,"InTime", (S431-K431)&lt;Q431,"BeforeTime" )</f>
        <v>Late</v>
      </c>
      <c r="AB431" s="3">
        <f>MONTH(Table1[[#This Row],[Order_Date]])</f>
        <v>12</v>
      </c>
    </row>
    <row r="432" spans="1:28" x14ac:dyDescent="0.3">
      <c r="A432" s="3" t="s">
        <v>366</v>
      </c>
      <c r="B432" s="3" t="s">
        <v>367</v>
      </c>
      <c r="C432" s="3" t="s">
        <v>368</v>
      </c>
      <c r="D432" s="3" t="str">
        <f>_xlfn.CONCAT(Table1[[#This Row],[First_Name]],Table1[[#This Row],[Last_Name]])</f>
        <v>TimothyHicks</v>
      </c>
      <c r="E432" s="3">
        <v>31</v>
      </c>
      <c r="F432" s="3" t="s">
        <v>52</v>
      </c>
      <c r="G432" s="3" t="s">
        <v>140</v>
      </c>
      <c r="H432" s="3" t="s">
        <v>369</v>
      </c>
      <c r="I432" s="3" t="s">
        <v>370</v>
      </c>
      <c r="J432" s="3" t="s">
        <v>1833</v>
      </c>
      <c r="K432" s="4">
        <v>45398</v>
      </c>
      <c r="L432" s="3" t="s">
        <v>1834</v>
      </c>
      <c r="M432" s="3" t="s">
        <v>553</v>
      </c>
      <c r="N432" s="3">
        <v>425.59</v>
      </c>
      <c r="O432" s="3">
        <v>2</v>
      </c>
      <c r="P432" s="3" t="s">
        <v>58</v>
      </c>
      <c r="Q432" s="3">
        <v>1</v>
      </c>
      <c r="R432" s="3">
        <v>44</v>
      </c>
      <c r="S432" s="4">
        <v>45403</v>
      </c>
      <c r="T432" s="3" t="s">
        <v>1835</v>
      </c>
      <c r="U432" s="5">
        <f>Table1[[#This Row],[Delivery_Date]]-Table1[[#This Row],[Order_Date]]</f>
        <v>5</v>
      </c>
      <c r="V432" s="5">
        <f>Table1[[#This Row],[Price]]*Table1[[#This Row],[Quantity]]</f>
        <v>851.18</v>
      </c>
      <c r="W432" s="6" cm="1">
        <f t="array" ref="W432">_xlfn.IFS(
P432="FLAT8",8%,
P432="FLAT10",10%,
P432="FLAT15",15%,P432="FLAT20",20%,P432="DEL0",0%,
TRUE,0%
)</f>
        <v>0.15</v>
      </c>
      <c r="X432" s="5">
        <f>Table1[[#This Row],[Amount]]-(Table1[[#This Row],[Amount]]*Table1[[#This Row],[Discount_Percentage]])</f>
        <v>723.50299999999993</v>
      </c>
      <c r="Y432" s="5">
        <f>IF(P432="DEL0",Table1[[#This Row],[Discount_Amount]],Table1[[#This Row],[Discount_Amount]]+Table1[[#This Row],[Delivery_Charge]])</f>
        <v>767.50299999999993</v>
      </c>
      <c r="Z432" s="7" t="str">
        <f>_xlfn.CONCAT(Table1[[#This Row],[First_Name]],"  ",Table1[[#This Row],[Last_Name]])</f>
        <v>Timothy  Hicks</v>
      </c>
      <c r="AA432" s="5" t="str" cm="1">
        <f t="array" ref="AA432">_xlfn.IFS( (S432-K432)&gt;Q432,"Late", (S432-K432)=Q432,"InTime", (S432-K432)&lt;Q432,"BeforeTime" )</f>
        <v>Late</v>
      </c>
      <c r="AB432" s="3">
        <f>MONTH(Table1[[#This Row],[Order_Date]])</f>
        <v>4</v>
      </c>
    </row>
    <row r="433" spans="1:28" x14ac:dyDescent="0.3">
      <c r="A433" s="3" t="s">
        <v>750</v>
      </c>
      <c r="B433" s="3" t="s">
        <v>751</v>
      </c>
      <c r="C433" s="3" t="s">
        <v>752</v>
      </c>
      <c r="D433" s="3" t="str">
        <f>_xlfn.CONCAT(Table1[[#This Row],[First_Name]],Table1[[#This Row],[Last_Name]])</f>
        <v>BarbaraFuller</v>
      </c>
      <c r="E433" s="3">
        <v>43</v>
      </c>
      <c r="F433" s="3" t="s">
        <v>52</v>
      </c>
      <c r="G433" s="3" t="s">
        <v>159</v>
      </c>
      <c r="H433" s="3" t="s">
        <v>753</v>
      </c>
      <c r="I433" s="3" t="s">
        <v>754</v>
      </c>
      <c r="J433" s="3" t="s">
        <v>1836</v>
      </c>
      <c r="K433" s="4">
        <v>45432</v>
      </c>
      <c r="L433" s="3" t="s">
        <v>1837</v>
      </c>
      <c r="M433" s="3" t="s">
        <v>225</v>
      </c>
      <c r="N433" s="3">
        <v>461.07</v>
      </c>
      <c r="O433" s="3">
        <v>1</v>
      </c>
      <c r="P433" s="3" t="s">
        <v>36</v>
      </c>
      <c r="Q433" s="3">
        <v>1</v>
      </c>
      <c r="R433" s="3">
        <v>42</v>
      </c>
      <c r="S433" s="4">
        <v>45433</v>
      </c>
      <c r="T433" s="3" t="s">
        <v>1838</v>
      </c>
      <c r="U433" s="5">
        <f>Table1[[#This Row],[Delivery_Date]]-Table1[[#This Row],[Order_Date]]</f>
        <v>1</v>
      </c>
      <c r="V433" s="5">
        <f>Table1[[#This Row],[Price]]*Table1[[#This Row],[Quantity]]</f>
        <v>461.07</v>
      </c>
      <c r="W433" s="6" cm="1">
        <f t="array" ref="W433">_xlfn.IFS(
P433="FLAT8",8%,
P433="FLAT10",10%,
P433="FLAT15",15%,P433="FLAT20",20%,P433="DEL0",0%,
TRUE,0%
)</f>
        <v>0.08</v>
      </c>
      <c r="X433" s="5">
        <f>Table1[[#This Row],[Amount]]-(Table1[[#This Row],[Amount]]*Table1[[#This Row],[Discount_Percentage]])</f>
        <v>424.18439999999998</v>
      </c>
      <c r="Y433" s="5">
        <f>IF(P433="DEL0",Table1[[#This Row],[Discount_Amount]],Table1[[#This Row],[Discount_Amount]]+Table1[[#This Row],[Delivery_Charge]])</f>
        <v>466.18439999999998</v>
      </c>
      <c r="Z433" s="7" t="str">
        <f>_xlfn.CONCAT(Table1[[#This Row],[First_Name]],"  ",Table1[[#This Row],[Last_Name]])</f>
        <v>Barbara  Fuller</v>
      </c>
      <c r="AA433" s="5" t="str" cm="1">
        <f t="array" ref="AA433">_xlfn.IFS( (S433-K433)&gt;Q433,"Late", (S433-K433)=Q433,"InTime", (S433-K433)&lt;Q433,"BeforeTime" )</f>
        <v>InTime</v>
      </c>
      <c r="AB433" s="3">
        <f>MONTH(Table1[[#This Row],[Order_Date]])</f>
        <v>5</v>
      </c>
    </row>
    <row r="434" spans="1:28" x14ac:dyDescent="0.3">
      <c r="A434" s="3" t="s">
        <v>87</v>
      </c>
      <c r="B434" s="3" t="s">
        <v>88</v>
      </c>
      <c r="C434" s="3" t="s">
        <v>89</v>
      </c>
      <c r="D434" s="3" t="str">
        <f>_xlfn.CONCAT(Table1[[#This Row],[First_Name]],Table1[[#This Row],[Last_Name]])</f>
        <v>DavidDelacruz</v>
      </c>
      <c r="E434" s="3">
        <v>26</v>
      </c>
      <c r="F434" s="3" t="s">
        <v>41</v>
      </c>
      <c r="G434" s="3" t="s">
        <v>90</v>
      </c>
      <c r="H434" s="3" t="s">
        <v>91</v>
      </c>
      <c r="I434" s="3" t="s">
        <v>92</v>
      </c>
      <c r="J434" s="3" t="s">
        <v>1839</v>
      </c>
      <c r="K434" s="4">
        <v>45449</v>
      </c>
      <c r="L434" s="3" t="s">
        <v>1840</v>
      </c>
      <c r="M434" s="3" t="s">
        <v>657</v>
      </c>
      <c r="N434" s="3">
        <v>235.63</v>
      </c>
      <c r="O434" s="3">
        <v>1</v>
      </c>
      <c r="P434" s="3" t="s">
        <v>58</v>
      </c>
      <c r="Q434" s="3">
        <v>3</v>
      </c>
      <c r="R434" s="3">
        <v>55</v>
      </c>
      <c r="S434" s="4">
        <v>45455</v>
      </c>
      <c r="T434" s="3" t="s">
        <v>1841</v>
      </c>
      <c r="U434" s="5">
        <f>Table1[[#This Row],[Delivery_Date]]-Table1[[#This Row],[Order_Date]]</f>
        <v>6</v>
      </c>
      <c r="V434" s="5">
        <f>Table1[[#This Row],[Price]]*Table1[[#This Row],[Quantity]]</f>
        <v>235.63</v>
      </c>
      <c r="W434" s="6" cm="1">
        <f t="array" ref="W434">_xlfn.IFS(
P434="FLAT8",8%,
P434="FLAT10",10%,
P434="FLAT15",15%,P434="FLAT20",20%,P434="DEL0",0%,
TRUE,0%
)</f>
        <v>0.15</v>
      </c>
      <c r="X434" s="5">
        <f>Table1[[#This Row],[Amount]]-(Table1[[#This Row],[Amount]]*Table1[[#This Row],[Discount_Percentage]])</f>
        <v>200.28550000000001</v>
      </c>
      <c r="Y434" s="5">
        <f>IF(P434="DEL0",Table1[[#This Row],[Discount_Amount]],Table1[[#This Row],[Discount_Amount]]+Table1[[#This Row],[Delivery_Charge]])</f>
        <v>255.28550000000001</v>
      </c>
      <c r="Z434" s="7" t="str">
        <f>_xlfn.CONCAT(Table1[[#This Row],[First_Name]],"  ",Table1[[#This Row],[Last_Name]])</f>
        <v>David  Delacruz</v>
      </c>
      <c r="AA434" s="5" t="str" cm="1">
        <f t="array" ref="AA434">_xlfn.IFS( (S434-K434)&gt;Q434,"Late", (S434-K434)=Q434,"InTime", (S434-K434)&lt;Q434,"BeforeTime" )</f>
        <v>Late</v>
      </c>
      <c r="AB434" s="3">
        <f>MONTH(Table1[[#This Row],[Order_Date]])</f>
        <v>6</v>
      </c>
    </row>
    <row r="435" spans="1:28" x14ac:dyDescent="0.3">
      <c r="A435" s="3" t="s">
        <v>603</v>
      </c>
      <c r="B435" s="3" t="s">
        <v>604</v>
      </c>
      <c r="C435" s="3" t="s">
        <v>403</v>
      </c>
      <c r="D435" s="3" t="str">
        <f>_xlfn.CONCAT(Table1[[#This Row],[First_Name]],Table1[[#This Row],[Last_Name]])</f>
        <v>KelliSmith</v>
      </c>
      <c r="E435" s="3">
        <v>18</v>
      </c>
      <c r="F435" s="3" t="s">
        <v>41</v>
      </c>
      <c r="G435" s="3" t="s">
        <v>42</v>
      </c>
      <c r="H435" s="3" t="s">
        <v>605</v>
      </c>
      <c r="I435" s="3" t="s">
        <v>606</v>
      </c>
      <c r="J435" s="3" t="s">
        <v>1842</v>
      </c>
      <c r="K435" s="4">
        <v>45178</v>
      </c>
      <c r="L435" s="3" t="s">
        <v>1843</v>
      </c>
      <c r="M435" s="3" t="s">
        <v>563</v>
      </c>
      <c r="N435" s="3">
        <v>133.62</v>
      </c>
      <c r="O435" s="3">
        <v>2</v>
      </c>
      <c r="P435" s="3" t="s">
        <v>36</v>
      </c>
      <c r="Q435" s="3">
        <v>2</v>
      </c>
      <c r="R435" s="3">
        <v>48</v>
      </c>
      <c r="S435" s="4">
        <v>45184</v>
      </c>
      <c r="T435" s="3" t="s">
        <v>1844</v>
      </c>
      <c r="U435" s="5">
        <f>Table1[[#This Row],[Delivery_Date]]-Table1[[#This Row],[Order_Date]]</f>
        <v>6</v>
      </c>
      <c r="V435" s="5">
        <f>Table1[[#This Row],[Price]]*Table1[[#This Row],[Quantity]]</f>
        <v>267.24</v>
      </c>
      <c r="W435" s="6" cm="1">
        <f t="array" ref="W435">_xlfn.IFS(
P435="FLAT8",8%,
P435="FLAT10",10%,
P435="FLAT15",15%,P435="FLAT20",20%,P435="DEL0",0%,
TRUE,0%
)</f>
        <v>0.08</v>
      </c>
      <c r="X435" s="5">
        <f>Table1[[#This Row],[Amount]]-(Table1[[#This Row],[Amount]]*Table1[[#This Row],[Discount_Percentage]])</f>
        <v>245.86080000000001</v>
      </c>
      <c r="Y435" s="5">
        <f>IF(P435="DEL0",Table1[[#This Row],[Discount_Amount]],Table1[[#This Row],[Discount_Amount]]+Table1[[#This Row],[Delivery_Charge]])</f>
        <v>293.86080000000004</v>
      </c>
      <c r="Z435" s="7" t="str">
        <f>_xlfn.CONCAT(Table1[[#This Row],[First_Name]],"  ",Table1[[#This Row],[Last_Name]])</f>
        <v>Kelli  Smith</v>
      </c>
      <c r="AA435" s="5" t="str" cm="1">
        <f t="array" ref="AA435">_xlfn.IFS( (S435-K435)&gt;Q435,"Late", (S435-K435)=Q435,"InTime", (S435-K435)&lt;Q435,"BeforeTime" )</f>
        <v>Late</v>
      </c>
      <c r="AB435" s="3">
        <f>MONTH(Table1[[#This Row],[Order_Date]])</f>
        <v>9</v>
      </c>
    </row>
    <row r="436" spans="1:28" x14ac:dyDescent="0.3">
      <c r="A436" s="3" t="s">
        <v>1238</v>
      </c>
      <c r="B436" s="3" t="s">
        <v>1239</v>
      </c>
      <c r="C436" s="3" t="s">
        <v>1240</v>
      </c>
      <c r="D436" s="3" t="str">
        <f>_xlfn.CONCAT(Table1[[#This Row],[First_Name]],Table1[[#This Row],[Last_Name]])</f>
        <v>HannahGutierrez</v>
      </c>
      <c r="E436" s="3">
        <v>55</v>
      </c>
      <c r="F436" s="3" t="s">
        <v>41</v>
      </c>
      <c r="G436" s="3" t="s">
        <v>159</v>
      </c>
      <c r="H436" s="3" t="s">
        <v>1241</v>
      </c>
      <c r="I436" s="3" t="s">
        <v>1242</v>
      </c>
      <c r="J436" s="3" t="s">
        <v>1845</v>
      </c>
      <c r="K436" s="4">
        <v>45005</v>
      </c>
      <c r="L436" s="3" t="s">
        <v>1846</v>
      </c>
      <c r="M436" s="3" t="s">
        <v>182</v>
      </c>
      <c r="N436" s="3">
        <v>104.18</v>
      </c>
      <c r="O436" s="3">
        <v>1</v>
      </c>
      <c r="P436" s="3" t="s">
        <v>36</v>
      </c>
      <c r="Q436" s="3">
        <v>5</v>
      </c>
      <c r="R436" s="3">
        <v>37</v>
      </c>
      <c r="S436" s="4">
        <v>45007</v>
      </c>
      <c r="T436" s="3" t="s">
        <v>1847</v>
      </c>
      <c r="U436" s="5">
        <f>Table1[[#This Row],[Delivery_Date]]-Table1[[#This Row],[Order_Date]]</f>
        <v>2</v>
      </c>
      <c r="V436" s="5">
        <f>Table1[[#This Row],[Price]]*Table1[[#This Row],[Quantity]]</f>
        <v>104.18</v>
      </c>
      <c r="W436" s="6" cm="1">
        <f t="array" ref="W436">_xlfn.IFS(
P436="FLAT8",8%,
P436="FLAT10",10%,
P436="FLAT15",15%,P436="FLAT20",20%,P436="DEL0",0%,
TRUE,0%
)</f>
        <v>0.08</v>
      </c>
      <c r="X436" s="5">
        <f>Table1[[#This Row],[Amount]]-(Table1[[#This Row],[Amount]]*Table1[[#This Row],[Discount_Percentage]])</f>
        <v>95.845600000000005</v>
      </c>
      <c r="Y436" s="5">
        <f>IF(P436="DEL0",Table1[[#This Row],[Discount_Amount]],Table1[[#This Row],[Discount_Amount]]+Table1[[#This Row],[Delivery_Charge]])</f>
        <v>132.84559999999999</v>
      </c>
      <c r="Z436" s="7" t="str">
        <f>_xlfn.CONCAT(Table1[[#This Row],[First_Name]],"  ",Table1[[#This Row],[Last_Name]])</f>
        <v>Hannah  Gutierrez</v>
      </c>
      <c r="AA436" s="5" t="str" cm="1">
        <f t="array" ref="AA436">_xlfn.IFS( (S436-K436)&gt;Q436,"Late", (S436-K436)=Q436,"InTime", (S436-K436)&lt;Q436,"BeforeTime" )</f>
        <v>BeforeTime</v>
      </c>
      <c r="AB436" s="3">
        <f>MONTH(Table1[[#This Row],[Order_Date]])</f>
        <v>3</v>
      </c>
    </row>
    <row r="437" spans="1:28" x14ac:dyDescent="0.3">
      <c r="A437" s="3" t="s">
        <v>679</v>
      </c>
      <c r="B437" s="3" t="s">
        <v>680</v>
      </c>
      <c r="C437" s="3" t="s">
        <v>681</v>
      </c>
      <c r="D437" s="3" t="str">
        <f>_xlfn.CONCAT(Table1[[#This Row],[First_Name]],Table1[[#This Row],[Last_Name]])</f>
        <v>TroyGomez</v>
      </c>
      <c r="E437" s="3">
        <v>68</v>
      </c>
      <c r="F437" s="3" t="s">
        <v>29</v>
      </c>
      <c r="G437" s="3" t="s">
        <v>220</v>
      </c>
      <c r="H437" s="3" t="s">
        <v>682</v>
      </c>
      <c r="I437" s="3" t="s">
        <v>683</v>
      </c>
      <c r="J437" s="3" t="s">
        <v>1848</v>
      </c>
      <c r="K437" s="4">
        <v>45536</v>
      </c>
      <c r="L437" s="3" t="s">
        <v>1849</v>
      </c>
      <c r="M437" s="3" t="s">
        <v>95</v>
      </c>
      <c r="N437" s="3">
        <v>363.64</v>
      </c>
      <c r="O437" s="3">
        <v>4</v>
      </c>
      <c r="P437" s="3" t="s">
        <v>85</v>
      </c>
      <c r="Q437" s="3">
        <v>2</v>
      </c>
      <c r="R437" s="3">
        <v>42</v>
      </c>
      <c r="S437" s="4">
        <v>45540</v>
      </c>
      <c r="T437" s="3" t="s">
        <v>1850</v>
      </c>
      <c r="U437" s="5">
        <f>Table1[[#This Row],[Delivery_Date]]-Table1[[#This Row],[Order_Date]]</f>
        <v>4</v>
      </c>
      <c r="V437" s="5">
        <f>Table1[[#This Row],[Price]]*Table1[[#This Row],[Quantity]]</f>
        <v>1454.56</v>
      </c>
      <c r="W437" s="6" cm="1">
        <f t="array" ref="W437">_xlfn.IFS(
P437="FLAT8",8%,
P437="FLAT10",10%,
P437="FLAT15",15%,P437="FLAT20",20%,P437="DEL0",0%,
TRUE,0%
)</f>
        <v>0.2</v>
      </c>
      <c r="X437" s="5">
        <f>Table1[[#This Row],[Amount]]-(Table1[[#This Row],[Amount]]*Table1[[#This Row],[Discount_Percentage]])</f>
        <v>1163.6479999999999</v>
      </c>
      <c r="Y437" s="5">
        <f>IF(P437="DEL0",Table1[[#This Row],[Discount_Amount]],Table1[[#This Row],[Discount_Amount]]+Table1[[#This Row],[Delivery_Charge]])</f>
        <v>1205.6479999999999</v>
      </c>
      <c r="Z437" s="7" t="str">
        <f>_xlfn.CONCAT(Table1[[#This Row],[First_Name]],"  ",Table1[[#This Row],[Last_Name]])</f>
        <v>Troy  Gomez</v>
      </c>
      <c r="AA437" s="5" t="str" cm="1">
        <f t="array" ref="AA437">_xlfn.IFS( (S437-K437)&gt;Q437,"Late", (S437-K437)=Q437,"InTime", (S437-K437)&lt;Q437,"BeforeTime" )</f>
        <v>Late</v>
      </c>
      <c r="AB437" s="3">
        <f>MONTH(Table1[[#This Row],[Order_Date]])</f>
        <v>9</v>
      </c>
    </row>
    <row r="438" spans="1:28" x14ac:dyDescent="0.3">
      <c r="A438" s="3" t="s">
        <v>293</v>
      </c>
      <c r="B438" s="3" t="s">
        <v>294</v>
      </c>
      <c r="C438" s="3" t="s">
        <v>295</v>
      </c>
      <c r="D438" s="3" t="str">
        <f>_xlfn.CONCAT(Table1[[#This Row],[First_Name]],Table1[[#This Row],[Last_Name]])</f>
        <v>HeatherSchneider</v>
      </c>
      <c r="E438" s="3">
        <v>48</v>
      </c>
      <c r="F438" s="3" t="s">
        <v>41</v>
      </c>
      <c r="G438" s="3" t="s">
        <v>90</v>
      </c>
      <c r="H438" s="3" t="s">
        <v>296</v>
      </c>
      <c r="I438" s="3" t="s">
        <v>297</v>
      </c>
      <c r="J438" s="3" t="s">
        <v>1851</v>
      </c>
      <c r="K438" s="4">
        <v>45310</v>
      </c>
      <c r="L438" s="3" t="s">
        <v>1852</v>
      </c>
      <c r="M438" s="3" t="s">
        <v>154</v>
      </c>
      <c r="N438" s="3">
        <v>220.27</v>
      </c>
      <c r="O438" s="3">
        <v>2</v>
      </c>
      <c r="P438" s="3" t="s">
        <v>58</v>
      </c>
      <c r="Q438" s="3">
        <v>7</v>
      </c>
      <c r="R438" s="3">
        <v>42</v>
      </c>
      <c r="S438" s="4">
        <v>45317</v>
      </c>
      <c r="T438" s="3" t="s">
        <v>1853</v>
      </c>
      <c r="U438" s="5">
        <f>Table1[[#This Row],[Delivery_Date]]-Table1[[#This Row],[Order_Date]]</f>
        <v>7</v>
      </c>
      <c r="V438" s="5">
        <f>Table1[[#This Row],[Price]]*Table1[[#This Row],[Quantity]]</f>
        <v>440.54</v>
      </c>
      <c r="W438" s="6" cm="1">
        <f t="array" ref="W438">_xlfn.IFS(
P438="FLAT8",8%,
P438="FLAT10",10%,
P438="FLAT15",15%,P438="FLAT20",20%,P438="DEL0",0%,
TRUE,0%
)</f>
        <v>0.15</v>
      </c>
      <c r="X438" s="5">
        <f>Table1[[#This Row],[Amount]]-(Table1[[#This Row],[Amount]]*Table1[[#This Row],[Discount_Percentage]])</f>
        <v>374.459</v>
      </c>
      <c r="Y438" s="5">
        <f>IF(P438="DEL0",Table1[[#This Row],[Discount_Amount]],Table1[[#This Row],[Discount_Amount]]+Table1[[#This Row],[Delivery_Charge]])</f>
        <v>416.459</v>
      </c>
      <c r="Z438" s="7" t="str">
        <f>_xlfn.CONCAT(Table1[[#This Row],[First_Name]],"  ",Table1[[#This Row],[Last_Name]])</f>
        <v>Heather  Schneider</v>
      </c>
      <c r="AA438" s="5" t="str" cm="1">
        <f t="array" ref="AA438">_xlfn.IFS( (S438-K438)&gt;Q438,"Late", (S438-K438)=Q438,"InTime", (S438-K438)&lt;Q438,"BeforeTime" )</f>
        <v>InTime</v>
      </c>
      <c r="AB438" s="3">
        <f>MONTH(Table1[[#This Row],[Order_Date]])</f>
        <v>1</v>
      </c>
    </row>
    <row r="439" spans="1:28" x14ac:dyDescent="0.3">
      <c r="A439" s="3" t="s">
        <v>688</v>
      </c>
      <c r="B439" s="3" t="s">
        <v>689</v>
      </c>
      <c r="C439" s="3" t="s">
        <v>690</v>
      </c>
      <c r="D439" s="3" t="str">
        <f>_xlfn.CONCAT(Table1[[#This Row],[First_Name]],Table1[[#This Row],[Last_Name]])</f>
        <v>KimBlevins</v>
      </c>
      <c r="E439" s="3">
        <v>65</v>
      </c>
      <c r="F439" s="3" t="s">
        <v>41</v>
      </c>
      <c r="G439" s="3" t="s">
        <v>90</v>
      </c>
      <c r="H439" s="3" t="s">
        <v>691</v>
      </c>
      <c r="I439" s="3" t="s">
        <v>692</v>
      </c>
      <c r="J439" s="3" t="s">
        <v>1854</v>
      </c>
      <c r="K439" s="4">
        <v>45167</v>
      </c>
      <c r="L439" s="3" t="s">
        <v>1855</v>
      </c>
      <c r="M439" s="3" t="s">
        <v>984</v>
      </c>
      <c r="N439" s="3">
        <v>33.49</v>
      </c>
      <c r="O439" s="3">
        <v>3</v>
      </c>
      <c r="P439" s="3" t="s">
        <v>96</v>
      </c>
      <c r="Q439" s="3">
        <v>1</v>
      </c>
      <c r="R439" s="3">
        <v>50</v>
      </c>
      <c r="S439" s="4">
        <v>45172</v>
      </c>
      <c r="T439" s="3" t="s">
        <v>1856</v>
      </c>
      <c r="U439" s="5">
        <f>Table1[[#This Row],[Delivery_Date]]-Table1[[#This Row],[Order_Date]]</f>
        <v>5</v>
      </c>
      <c r="V439" s="5">
        <f>Table1[[#This Row],[Price]]*Table1[[#This Row],[Quantity]]</f>
        <v>100.47</v>
      </c>
      <c r="W439" s="6" cm="1">
        <f t="array" ref="W439">_xlfn.IFS(
P439="FLAT8",8%,
P439="FLAT10",10%,
P439="FLAT15",15%,P439="FLAT20",20%,P439="DEL0",0%,
TRUE,0%
)</f>
        <v>0.1</v>
      </c>
      <c r="X439" s="5">
        <f>Table1[[#This Row],[Amount]]-(Table1[[#This Row],[Amount]]*Table1[[#This Row],[Discount_Percentage]])</f>
        <v>90.423000000000002</v>
      </c>
      <c r="Y439" s="5">
        <f>IF(P439="DEL0",Table1[[#This Row],[Discount_Amount]],Table1[[#This Row],[Discount_Amount]]+Table1[[#This Row],[Delivery_Charge]])</f>
        <v>140.423</v>
      </c>
      <c r="Z439" s="7" t="str">
        <f>_xlfn.CONCAT(Table1[[#This Row],[First_Name]],"  ",Table1[[#This Row],[Last_Name]])</f>
        <v>Kim  Blevins</v>
      </c>
      <c r="AA439" s="5" t="str" cm="1">
        <f t="array" ref="AA439">_xlfn.IFS( (S439-K439)&gt;Q439,"Late", (S439-K439)=Q439,"InTime", (S439-K439)&lt;Q439,"BeforeTime" )</f>
        <v>Late</v>
      </c>
      <c r="AB439" s="3">
        <f>MONTH(Table1[[#This Row],[Order_Date]])</f>
        <v>8</v>
      </c>
    </row>
    <row r="440" spans="1:28" x14ac:dyDescent="0.3">
      <c r="A440" s="3" t="s">
        <v>349</v>
      </c>
      <c r="B440" s="3" t="s">
        <v>350</v>
      </c>
      <c r="C440" s="3" t="s">
        <v>351</v>
      </c>
      <c r="D440" s="3" t="str">
        <f>_xlfn.CONCAT(Table1[[#This Row],[First_Name]],Table1[[#This Row],[Last_Name]])</f>
        <v>DonnaOneill</v>
      </c>
      <c r="E440" s="3">
        <v>70</v>
      </c>
      <c r="F440" s="3" t="s">
        <v>29</v>
      </c>
      <c r="G440" s="3" t="s">
        <v>168</v>
      </c>
      <c r="H440" s="3" t="s">
        <v>352</v>
      </c>
      <c r="I440" s="3" t="s">
        <v>353</v>
      </c>
      <c r="J440" s="3" t="s">
        <v>1857</v>
      </c>
      <c r="K440" s="4">
        <v>45145</v>
      </c>
      <c r="L440" s="3" t="s">
        <v>1858</v>
      </c>
      <c r="M440" s="3" t="s">
        <v>287</v>
      </c>
      <c r="N440" s="3">
        <v>157.63999999999999</v>
      </c>
      <c r="O440" s="3">
        <v>2</v>
      </c>
      <c r="P440" s="3" t="s">
        <v>96</v>
      </c>
      <c r="Q440" s="3">
        <v>6</v>
      </c>
      <c r="R440" s="3">
        <v>65</v>
      </c>
      <c r="S440" s="4">
        <v>45148</v>
      </c>
      <c r="T440" s="3" t="s">
        <v>1859</v>
      </c>
      <c r="U440" s="5">
        <f>Table1[[#This Row],[Delivery_Date]]-Table1[[#This Row],[Order_Date]]</f>
        <v>3</v>
      </c>
      <c r="V440" s="5">
        <f>Table1[[#This Row],[Price]]*Table1[[#This Row],[Quantity]]</f>
        <v>315.27999999999997</v>
      </c>
      <c r="W440" s="6" cm="1">
        <f t="array" ref="W440">_xlfn.IFS(
P440="FLAT8",8%,
P440="FLAT10",10%,
P440="FLAT15",15%,P440="FLAT20",20%,P440="DEL0",0%,
TRUE,0%
)</f>
        <v>0.1</v>
      </c>
      <c r="X440" s="5">
        <f>Table1[[#This Row],[Amount]]-(Table1[[#This Row],[Amount]]*Table1[[#This Row],[Discount_Percentage]])</f>
        <v>283.75199999999995</v>
      </c>
      <c r="Y440" s="5">
        <f>IF(P440="DEL0",Table1[[#This Row],[Discount_Amount]],Table1[[#This Row],[Discount_Amount]]+Table1[[#This Row],[Delivery_Charge]])</f>
        <v>348.75199999999995</v>
      </c>
      <c r="Z440" s="7" t="str">
        <f>_xlfn.CONCAT(Table1[[#This Row],[First_Name]],"  ",Table1[[#This Row],[Last_Name]])</f>
        <v>Donna  Oneill</v>
      </c>
      <c r="AA440" s="5" t="str" cm="1">
        <f t="array" ref="AA440">_xlfn.IFS( (S440-K440)&gt;Q440,"Late", (S440-K440)=Q440,"InTime", (S440-K440)&lt;Q440,"BeforeTime" )</f>
        <v>BeforeTime</v>
      </c>
      <c r="AB440" s="3">
        <f>MONTH(Table1[[#This Row],[Order_Date]])</f>
        <v>8</v>
      </c>
    </row>
    <row r="441" spans="1:28" x14ac:dyDescent="0.3">
      <c r="A441" s="3" t="s">
        <v>165</v>
      </c>
      <c r="B441" s="3" t="s">
        <v>166</v>
      </c>
      <c r="C441" s="3" t="s">
        <v>167</v>
      </c>
      <c r="D441" s="3" t="str">
        <f>_xlfn.CONCAT(Table1[[#This Row],[First_Name]],Table1[[#This Row],[Last_Name]])</f>
        <v>ErinMiller</v>
      </c>
      <c r="E441" s="3">
        <v>46</v>
      </c>
      <c r="F441" s="3" t="s">
        <v>29</v>
      </c>
      <c r="G441" s="3" t="s">
        <v>168</v>
      </c>
      <c r="H441" s="3" t="s">
        <v>169</v>
      </c>
      <c r="I441" s="3" t="s">
        <v>170</v>
      </c>
      <c r="J441" s="3" t="s">
        <v>1860</v>
      </c>
      <c r="K441" s="4">
        <v>45010</v>
      </c>
      <c r="L441" s="3" t="s">
        <v>1861</v>
      </c>
      <c r="M441" s="3" t="s">
        <v>518</v>
      </c>
      <c r="N441" s="3">
        <v>441.03</v>
      </c>
      <c r="O441" s="3">
        <v>5</v>
      </c>
      <c r="P441" s="3" t="s">
        <v>85</v>
      </c>
      <c r="Q441" s="3">
        <v>7</v>
      </c>
      <c r="R441" s="3">
        <v>36</v>
      </c>
      <c r="S441" s="4">
        <v>45016</v>
      </c>
      <c r="T441" s="3" t="s">
        <v>1862</v>
      </c>
      <c r="U441" s="5">
        <f>Table1[[#This Row],[Delivery_Date]]-Table1[[#This Row],[Order_Date]]</f>
        <v>6</v>
      </c>
      <c r="V441" s="5">
        <f>Table1[[#This Row],[Price]]*Table1[[#This Row],[Quantity]]</f>
        <v>2205.1499999999996</v>
      </c>
      <c r="W441" s="6" cm="1">
        <f t="array" ref="W441">_xlfn.IFS(
P441="FLAT8",8%,
P441="FLAT10",10%,
P441="FLAT15",15%,P441="FLAT20",20%,P441="DEL0",0%,
TRUE,0%
)</f>
        <v>0.2</v>
      </c>
      <c r="X441" s="5">
        <f>Table1[[#This Row],[Amount]]-(Table1[[#This Row],[Amount]]*Table1[[#This Row],[Discount_Percentage]])</f>
        <v>1764.1199999999997</v>
      </c>
      <c r="Y441" s="5">
        <f>IF(P441="DEL0",Table1[[#This Row],[Discount_Amount]],Table1[[#This Row],[Discount_Amount]]+Table1[[#This Row],[Delivery_Charge]])</f>
        <v>1800.1199999999997</v>
      </c>
      <c r="Z441" s="7" t="str">
        <f>_xlfn.CONCAT(Table1[[#This Row],[First_Name]],"  ",Table1[[#This Row],[Last_Name]])</f>
        <v>Erin  Miller</v>
      </c>
      <c r="AA441" s="5" t="str" cm="1">
        <f t="array" ref="AA441">_xlfn.IFS( (S441-K441)&gt;Q441,"Late", (S441-K441)=Q441,"InTime", (S441-K441)&lt;Q441,"BeforeTime" )</f>
        <v>BeforeTime</v>
      </c>
      <c r="AB441" s="3">
        <f>MONTH(Table1[[#This Row],[Order_Date]])</f>
        <v>3</v>
      </c>
    </row>
    <row r="442" spans="1:28" x14ac:dyDescent="0.3">
      <c r="A442" s="3" t="s">
        <v>546</v>
      </c>
      <c r="B442" s="3" t="s">
        <v>547</v>
      </c>
      <c r="C442" s="3" t="s">
        <v>548</v>
      </c>
      <c r="D442" s="3" t="str">
        <f>_xlfn.CONCAT(Table1[[#This Row],[First_Name]],Table1[[#This Row],[Last_Name]])</f>
        <v>JodiWhitney</v>
      </c>
      <c r="E442" s="3">
        <v>33</v>
      </c>
      <c r="F442" s="3" t="s">
        <v>52</v>
      </c>
      <c r="G442" s="3" t="s">
        <v>168</v>
      </c>
      <c r="H442" s="3" t="s">
        <v>549</v>
      </c>
      <c r="I442" s="3" t="s">
        <v>550</v>
      </c>
      <c r="J442" s="3" t="s">
        <v>1863</v>
      </c>
      <c r="K442" s="4">
        <v>45628</v>
      </c>
      <c r="L442" s="3" t="s">
        <v>1864</v>
      </c>
      <c r="M442" s="3" t="s">
        <v>430</v>
      </c>
      <c r="N442" s="3">
        <v>369.03</v>
      </c>
      <c r="O442" s="3">
        <v>4</v>
      </c>
      <c r="P442" s="3" t="s">
        <v>36</v>
      </c>
      <c r="Q442" s="3">
        <v>5</v>
      </c>
      <c r="R442" s="3">
        <v>48</v>
      </c>
      <c r="S442" s="4">
        <v>45629</v>
      </c>
      <c r="T442" s="3" t="s">
        <v>1865</v>
      </c>
      <c r="U442" s="5">
        <f>Table1[[#This Row],[Delivery_Date]]-Table1[[#This Row],[Order_Date]]</f>
        <v>1</v>
      </c>
      <c r="V442" s="5">
        <f>Table1[[#This Row],[Price]]*Table1[[#This Row],[Quantity]]</f>
        <v>1476.12</v>
      </c>
      <c r="W442" s="6" cm="1">
        <f t="array" ref="W442">_xlfn.IFS(
P442="FLAT8",8%,
P442="FLAT10",10%,
P442="FLAT15",15%,P442="FLAT20",20%,P442="DEL0",0%,
TRUE,0%
)</f>
        <v>0.08</v>
      </c>
      <c r="X442" s="5">
        <f>Table1[[#This Row],[Amount]]-(Table1[[#This Row],[Amount]]*Table1[[#This Row],[Discount_Percentage]])</f>
        <v>1358.0303999999999</v>
      </c>
      <c r="Y442" s="5">
        <f>IF(P442="DEL0",Table1[[#This Row],[Discount_Amount]],Table1[[#This Row],[Discount_Amount]]+Table1[[#This Row],[Delivery_Charge]])</f>
        <v>1406.0303999999999</v>
      </c>
      <c r="Z442" s="7" t="str">
        <f>_xlfn.CONCAT(Table1[[#This Row],[First_Name]],"  ",Table1[[#This Row],[Last_Name]])</f>
        <v>Jodi  Whitney</v>
      </c>
      <c r="AA442" s="5" t="str" cm="1">
        <f t="array" ref="AA442">_xlfn.IFS( (S442-K442)&gt;Q442,"Late", (S442-K442)=Q442,"InTime", (S442-K442)&lt;Q442,"BeforeTime" )</f>
        <v>BeforeTime</v>
      </c>
      <c r="AB442" s="3">
        <f>MONTH(Table1[[#This Row],[Order_Date]])</f>
        <v>12</v>
      </c>
    </row>
    <row r="443" spans="1:28" x14ac:dyDescent="0.3">
      <c r="A443" s="3" t="s">
        <v>385</v>
      </c>
      <c r="B443" s="3" t="s">
        <v>386</v>
      </c>
      <c r="C443" s="3" t="s">
        <v>387</v>
      </c>
      <c r="D443" s="3" t="str">
        <f>_xlfn.CONCAT(Table1[[#This Row],[First_Name]],Table1[[#This Row],[Last_Name]])</f>
        <v>AaronThompson</v>
      </c>
      <c r="E443" s="3">
        <v>47</v>
      </c>
      <c r="F443" s="3" t="s">
        <v>41</v>
      </c>
      <c r="G443" s="3" t="s">
        <v>90</v>
      </c>
      <c r="H443" s="3" t="s">
        <v>388</v>
      </c>
      <c r="I443" s="3" t="s">
        <v>389</v>
      </c>
      <c r="J443" s="3" t="s">
        <v>1866</v>
      </c>
      <c r="K443" s="4">
        <v>45529</v>
      </c>
      <c r="L443" s="3" t="s">
        <v>1867</v>
      </c>
      <c r="M443" s="3" t="s">
        <v>308</v>
      </c>
      <c r="N443" s="3">
        <v>129.75</v>
      </c>
      <c r="O443" s="3">
        <v>2</v>
      </c>
      <c r="P443" s="3" t="s">
        <v>85</v>
      </c>
      <c r="Q443" s="3">
        <v>5</v>
      </c>
      <c r="R443" s="3">
        <v>47</v>
      </c>
      <c r="S443" s="4">
        <v>45532</v>
      </c>
      <c r="T443" s="3" t="s">
        <v>1868</v>
      </c>
      <c r="U443" s="5">
        <f>Table1[[#This Row],[Delivery_Date]]-Table1[[#This Row],[Order_Date]]</f>
        <v>3</v>
      </c>
      <c r="V443" s="5">
        <f>Table1[[#This Row],[Price]]*Table1[[#This Row],[Quantity]]</f>
        <v>259.5</v>
      </c>
      <c r="W443" s="6" cm="1">
        <f t="array" ref="W443">_xlfn.IFS(
P443="FLAT8",8%,
P443="FLAT10",10%,
P443="FLAT15",15%,P443="FLAT20",20%,P443="DEL0",0%,
TRUE,0%
)</f>
        <v>0.2</v>
      </c>
      <c r="X443" s="5">
        <f>Table1[[#This Row],[Amount]]-(Table1[[#This Row],[Amount]]*Table1[[#This Row],[Discount_Percentage]])</f>
        <v>207.6</v>
      </c>
      <c r="Y443" s="5">
        <f>IF(P443="DEL0",Table1[[#This Row],[Discount_Amount]],Table1[[#This Row],[Discount_Amount]]+Table1[[#This Row],[Delivery_Charge]])</f>
        <v>254.6</v>
      </c>
      <c r="Z443" s="7" t="str">
        <f>_xlfn.CONCAT(Table1[[#This Row],[First_Name]],"  ",Table1[[#This Row],[Last_Name]])</f>
        <v>Aaron  Thompson</v>
      </c>
      <c r="AA443" s="5" t="str" cm="1">
        <f t="array" ref="AA443">_xlfn.IFS( (S443-K443)&gt;Q443,"Late", (S443-K443)=Q443,"InTime", (S443-K443)&lt;Q443,"BeforeTime" )</f>
        <v>BeforeTime</v>
      </c>
      <c r="AB443" s="3">
        <f>MONTH(Table1[[#This Row],[Order_Date]])</f>
        <v>8</v>
      </c>
    </row>
    <row r="444" spans="1:28" x14ac:dyDescent="0.3">
      <c r="A444" s="3" t="s">
        <v>1246</v>
      </c>
      <c r="B444" s="3" t="s">
        <v>66</v>
      </c>
      <c r="C444" s="3" t="s">
        <v>1247</v>
      </c>
      <c r="D444" s="3" t="str">
        <f>_xlfn.CONCAT(Table1[[#This Row],[First_Name]],Table1[[#This Row],[Last_Name]])</f>
        <v>AngelaCasey</v>
      </c>
      <c r="E444" s="3">
        <v>40</v>
      </c>
      <c r="F444" s="3" t="s">
        <v>29</v>
      </c>
      <c r="G444" s="3" t="s">
        <v>76</v>
      </c>
      <c r="H444" s="3" t="s">
        <v>1248</v>
      </c>
      <c r="I444" s="3" t="s">
        <v>1249</v>
      </c>
      <c r="J444" s="3" t="s">
        <v>1869</v>
      </c>
      <c r="K444" s="4">
        <v>45175</v>
      </c>
      <c r="L444" s="3" t="s">
        <v>1870</v>
      </c>
      <c r="M444" s="3" t="s">
        <v>199</v>
      </c>
      <c r="N444" s="3">
        <v>20.7</v>
      </c>
      <c r="O444" s="3">
        <v>2</v>
      </c>
      <c r="P444" s="3" t="s">
        <v>36</v>
      </c>
      <c r="Q444" s="3">
        <v>5</v>
      </c>
      <c r="R444" s="3">
        <v>61</v>
      </c>
      <c r="S444" s="4">
        <v>45177</v>
      </c>
      <c r="T444" s="3" t="s">
        <v>1871</v>
      </c>
      <c r="U444" s="5">
        <f>Table1[[#This Row],[Delivery_Date]]-Table1[[#This Row],[Order_Date]]</f>
        <v>2</v>
      </c>
      <c r="V444" s="5">
        <f>Table1[[#This Row],[Price]]*Table1[[#This Row],[Quantity]]</f>
        <v>41.4</v>
      </c>
      <c r="W444" s="6" cm="1">
        <f t="array" ref="W444">_xlfn.IFS(
P444="FLAT8",8%,
P444="FLAT10",10%,
P444="FLAT15",15%,P444="FLAT20",20%,P444="DEL0",0%,
TRUE,0%
)</f>
        <v>0.08</v>
      </c>
      <c r="X444" s="5">
        <f>Table1[[#This Row],[Amount]]-(Table1[[#This Row],[Amount]]*Table1[[#This Row],[Discount_Percentage]])</f>
        <v>38.088000000000001</v>
      </c>
      <c r="Y444" s="5">
        <f>IF(P444="DEL0",Table1[[#This Row],[Discount_Amount]],Table1[[#This Row],[Discount_Amount]]+Table1[[#This Row],[Delivery_Charge]])</f>
        <v>99.087999999999994</v>
      </c>
      <c r="Z444" s="7" t="str">
        <f>_xlfn.CONCAT(Table1[[#This Row],[First_Name]],"  ",Table1[[#This Row],[Last_Name]])</f>
        <v>Angela  Casey</v>
      </c>
      <c r="AA444" s="5" t="str" cm="1">
        <f t="array" ref="AA444">_xlfn.IFS( (S444-K444)&gt;Q444,"Late", (S444-K444)=Q444,"InTime", (S444-K444)&lt;Q444,"BeforeTime" )</f>
        <v>BeforeTime</v>
      </c>
      <c r="AB444" s="3">
        <f>MONTH(Table1[[#This Row],[Order_Date]])</f>
        <v>9</v>
      </c>
    </row>
    <row r="445" spans="1:28" x14ac:dyDescent="0.3">
      <c r="A445" s="3" t="s">
        <v>724</v>
      </c>
      <c r="B445" s="3" t="s">
        <v>725</v>
      </c>
      <c r="C445" s="3" t="s">
        <v>167</v>
      </c>
      <c r="D445" s="3" t="str">
        <f>_xlfn.CONCAT(Table1[[#This Row],[First_Name]],Table1[[#This Row],[Last_Name]])</f>
        <v>LisaMiller</v>
      </c>
      <c r="E445" s="3">
        <v>70</v>
      </c>
      <c r="F445" s="3" t="s">
        <v>41</v>
      </c>
      <c r="G445" s="3" t="s">
        <v>90</v>
      </c>
      <c r="H445" s="3" t="s">
        <v>726</v>
      </c>
      <c r="I445" s="3" t="s">
        <v>727</v>
      </c>
      <c r="J445" s="3" t="s">
        <v>1872</v>
      </c>
      <c r="K445" s="4">
        <v>45379</v>
      </c>
      <c r="L445" s="3" t="s">
        <v>1873</v>
      </c>
      <c r="M445" s="3" t="s">
        <v>344</v>
      </c>
      <c r="N445" s="3">
        <v>372.62</v>
      </c>
      <c r="O445" s="3">
        <v>2</v>
      </c>
      <c r="P445" s="3" t="s">
        <v>96</v>
      </c>
      <c r="Q445" s="3">
        <v>4</v>
      </c>
      <c r="R445" s="3">
        <v>57</v>
      </c>
      <c r="S445" s="4">
        <v>45382</v>
      </c>
      <c r="T445" s="3" t="s">
        <v>1874</v>
      </c>
      <c r="U445" s="5">
        <f>Table1[[#This Row],[Delivery_Date]]-Table1[[#This Row],[Order_Date]]</f>
        <v>3</v>
      </c>
      <c r="V445" s="5">
        <f>Table1[[#This Row],[Price]]*Table1[[#This Row],[Quantity]]</f>
        <v>745.24</v>
      </c>
      <c r="W445" s="6" cm="1">
        <f t="array" ref="W445">_xlfn.IFS(
P445="FLAT8",8%,
P445="FLAT10",10%,
P445="FLAT15",15%,P445="FLAT20",20%,P445="DEL0",0%,
TRUE,0%
)</f>
        <v>0.1</v>
      </c>
      <c r="X445" s="5">
        <f>Table1[[#This Row],[Amount]]-(Table1[[#This Row],[Amount]]*Table1[[#This Row],[Discount_Percentage]])</f>
        <v>670.71600000000001</v>
      </c>
      <c r="Y445" s="5">
        <f>IF(P445="DEL0",Table1[[#This Row],[Discount_Amount]],Table1[[#This Row],[Discount_Amount]]+Table1[[#This Row],[Delivery_Charge]])</f>
        <v>727.71600000000001</v>
      </c>
      <c r="Z445" s="7" t="str">
        <f>_xlfn.CONCAT(Table1[[#This Row],[First_Name]],"  ",Table1[[#This Row],[Last_Name]])</f>
        <v>Lisa  Miller</v>
      </c>
      <c r="AA445" s="5" t="str" cm="1">
        <f t="array" ref="AA445">_xlfn.IFS( (S445-K445)&gt;Q445,"Late", (S445-K445)=Q445,"InTime", (S445-K445)&lt;Q445,"BeforeTime" )</f>
        <v>BeforeTime</v>
      </c>
      <c r="AB445" s="3">
        <f>MONTH(Table1[[#This Row],[Order_Date]])</f>
        <v>3</v>
      </c>
    </row>
    <row r="446" spans="1:28" x14ac:dyDescent="0.3">
      <c r="A446" s="3" t="s">
        <v>1875</v>
      </c>
      <c r="B446" s="3" t="s">
        <v>1104</v>
      </c>
      <c r="C446" s="3" t="s">
        <v>1876</v>
      </c>
      <c r="D446" s="3" t="str">
        <f>_xlfn.CONCAT(Table1[[#This Row],[First_Name]],Table1[[#This Row],[Last_Name]])</f>
        <v>GaryJacobs</v>
      </c>
      <c r="E446" s="3">
        <v>64</v>
      </c>
      <c r="F446" s="3" t="s">
        <v>41</v>
      </c>
      <c r="G446" s="3" t="s">
        <v>76</v>
      </c>
      <c r="H446" s="3" t="s">
        <v>1877</v>
      </c>
      <c r="I446" s="3" t="s">
        <v>1878</v>
      </c>
      <c r="J446" s="3" t="s">
        <v>1879</v>
      </c>
      <c r="K446" s="4">
        <v>45633</v>
      </c>
      <c r="L446" s="3" t="s">
        <v>1880</v>
      </c>
      <c r="M446" s="3" t="s">
        <v>941</v>
      </c>
      <c r="N446" s="3">
        <v>107.47</v>
      </c>
      <c r="O446" s="3">
        <v>4</v>
      </c>
      <c r="P446" s="3" t="s">
        <v>85</v>
      </c>
      <c r="Q446" s="3">
        <v>5</v>
      </c>
      <c r="R446" s="3">
        <v>42</v>
      </c>
      <c r="S446" s="4">
        <v>45637</v>
      </c>
      <c r="T446" s="3" t="s">
        <v>1881</v>
      </c>
      <c r="U446" s="5">
        <f>Table1[[#This Row],[Delivery_Date]]-Table1[[#This Row],[Order_Date]]</f>
        <v>4</v>
      </c>
      <c r="V446" s="5">
        <f>Table1[[#This Row],[Price]]*Table1[[#This Row],[Quantity]]</f>
        <v>429.88</v>
      </c>
      <c r="W446" s="6" cm="1">
        <f t="array" ref="W446">_xlfn.IFS(
P446="FLAT8",8%,
P446="FLAT10",10%,
P446="FLAT15",15%,P446="FLAT20",20%,P446="DEL0",0%,
TRUE,0%
)</f>
        <v>0.2</v>
      </c>
      <c r="X446" s="5">
        <f>Table1[[#This Row],[Amount]]-(Table1[[#This Row],[Amount]]*Table1[[#This Row],[Discount_Percentage]])</f>
        <v>343.904</v>
      </c>
      <c r="Y446" s="5">
        <f>IF(P446="DEL0",Table1[[#This Row],[Discount_Amount]],Table1[[#This Row],[Discount_Amount]]+Table1[[#This Row],[Delivery_Charge]])</f>
        <v>385.904</v>
      </c>
      <c r="Z446" s="7" t="str">
        <f>_xlfn.CONCAT(Table1[[#This Row],[First_Name]],"  ",Table1[[#This Row],[Last_Name]])</f>
        <v>Gary  Jacobs</v>
      </c>
      <c r="AA446" s="5" t="str" cm="1">
        <f t="array" ref="AA446">_xlfn.IFS( (S446-K446)&gt;Q446,"Late", (S446-K446)=Q446,"InTime", (S446-K446)&lt;Q446,"BeforeTime" )</f>
        <v>BeforeTime</v>
      </c>
      <c r="AB446" s="3">
        <f>MONTH(Table1[[#This Row],[Order_Date]])</f>
        <v>12</v>
      </c>
    </row>
    <row r="447" spans="1:28" x14ac:dyDescent="0.3">
      <c r="A447" s="3" t="s">
        <v>1875</v>
      </c>
      <c r="B447" s="3" t="s">
        <v>1104</v>
      </c>
      <c r="C447" s="3" t="s">
        <v>1876</v>
      </c>
      <c r="D447" s="3" t="str">
        <f>_xlfn.CONCAT(Table1[[#This Row],[First_Name]],Table1[[#This Row],[Last_Name]])</f>
        <v>GaryJacobs</v>
      </c>
      <c r="E447" s="3">
        <v>64</v>
      </c>
      <c r="F447" s="3" t="s">
        <v>41</v>
      </c>
      <c r="G447" s="3" t="s">
        <v>76</v>
      </c>
      <c r="H447" s="3" t="s">
        <v>1877</v>
      </c>
      <c r="I447" s="3" t="s">
        <v>1878</v>
      </c>
      <c r="J447" s="3" t="s">
        <v>1882</v>
      </c>
      <c r="K447" s="4">
        <v>45539</v>
      </c>
      <c r="L447" s="3" t="s">
        <v>1883</v>
      </c>
      <c r="M447" s="3" t="s">
        <v>35</v>
      </c>
      <c r="N447" s="3">
        <v>308.88</v>
      </c>
      <c r="O447" s="3">
        <v>2</v>
      </c>
      <c r="P447" s="3" t="s">
        <v>85</v>
      </c>
      <c r="Q447" s="3">
        <v>2</v>
      </c>
      <c r="R447" s="3">
        <v>55</v>
      </c>
      <c r="S447" s="4">
        <v>45541</v>
      </c>
      <c r="T447" s="3" t="s">
        <v>1884</v>
      </c>
      <c r="U447" s="5">
        <f>Table1[[#This Row],[Delivery_Date]]-Table1[[#This Row],[Order_Date]]</f>
        <v>2</v>
      </c>
      <c r="V447" s="5">
        <f>Table1[[#This Row],[Price]]*Table1[[#This Row],[Quantity]]</f>
        <v>617.76</v>
      </c>
      <c r="W447" s="6" cm="1">
        <f t="array" ref="W447">_xlfn.IFS(
P447="FLAT8",8%,
P447="FLAT10",10%,
P447="FLAT15",15%,P447="FLAT20",20%,P447="DEL0",0%,
TRUE,0%
)</f>
        <v>0.2</v>
      </c>
      <c r="X447" s="5">
        <f>Table1[[#This Row],[Amount]]-(Table1[[#This Row],[Amount]]*Table1[[#This Row],[Discount_Percentage]])</f>
        <v>494.20799999999997</v>
      </c>
      <c r="Y447" s="5">
        <f>IF(P447="DEL0",Table1[[#This Row],[Discount_Amount]],Table1[[#This Row],[Discount_Amount]]+Table1[[#This Row],[Delivery_Charge]])</f>
        <v>549.20799999999997</v>
      </c>
      <c r="Z447" s="7" t="str">
        <f>_xlfn.CONCAT(Table1[[#This Row],[First_Name]],"  ",Table1[[#This Row],[Last_Name]])</f>
        <v>Gary  Jacobs</v>
      </c>
      <c r="AA447" s="5" t="str" cm="1">
        <f t="array" ref="AA447">_xlfn.IFS( (S447-K447)&gt;Q447,"Late", (S447-K447)=Q447,"InTime", (S447-K447)&lt;Q447,"BeforeTime" )</f>
        <v>InTime</v>
      </c>
      <c r="AB447" s="3">
        <f>MONTH(Table1[[#This Row],[Order_Date]])</f>
        <v>9</v>
      </c>
    </row>
    <row r="448" spans="1:28" x14ac:dyDescent="0.3">
      <c r="A448" s="3" t="s">
        <v>38</v>
      </c>
      <c r="B448" s="3" t="s">
        <v>39</v>
      </c>
      <c r="C448" s="3" t="s">
        <v>40</v>
      </c>
      <c r="D448" s="3" t="str">
        <f>_xlfn.CONCAT(Table1[[#This Row],[First_Name]],Table1[[#This Row],[Last_Name]])</f>
        <v>AnthonyThomas</v>
      </c>
      <c r="E448" s="3">
        <v>53</v>
      </c>
      <c r="F448" s="3" t="s">
        <v>41</v>
      </c>
      <c r="G448" s="3" t="s">
        <v>42</v>
      </c>
      <c r="H448" s="3" t="s">
        <v>43</v>
      </c>
      <c r="I448" s="3" t="s">
        <v>44</v>
      </c>
      <c r="J448" s="3" t="s">
        <v>1885</v>
      </c>
      <c r="K448" s="4">
        <v>45684</v>
      </c>
      <c r="L448" s="3" t="s">
        <v>1886</v>
      </c>
      <c r="M448" s="3" t="s">
        <v>270</v>
      </c>
      <c r="N448" s="3">
        <v>62.42</v>
      </c>
      <c r="O448" s="3">
        <v>5</v>
      </c>
      <c r="P448" s="3" t="s">
        <v>58</v>
      </c>
      <c r="Q448" s="3">
        <v>6</v>
      </c>
      <c r="R448" s="3">
        <v>69</v>
      </c>
      <c r="S448" s="4">
        <v>45690</v>
      </c>
      <c r="T448" s="3" t="s">
        <v>1887</v>
      </c>
      <c r="U448" s="5">
        <f>Table1[[#This Row],[Delivery_Date]]-Table1[[#This Row],[Order_Date]]</f>
        <v>6</v>
      </c>
      <c r="V448" s="5">
        <f>Table1[[#This Row],[Price]]*Table1[[#This Row],[Quantity]]</f>
        <v>312.10000000000002</v>
      </c>
      <c r="W448" s="6" cm="1">
        <f t="array" ref="W448">_xlfn.IFS(
P448="FLAT8",8%,
P448="FLAT10",10%,
P448="FLAT15",15%,P448="FLAT20",20%,P448="DEL0",0%,
TRUE,0%
)</f>
        <v>0.15</v>
      </c>
      <c r="X448" s="5">
        <f>Table1[[#This Row],[Amount]]-(Table1[[#This Row],[Amount]]*Table1[[#This Row],[Discount_Percentage]])</f>
        <v>265.28500000000003</v>
      </c>
      <c r="Y448" s="5">
        <f>IF(P448="DEL0",Table1[[#This Row],[Discount_Amount]],Table1[[#This Row],[Discount_Amount]]+Table1[[#This Row],[Delivery_Charge]])</f>
        <v>334.28500000000003</v>
      </c>
      <c r="Z448" s="7" t="str">
        <f>_xlfn.CONCAT(Table1[[#This Row],[First_Name]],"  ",Table1[[#This Row],[Last_Name]])</f>
        <v>Anthony  Thomas</v>
      </c>
      <c r="AA448" s="5" t="str" cm="1">
        <f t="array" ref="AA448">_xlfn.IFS( (S448-K448)&gt;Q448,"Late", (S448-K448)=Q448,"InTime", (S448-K448)&lt;Q448,"BeforeTime" )</f>
        <v>InTime</v>
      </c>
      <c r="AB448" s="3">
        <f>MONTH(Table1[[#This Row],[Order_Date]])</f>
        <v>1</v>
      </c>
    </row>
    <row r="449" spans="1:28" x14ac:dyDescent="0.3">
      <c r="A449" s="3" t="s">
        <v>1614</v>
      </c>
      <c r="B449" s="3" t="s">
        <v>273</v>
      </c>
      <c r="C449" s="3" t="s">
        <v>1615</v>
      </c>
      <c r="D449" s="3" t="str">
        <f>_xlfn.CONCAT(Table1[[#This Row],[First_Name]],Table1[[#This Row],[Last_Name]])</f>
        <v>LaurenCrane</v>
      </c>
      <c r="E449" s="3">
        <v>62</v>
      </c>
      <c r="F449" s="3" t="s">
        <v>41</v>
      </c>
      <c r="G449" s="3" t="s">
        <v>42</v>
      </c>
      <c r="H449" s="3" t="s">
        <v>1616</v>
      </c>
      <c r="I449" s="3" t="s">
        <v>1617</v>
      </c>
      <c r="J449" s="3" t="s">
        <v>1888</v>
      </c>
      <c r="K449" s="4">
        <v>45429</v>
      </c>
      <c r="L449" s="3" t="s">
        <v>1889</v>
      </c>
      <c r="M449" s="3" t="s">
        <v>473</v>
      </c>
      <c r="N449" s="3">
        <v>286.07</v>
      </c>
      <c r="O449" s="3">
        <v>1</v>
      </c>
      <c r="P449" s="3" t="s">
        <v>63</v>
      </c>
      <c r="Q449" s="3">
        <v>4</v>
      </c>
      <c r="R449" s="3">
        <v>43</v>
      </c>
      <c r="S449" s="4">
        <v>45434</v>
      </c>
      <c r="T449" s="3" t="s">
        <v>1890</v>
      </c>
      <c r="U449" s="5">
        <f>Table1[[#This Row],[Delivery_Date]]-Table1[[#This Row],[Order_Date]]</f>
        <v>5</v>
      </c>
      <c r="V449" s="5">
        <f>Table1[[#This Row],[Price]]*Table1[[#This Row],[Quantity]]</f>
        <v>286.07</v>
      </c>
      <c r="W449" s="6" cm="1">
        <f t="array" ref="W449">_xlfn.IFS(
P449="FLAT8",8%,
P449="FLAT10",10%,
P449="FLAT15",15%,P449="FLAT20",20%,P449="DEL0",0%,
TRUE,0%
)</f>
        <v>0</v>
      </c>
      <c r="X449" s="5">
        <f>Table1[[#This Row],[Amount]]-(Table1[[#This Row],[Amount]]*Table1[[#This Row],[Discount_Percentage]])</f>
        <v>286.07</v>
      </c>
      <c r="Y449" s="5">
        <f>IF(P449="DEL0",Table1[[#This Row],[Discount_Amount]],Table1[[#This Row],[Discount_Amount]]+Table1[[#This Row],[Delivery_Charge]])</f>
        <v>286.07</v>
      </c>
      <c r="Z449" s="7" t="str">
        <f>_xlfn.CONCAT(Table1[[#This Row],[First_Name]],"  ",Table1[[#This Row],[Last_Name]])</f>
        <v>Lauren  Crane</v>
      </c>
      <c r="AA449" s="5" t="str" cm="1">
        <f t="array" ref="AA449">_xlfn.IFS( (S449-K449)&gt;Q449,"Late", (S449-K449)=Q449,"InTime", (S449-K449)&lt;Q449,"BeforeTime" )</f>
        <v>Late</v>
      </c>
      <c r="AB449" s="3">
        <f>MONTH(Table1[[#This Row],[Order_Date]])</f>
        <v>5</v>
      </c>
    </row>
    <row r="450" spans="1:28" x14ac:dyDescent="0.3">
      <c r="A450" s="3" t="s">
        <v>1875</v>
      </c>
      <c r="B450" s="3" t="s">
        <v>1104</v>
      </c>
      <c r="C450" s="3" t="s">
        <v>1876</v>
      </c>
      <c r="D450" s="3" t="str">
        <f>_xlfn.CONCAT(Table1[[#This Row],[First_Name]],Table1[[#This Row],[Last_Name]])</f>
        <v>GaryJacobs</v>
      </c>
      <c r="E450" s="3">
        <v>64</v>
      </c>
      <c r="F450" s="3" t="s">
        <v>41</v>
      </c>
      <c r="G450" s="3" t="s">
        <v>76</v>
      </c>
      <c r="H450" s="3" t="s">
        <v>1877</v>
      </c>
      <c r="I450" s="3" t="s">
        <v>1878</v>
      </c>
      <c r="J450" s="3" t="s">
        <v>1891</v>
      </c>
      <c r="K450" s="4">
        <v>45379</v>
      </c>
      <c r="L450" s="3" t="s">
        <v>1892</v>
      </c>
      <c r="M450" s="3" t="s">
        <v>47</v>
      </c>
      <c r="N450" s="3">
        <v>166.28</v>
      </c>
      <c r="O450" s="3">
        <v>2</v>
      </c>
      <c r="P450" s="3" t="s">
        <v>85</v>
      </c>
      <c r="Q450" s="3">
        <v>4</v>
      </c>
      <c r="R450" s="3">
        <v>40</v>
      </c>
      <c r="S450" s="4">
        <v>45384</v>
      </c>
      <c r="T450" s="3" t="s">
        <v>1893</v>
      </c>
      <c r="U450" s="5">
        <f>Table1[[#This Row],[Delivery_Date]]-Table1[[#This Row],[Order_Date]]</f>
        <v>5</v>
      </c>
      <c r="V450" s="5">
        <f>Table1[[#This Row],[Price]]*Table1[[#This Row],[Quantity]]</f>
        <v>332.56</v>
      </c>
      <c r="W450" s="6" cm="1">
        <f t="array" ref="W450">_xlfn.IFS(
P450="FLAT8",8%,
P450="FLAT10",10%,
P450="FLAT15",15%,P450="FLAT20",20%,P450="DEL0",0%,
TRUE,0%
)</f>
        <v>0.2</v>
      </c>
      <c r="X450" s="5">
        <f>Table1[[#This Row],[Amount]]-(Table1[[#This Row],[Amount]]*Table1[[#This Row],[Discount_Percentage]])</f>
        <v>266.048</v>
      </c>
      <c r="Y450" s="5">
        <f>IF(P450="DEL0",Table1[[#This Row],[Discount_Amount]],Table1[[#This Row],[Discount_Amount]]+Table1[[#This Row],[Delivery_Charge]])</f>
        <v>306.048</v>
      </c>
      <c r="Z450" s="7" t="str">
        <f>_xlfn.CONCAT(Table1[[#This Row],[First_Name]],"  ",Table1[[#This Row],[Last_Name]])</f>
        <v>Gary  Jacobs</v>
      </c>
      <c r="AA450" s="5" t="str" cm="1">
        <f t="array" ref="AA450">_xlfn.IFS( (S450-K450)&gt;Q450,"Late", (S450-K450)=Q450,"InTime", (S450-K450)&lt;Q450,"BeforeTime" )</f>
        <v>Late</v>
      </c>
      <c r="AB450" s="3">
        <f>MONTH(Table1[[#This Row],[Order_Date]])</f>
        <v>3</v>
      </c>
    </row>
    <row r="451" spans="1:28" x14ac:dyDescent="0.3">
      <c r="A451" s="3" t="s">
        <v>592</v>
      </c>
      <c r="B451" s="3" t="s">
        <v>593</v>
      </c>
      <c r="C451" s="3" t="s">
        <v>594</v>
      </c>
      <c r="D451" s="3" t="str">
        <f>_xlfn.CONCAT(Table1[[#This Row],[First_Name]],Table1[[#This Row],[Last_Name]])</f>
        <v>WilliamMann</v>
      </c>
      <c r="E451" s="3">
        <v>21</v>
      </c>
      <c r="F451" s="3" t="s">
        <v>29</v>
      </c>
      <c r="G451" s="3" t="s">
        <v>42</v>
      </c>
      <c r="H451" s="3" t="s">
        <v>595</v>
      </c>
      <c r="I451" s="3" t="s">
        <v>596</v>
      </c>
      <c r="J451" s="3" t="s">
        <v>1894</v>
      </c>
      <c r="K451" s="4">
        <v>45638</v>
      </c>
      <c r="L451" s="3" t="s">
        <v>1895</v>
      </c>
      <c r="M451" s="3" t="s">
        <v>653</v>
      </c>
      <c r="N451" s="3">
        <v>433.62</v>
      </c>
      <c r="O451" s="3">
        <v>2</v>
      </c>
      <c r="P451" s="3" t="s">
        <v>96</v>
      </c>
      <c r="Q451" s="3">
        <v>7</v>
      </c>
      <c r="R451" s="3">
        <v>39</v>
      </c>
      <c r="S451" s="4">
        <v>45644</v>
      </c>
      <c r="T451" s="3" t="s">
        <v>1896</v>
      </c>
      <c r="U451" s="5">
        <f>Table1[[#This Row],[Delivery_Date]]-Table1[[#This Row],[Order_Date]]</f>
        <v>6</v>
      </c>
      <c r="V451" s="5">
        <f>Table1[[#This Row],[Price]]*Table1[[#This Row],[Quantity]]</f>
        <v>867.24</v>
      </c>
      <c r="W451" s="6" cm="1">
        <f t="array" ref="W451">_xlfn.IFS(
P451="FLAT8",8%,
P451="FLAT10",10%,
P451="FLAT15",15%,P451="FLAT20",20%,P451="DEL0",0%,
TRUE,0%
)</f>
        <v>0.1</v>
      </c>
      <c r="X451" s="5">
        <f>Table1[[#This Row],[Amount]]-(Table1[[#This Row],[Amount]]*Table1[[#This Row],[Discount_Percentage]])</f>
        <v>780.51599999999996</v>
      </c>
      <c r="Y451" s="5">
        <f>IF(P451="DEL0",Table1[[#This Row],[Discount_Amount]],Table1[[#This Row],[Discount_Amount]]+Table1[[#This Row],[Delivery_Charge]])</f>
        <v>819.51599999999996</v>
      </c>
      <c r="Z451" s="7" t="str">
        <f>_xlfn.CONCAT(Table1[[#This Row],[First_Name]],"  ",Table1[[#This Row],[Last_Name]])</f>
        <v>William  Mann</v>
      </c>
      <c r="AA451" s="5" t="str" cm="1">
        <f t="array" ref="AA451">_xlfn.IFS( (S451-K451)&gt;Q451,"Late", (S451-K451)=Q451,"InTime", (S451-K451)&lt;Q451,"BeforeTime" )</f>
        <v>BeforeTime</v>
      </c>
      <c r="AB451" s="3">
        <f>MONTH(Table1[[#This Row],[Order_Date]])</f>
        <v>12</v>
      </c>
    </row>
    <row r="452" spans="1:28" x14ac:dyDescent="0.3">
      <c r="A452" s="3" t="s">
        <v>374</v>
      </c>
      <c r="B452" s="3" t="s">
        <v>40</v>
      </c>
      <c r="C452" s="3" t="s">
        <v>375</v>
      </c>
      <c r="D452" s="3" t="str">
        <f>_xlfn.CONCAT(Table1[[#This Row],[First_Name]],Table1[[#This Row],[Last_Name]])</f>
        <v>ThomasAndersen</v>
      </c>
      <c r="E452" s="3">
        <v>50</v>
      </c>
      <c r="F452" s="3" t="s">
        <v>52</v>
      </c>
      <c r="G452" s="3" t="s">
        <v>140</v>
      </c>
      <c r="H452" s="3" t="s">
        <v>376</v>
      </c>
      <c r="I452" s="3" t="s">
        <v>377</v>
      </c>
      <c r="J452" s="3" t="s">
        <v>1897</v>
      </c>
      <c r="K452" s="4">
        <v>45149</v>
      </c>
      <c r="L452" s="3" t="s">
        <v>1898</v>
      </c>
      <c r="M452" s="3" t="s">
        <v>62</v>
      </c>
      <c r="N452" s="3">
        <v>405</v>
      </c>
      <c r="O452" s="3">
        <v>3</v>
      </c>
      <c r="P452" s="3" t="s">
        <v>96</v>
      </c>
      <c r="Q452" s="3">
        <v>6</v>
      </c>
      <c r="R452" s="3">
        <v>36</v>
      </c>
      <c r="S452" s="4">
        <v>45153</v>
      </c>
      <c r="T452" s="3" t="s">
        <v>1899</v>
      </c>
      <c r="U452" s="5">
        <f>Table1[[#This Row],[Delivery_Date]]-Table1[[#This Row],[Order_Date]]</f>
        <v>4</v>
      </c>
      <c r="V452" s="5">
        <f>Table1[[#This Row],[Price]]*Table1[[#This Row],[Quantity]]</f>
        <v>1215</v>
      </c>
      <c r="W452" s="6" cm="1">
        <f t="array" ref="W452">_xlfn.IFS(
P452="FLAT8",8%,
P452="FLAT10",10%,
P452="FLAT15",15%,P452="FLAT20",20%,P452="DEL0",0%,
TRUE,0%
)</f>
        <v>0.1</v>
      </c>
      <c r="X452" s="5">
        <f>Table1[[#This Row],[Amount]]-(Table1[[#This Row],[Amount]]*Table1[[#This Row],[Discount_Percentage]])</f>
        <v>1093.5</v>
      </c>
      <c r="Y452" s="5">
        <f>IF(P452="DEL0",Table1[[#This Row],[Discount_Amount]],Table1[[#This Row],[Discount_Amount]]+Table1[[#This Row],[Delivery_Charge]])</f>
        <v>1129.5</v>
      </c>
      <c r="Z452" s="7" t="str">
        <f>_xlfn.CONCAT(Table1[[#This Row],[First_Name]],"  ",Table1[[#This Row],[Last_Name]])</f>
        <v>Thomas  Andersen</v>
      </c>
      <c r="AA452" s="5" t="str" cm="1">
        <f t="array" ref="AA452">_xlfn.IFS( (S452-K452)&gt;Q452,"Late", (S452-K452)=Q452,"InTime", (S452-K452)&lt;Q452,"BeforeTime" )</f>
        <v>BeforeTime</v>
      </c>
      <c r="AB452" s="3">
        <f>MONTH(Table1[[#This Row],[Order_Date]])</f>
        <v>8</v>
      </c>
    </row>
    <row r="453" spans="1:28" x14ac:dyDescent="0.3">
      <c r="A453" s="3" t="s">
        <v>38</v>
      </c>
      <c r="B453" s="3" t="s">
        <v>39</v>
      </c>
      <c r="C453" s="3" t="s">
        <v>40</v>
      </c>
      <c r="D453" s="3" t="str">
        <f>_xlfn.CONCAT(Table1[[#This Row],[First_Name]],Table1[[#This Row],[Last_Name]])</f>
        <v>AnthonyThomas</v>
      </c>
      <c r="E453" s="3">
        <v>53</v>
      </c>
      <c r="F453" s="3" t="s">
        <v>41</v>
      </c>
      <c r="G453" s="3" t="s">
        <v>42</v>
      </c>
      <c r="H453" s="3" t="s">
        <v>43</v>
      </c>
      <c r="I453" s="3" t="s">
        <v>44</v>
      </c>
      <c r="J453" s="3" t="s">
        <v>1900</v>
      </c>
      <c r="K453" s="4">
        <v>45076</v>
      </c>
      <c r="L453" s="3" t="s">
        <v>1901</v>
      </c>
      <c r="M453" s="3" t="s">
        <v>81</v>
      </c>
      <c r="N453" s="3">
        <v>330.11</v>
      </c>
      <c r="O453" s="3">
        <v>3</v>
      </c>
      <c r="P453" s="3" t="s">
        <v>85</v>
      </c>
      <c r="Q453" s="3">
        <v>7</v>
      </c>
      <c r="R453" s="3">
        <v>40</v>
      </c>
      <c r="S453" s="4">
        <v>45080</v>
      </c>
      <c r="T453" s="3" t="s">
        <v>1902</v>
      </c>
      <c r="U453" s="5">
        <f>Table1[[#This Row],[Delivery_Date]]-Table1[[#This Row],[Order_Date]]</f>
        <v>4</v>
      </c>
      <c r="V453" s="5">
        <f>Table1[[#This Row],[Price]]*Table1[[#This Row],[Quantity]]</f>
        <v>990.33</v>
      </c>
      <c r="W453" s="6" cm="1">
        <f t="array" ref="W453">_xlfn.IFS(
P453="FLAT8",8%,
P453="FLAT10",10%,
P453="FLAT15",15%,P453="FLAT20",20%,P453="DEL0",0%,
TRUE,0%
)</f>
        <v>0.2</v>
      </c>
      <c r="X453" s="5">
        <f>Table1[[#This Row],[Amount]]-(Table1[[#This Row],[Amount]]*Table1[[#This Row],[Discount_Percentage]])</f>
        <v>792.26400000000001</v>
      </c>
      <c r="Y453" s="5">
        <f>IF(P453="DEL0",Table1[[#This Row],[Discount_Amount]],Table1[[#This Row],[Discount_Amount]]+Table1[[#This Row],[Delivery_Charge]])</f>
        <v>832.26400000000001</v>
      </c>
      <c r="Z453" s="7" t="str">
        <f>_xlfn.CONCAT(Table1[[#This Row],[First_Name]],"  ",Table1[[#This Row],[Last_Name]])</f>
        <v>Anthony  Thomas</v>
      </c>
      <c r="AA453" s="5" t="str" cm="1">
        <f t="array" ref="AA453">_xlfn.IFS( (S453-K453)&gt;Q453,"Late", (S453-K453)=Q453,"InTime", (S453-K453)&lt;Q453,"BeforeTime" )</f>
        <v>BeforeTime</v>
      </c>
      <c r="AB453" s="3">
        <f>MONTH(Table1[[#This Row],[Order_Date]])</f>
        <v>5</v>
      </c>
    </row>
    <row r="454" spans="1:28" x14ac:dyDescent="0.3">
      <c r="A454" s="3" t="s">
        <v>1737</v>
      </c>
      <c r="B454" s="3" t="s">
        <v>1738</v>
      </c>
      <c r="C454" s="3" t="s">
        <v>1739</v>
      </c>
      <c r="D454" s="3" t="str">
        <f>_xlfn.CONCAT(Table1[[#This Row],[First_Name]],Table1[[#This Row],[Last_Name]])</f>
        <v>ReginaHawkins</v>
      </c>
      <c r="E454" s="3">
        <v>47</v>
      </c>
      <c r="F454" s="3" t="s">
        <v>41</v>
      </c>
      <c r="G454" s="3" t="s">
        <v>30</v>
      </c>
      <c r="H454" s="3" t="s">
        <v>1740</v>
      </c>
      <c r="I454" s="3" t="s">
        <v>1741</v>
      </c>
      <c r="J454" s="3" t="s">
        <v>1903</v>
      </c>
      <c r="K454" s="4">
        <v>45380</v>
      </c>
      <c r="L454" s="3" t="s">
        <v>1904</v>
      </c>
      <c r="M454" s="3" t="s">
        <v>81</v>
      </c>
      <c r="N454" s="3">
        <v>330.11</v>
      </c>
      <c r="O454" s="3">
        <v>1</v>
      </c>
      <c r="P454" s="3" t="s">
        <v>96</v>
      </c>
      <c r="Q454" s="3">
        <v>4</v>
      </c>
      <c r="R454" s="3">
        <v>39</v>
      </c>
      <c r="S454" s="4">
        <v>45384</v>
      </c>
      <c r="T454" s="3" t="s">
        <v>1905</v>
      </c>
      <c r="U454" s="5">
        <f>Table1[[#This Row],[Delivery_Date]]-Table1[[#This Row],[Order_Date]]</f>
        <v>4</v>
      </c>
      <c r="V454" s="5">
        <f>Table1[[#This Row],[Price]]*Table1[[#This Row],[Quantity]]</f>
        <v>330.11</v>
      </c>
      <c r="W454" s="6" cm="1">
        <f t="array" ref="W454">_xlfn.IFS(
P454="FLAT8",8%,
P454="FLAT10",10%,
P454="FLAT15",15%,P454="FLAT20",20%,P454="DEL0",0%,
TRUE,0%
)</f>
        <v>0.1</v>
      </c>
      <c r="X454" s="5">
        <f>Table1[[#This Row],[Amount]]-(Table1[[#This Row],[Amount]]*Table1[[#This Row],[Discount_Percentage]])</f>
        <v>297.09899999999999</v>
      </c>
      <c r="Y454" s="5">
        <f>IF(P454="DEL0",Table1[[#This Row],[Discount_Amount]],Table1[[#This Row],[Discount_Amount]]+Table1[[#This Row],[Delivery_Charge]])</f>
        <v>336.09899999999999</v>
      </c>
      <c r="Z454" s="7" t="str">
        <f>_xlfn.CONCAT(Table1[[#This Row],[First_Name]],"  ",Table1[[#This Row],[Last_Name]])</f>
        <v>Regina  Hawkins</v>
      </c>
      <c r="AA454" s="5" t="str" cm="1">
        <f t="array" ref="AA454">_xlfn.IFS( (S454-K454)&gt;Q454,"Late", (S454-K454)=Q454,"InTime", (S454-K454)&lt;Q454,"BeforeTime" )</f>
        <v>InTime</v>
      </c>
      <c r="AB454" s="3">
        <f>MONTH(Table1[[#This Row],[Order_Date]])</f>
        <v>3</v>
      </c>
    </row>
    <row r="455" spans="1:28" x14ac:dyDescent="0.3">
      <c r="A455" s="3" t="s">
        <v>1906</v>
      </c>
      <c r="B455" s="3" t="s">
        <v>1907</v>
      </c>
      <c r="C455" s="3" t="s">
        <v>1908</v>
      </c>
      <c r="D455" s="3" t="str">
        <f>_xlfn.CONCAT(Table1[[#This Row],[First_Name]],Table1[[#This Row],[Last_Name]])</f>
        <v>JaniceGordon</v>
      </c>
      <c r="E455" s="3">
        <v>43</v>
      </c>
      <c r="F455" s="3" t="s">
        <v>29</v>
      </c>
      <c r="G455" s="3" t="s">
        <v>42</v>
      </c>
      <c r="H455" s="3" t="s">
        <v>1909</v>
      </c>
      <c r="I455" s="3" t="s">
        <v>1910</v>
      </c>
      <c r="J455" s="3" t="s">
        <v>1911</v>
      </c>
      <c r="K455" s="4">
        <v>45571</v>
      </c>
      <c r="L455" s="3" t="s">
        <v>1912</v>
      </c>
      <c r="M455" s="3" t="s">
        <v>637</v>
      </c>
      <c r="N455" s="3">
        <v>445.81</v>
      </c>
      <c r="O455" s="3">
        <v>2</v>
      </c>
      <c r="P455" s="3" t="s">
        <v>58</v>
      </c>
      <c r="Q455" s="3">
        <v>4</v>
      </c>
      <c r="R455" s="3">
        <v>59</v>
      </c>
      <c r="S455" s="4">
        <v>45576</v>
      </c>
      <c r="T455" s="3" t="s">
        <v>1913</v>
      </c>
      <c r="U455" s="5">
        <f>Table1[[#This Row],[Delivery_Date]]-Table1[[#This Row],[Order_Date]]</f>
        <v>5</v>
      </c>
      <c r="V455" s="5">
        <f>Table1[[#This Row],[Price]]*Table1[[#This Row],[Quantity]]</f>
        <v>891.62</v>
      </c>
      <c r="W455" s="6" cm="1">
        <f t="array" ref="W455">_xlfn.IFS(
P455="FLAT8",8%,
P455="FLAT10",10%,
P455="FLAT15",15%,P455="FLAT20",20%,P455="DEL0",0%,
TRUE,0%
)</f>
        <v>0.15</v>
      </c>
      <c r="X455" s="5">
        <f>Table1[[#This Row],[Amount]]-(Table1[[#This Row],[Amount]]*Table1[[#This Row],[Discount_Percentage]])</f>
        <v>757.87699999999995</v>
      </c>
      <c r="Y455" s="5">
        <f>IF(P455="DEL0",Table1[[#This Row],[Discount_Amount]],Table1[[#This Row],[Discount_Amount]]+Table1[[#This Row],[Delivery_Charge]])</f>
        <v>816.87699999999995</v>
      </c>
      <c r="Z455" s="7" t="str">
        <f>_xlfn.CONCAT(Table1[[#This Row],[First_Name]],"  ",Table1[[#This Row],[Last_Name]])</f>
        <v>Janice  Gordon</v>
      </c>
      <c r="AA455" s="5" t="str" cm="1">
        <f t="array" ref="AA455">_xlfn.IFS( (S455-K455)&gt;Q455,"Late", (S455-K455)=Q455,"InTime", (S455-K455)&lt;Q455,"BeforeTime" )</f>
        <v>Late</v>
      </c>
      <c r="AB455" s="3">
        <f>MONTH(Table1[[#This Row],[Order_Date]])</f>
        <v>10</v>
      </c>
    </row>
    <row r="456" spans="1:28" x14ac:dyDescent="0.3">
      <c r="A456" s="3" t="s">
        <v>1614</v>
      </c>
      <c r="B456" s="3" t="s">
        <v>273</v>
      </c>
      <c r="C456" s="3" t="s">
        <v>1615</v>
      </c>
      <c r="D456" s="3" t="str">
        <f>_xlfn.CONCAT(Table1[[#This Row],[First_Name]],Table1[[#This Row],[Last_Name]])</f>
        <v>LaurenCrane</v>
      </c>
      <c r="E456" s="3">
        <v>62</v>
      </c>
      <c r="F456" s="3" t="s">
        <v>41</v>
      </c>
      <c r="G456" s="3" t="s">
        <v>42</v>
      </c>
      <c r="H456" s="3" t="s">
        <v>1616</v>
      </c>
      <c r="I456" s="3" t="s">
        <v>1617</v>
      </c>
      <c r="J456" s="3" t="s">
        <v>1914</v>
      </c>
      <c r="K456" s="4">
        <v>45380</v>
      </c>
      <c r="L456" s="3" t="s">
        <v>1915</v>
      </c>
      <c r="M456" s="3" t="s">
        <v>984</v>
      </c>
      <c r="N456" s="3">
        <v>33.49</v>
      </c>
      <c r="O456" s="3">
        <v>1</v>
      </c>
      <c r="P456" s="3" t="s">
        <v>63</v>
      </c>
      <c r="Q456" s="3">
        <v>2</v>
      </c>
      <c r="R456" s="3">
        <v>69</v>
      </c>
      <c r="S456" s="4">
        <v>45385</v>
      </c>
      <c r="T456" s="3" t="s">
        <v>1916</v>
      </c>
      <c r="U456" s="5">
        <f>Table1[[#This Row],[Delivery_Date]]-Table1[[#This Row],[Order_Date]]</f>
        <v>5</v>
      </c>
      <c r="V456" s="5">
        <f>Table1[[#This Row],[Price]]*Table1[[#This Row],[Quantity]]</f>
        <v>33.49</v>
      </c>
      <c r="W456" s="6" cm="1">
        <f t="array" ref="W456">_xlfn.IFS(
P456="FLAT8",8%,
P456="FLAT10",10%,
P456="FLAT15",15%,P456="FLAT20",20%,P456="DEL0",0%,
TRUE,0%
)</f>
        <v>0</v>
      </c>
      <c r="X456" s="5">
        <f>Table1[[#This Row],[Amount]]-(Table1[[#This Row],[Amount]]*Table1[[#This Row],[Discount_Percentage]])</f>
        <v>33.49</v>
      </c>
      <c r="Y456" s="5">
        <f>IF(P456="DEL0",Table1[[#This Row],[Discount_Amount]],Table1[[#This Row],[Discount_Amount]]+Table1[[#This Row],[Delivery_Charge]])</f>
        <v>33.49</v>
      </c>
      <c r="Z456" s="7" t="str">
        <f>_xlfn.CONCAT(Table1[[#This Row],[First_Name]],"  ",Table1[[#This Row],[Last_Name]])</f>
        <v>Lauren  Crane</v>
      </c>
      <c r="AA456" s="5" t="str" cm="1">
        <f t="array" ref="AA456">_xlfn.IFS( (S456-K456)&gt;Q456,"Late", (S456-K456)=Q456,"InTime", (S456-K456)&lt;Q456,"BeforeTime" )</f>
        <v>Late</v>
      </c>
      <c r="AB456" s="3">
        <f>MONTH(Table1[[#This Row],[Order_Date]])</f>
        <v>3</v>
      </c>
    </row>
    <row r="457" spans="1:28" x14ac:dyDescent="0.3">
      <c r="A457" s="3" t="s">
        <v>366</v>
      </c>
      <c r="B457" s="3" t="s">
        <v>367</v>
      </c>
      <c r="C457" s="3" t="s">
        <v>368</v>
      </c>
      <c r="D457" s="3" t="str">
        <f>_xlfn.CONCAT(Table1[[#This Row],[First_Name]],Table1[[#This Row],[Last_Name]])</f>
        <v>TimothyHicks</v>
      </c>
      <c r="E457" s="3">
        <v>31</v>
      </c>
      <c r="F457" s="3" t="s">
        <v>52</v>
      </c>
      <c r="G457" s="3" t="s">
        <v>140</v>
      </c>
      <c r="H457" s="3" t="s">
        <v>369</v>
      </c>
      <c r="I457" s="3" t="s">
        <v>370</v>
      </c>
      <c r="J457" s="3" t="s">
        <v>1917</v>
      </c>
      <c r="K457" s="4">
        <v>45525</v>
      </c>
      <c r="L457" s="3" t="s">
        <v>1918</v>
      </c>
      <c r="M457" s="3" t="s">
        <v>287</v>
      </c>
      <c r="N457" s="3">
        <v>157.63999999999999</v>
      </c>
      <c r="O457" s="3">
        <v>1</v>
      </c>
      <c r="P457" s="3" t="s">
        <v>85</v>
      </c>
      <c r="Q457" s="3">
        <v>7</v>
      </c>
      <c r="R457" s="3">
        <v>46</v>
      </c>
      <c r="S457" s="4">
        <v>45527</v>
      </c>
      <c r="T457" s="3" t="s">
        <v>1919</v>
      </c>
      <c r="U457" s="5">
        <f>Table1[[#This Row],[Delivery_Date]]-Table1[[#This Row],[Order_Date]]</f>
        <v>2</v>
      </c>
      <c r="V457" s="5">
        <f>Table1[[#This Row],[Price]]*Table1[[#This Row],[Quantity]]</f>
        <v>157.63999999999999</v>
      </c>
      <c r="W457" s="6" cm="1">
        <f t="array" ref="W457">_xlfn.IFS(
P457="FLAT8",8%,
P457="FLAT10",10%,
P457="FLAT15",15%,P457="FLAT20",20%,P457="DEL0",0%,
TRUE,0%
)</f>
        <v>0.2</v>
      </c>
      <c r="X457" s="5">
        <f>Table1[[#This Row],[Amount]]-(Table1[[#This Row],[Amount]]*Table1[[#This Row],[Discount_Percentage]])</f>
        <v>126.11199999999999</v>
      </c>
      <c r="Y457" s="5">
        <f>IF(P457="DEL0",Table1[[#This Row],[Discount_Amount]],Table1[[#This Row],[Discount_Amount]]+Table1[[#This Row],[Delivery_Charge]])</f>
        <v>172.11199999999999</v>
      </c>
      <c r="Z457" s="7" t="str">
        <f>_xlfn.CONCAT(Table1[[#This Row],[First_Name]],"  ",Table1[[#This Row],[Last_Name]])</f>
        <v>Timothy  Hicks</v>
      </c>
      <c r="AA457" s="5" t="str" cm="1">
        <f t="array" ref="AA457">_xlfn.IFS( (S457-K457)&gt;Q457,"Late", (S457-K457)=Q457,"InTime", (S457-K457)&lt;Q457,"BeforeTime" )</f>
        <v>BeforeTime</v>
      </c>
      <c r="AB457" s="3">
        <f>MONTH(Table1[[#This Row],[Order_Date]])</f>
        <v>8</v>
      </c>
    </row>
    <row r="458" spans="1:28" x14ac:dyDescent="0.3">
      <c r="A458" s="3" t="s">
        <v>358</v>
      </c>
      <c r="B458" s="3" t="s">
        <v>359</v>
      </c>
      <c r="C458" s="3" t="s">
        <v>360</v>
      </c>
      <c r="D458" s="3" t="str">
        <f>_xlfn.CONCAT(Table1[[#This Row],[First_Name]],Table1[[#This Row],[Last_Name]])</f>
        <v>RobertCastillo</v>
      </c>
      <c r="E458" s="3">
        <v>32</v>
      </c>
      <c r="F458" s="3" t="s">
        <v>41</v>
      </c>
      <c r="G458" s="3" t="s">
        <v>168</v>
      </c>
      <c r="H458" s="3" t="s">
        <v>361</v>
      </c>
      <c r="I458" s="3" t="s">
        <v>362</v>
      </c>
      <c r="J458" s="3" t="s">
        <v>1920</v>
      </c>
      <c r="K458" s="4">
        <v>45257</v>
      </c>
      <c r="L458" s="3" t="s">
        <v>1921</v>
      </c>
      <c r="M458" s="3" t="s">
        <v>126</v>
      </c>
      <c r="N458" s="3">
        <v>257.06</v>
      </c>
      <c r="O458" s="3">
        <v>1</v>
      </c>
      <c r="P458" s="3" t="s">
        <v>36</v>
      </c>
      <c r="Q458" s="3">
        <v>3</v>
      </c>
      <c r="R458" s="3">
        <v>47</v>
      </c>
      <c r="S458" s="4">
        <v>45259</v>
      </c>
      <c r="T458" s="3" t="s">
        <v>1922</v>
      </c>
      <c r="U458" s="5">
        <f>Table1[[#This Row],[Delivery_Date]]-Table1[[#This Row],[Order_Date]]</f>
        <v>2</v>
      </c>
      <c r="V458" s="5">
        <f>Table1[[#This Row],[Price]]*Table1[[#This Row],[Quantity]]</f>
        <v>257.06</v>
      </c>
      <c r="W458" s="6" cm="1">
        <f t="array" ref="W458">_xlfn.IFS(
P458="FLAT8",8%,
P458="FLAT10",10%,
P458="FLAT15",15%,P458="FLAT20",20%,P458="DEL0",0%,
TRUE,0%
)</f>
        <v>0.08</v>
      </c>
      <c r="X458" s="5">
        <f>Table1[[#This Row],[Amount]]-(Table1[[#This Row],[Amount]]*Table1[[#This Row],[Discount_Percentage]])</f>
        <v>236.49520000000001</v>
      </c>
      <c r="Y458" s="5">
        <f>IF(P458="DEL0",Table1[[#This Row],[Discount_Amount]],Table1[[#This Row],[Discount_Amount]]+Table1[[#This Row],[Delivery_Charge]])</f>
        <v>283.49520000000001</v>
      </c>
      <c r="Z458" s="7" t="str">
        <f>_xlfn.CONCAT(Table1[[#This Row],[First_Name]],"  ",Table1[[#This Row],[Last_Name]])</f>
        <v>Robert  Castillo</v>
      </c>
      <c r="AA458" s="5" t="str" cm="1">
        <f t="array" ref="AA458">_xlfn.IFS( (S458-K458)&gt;Q458,"Late", (S458-K458)=Q458,"InTime", (S458-K458)&lt;Q458,"BeforeTime" )</f>
        <v>BeforeTime</v>
      </c>
      <c r="AB458" s="3">
        <f>MONTH(Table1[[#This Row],[Order_Date]])</f>
        <v>11</v>
      </c>
    </row>
    <row r="459" spans="1:28" x14ac:dyDescent="0.3">
      <c r="A459" s="3" t="s">
        <v>1042</v>
      </c>
      <c r="B459" s="3" t="s">
        <v>74</v>
      </c>
      <c r="C459" s="3" t="s">
        <v>1043</v>
      </c>
      <c r="D459" s="3" t="str">
        <f>_xlfn.CONCAT(Table1[[#This Row],[First_Name]],Table1[[#This Row],[Last_Name]])</f>
        <v>ChristineAguilar</v>
      </c>
      <c r="E459" s="3">
        <v>46</v>
      </c>
      <c r="F459" s="3" t="s">
        <v>29</v>
      </c>
      <c r="G459" s="3" t="s">
        <v>30</v>
      </c>
      <c r="H459" s="3" t="s">
        <v>1044</v>
      </c>
      <c r="I459" s="3" t="s">
        <v>1045</v>
      </c>
      <c r="J459" s="3" t="s">
        <v>1923</v>
      </c>
      <c r="K459" s="4">
        <v>44980</v>
      </c>
      <c r="L459" s="3" t="s">
        <v>1924</v>
      </c>
      <c r="M459" s="3" t="s">
        <v>383</v>
      </c>
      <c r="N459" s="3">
        <v>431.44</v>
      </c>
      <c r="O459" s="3">
        <v>3</v>
      </c>
      <c r="P459" s="3" t="s">
        <v>36</v>
      </c>
      <c r="Q459" s="3">
        <v>6</v>
      </c>
      <c r="R459" s="3">
        <v>70</v>
      </c>
      <c r="S459" s="4">
        <v>44983</v>
      </c>
      <c r="T459" s="3" t="s">
        <v>1925</v>
      </c>
      <c r="U459" s="5">
        <f>Table1[[#This Row],[Delivery_Date]]-Table1[[#This Row],[Order_Date]]</f>
        <v>3</v>
      </c>
      <c r="V459" s="5">
        <f>Table1[[#This Row],[Price]]*Table1[[#This Row],[Quantity]]</f>
        <v>1294.32</v>
      </c>
      <c r="W459" s="6" cm="1">
        <f t="array" ref="W459">_xlfn.IFS(
P459="FLAT8",8%,
P459="FLAT10",10%,
P459="FLAT15",15%,P459="FLAT20",20%,P459="DEL0",0%,
TRUE,0%
)</f>
        <v>0.08</v>
      </c>
      <c r="X459" s="5">
        <f>Table1[[#This Row],[Amount]]-(Table1[[#This Row],[Amount]]*Table1[[#This Row],[Discount_Percentage]])</f>
        <v>1190.7744</v>
      </c>
      <c r="Y459" s="5">
        <f>IF(P459="DEL0",Table1[[#This Row],[Discount_Amount]],Table1[[#This Row],[Discount_Amount]]+Table1[[#This Row],[Delivery_Charge]])</f>
        <v>1260.7744</v>
      </c>
      <c r="Z459" s="7" t="str">
        <f>_xlfn.CONCAT(Table1[[#This Row],[First_Name]],"  ",Table1[[#This Row],[Last_Name]])</f>
        <v>Christine  Aguilar</v>
      </c>
      <c r="AA459" s="5" t="str" cm="1">
        <f t="array" ref="AA459">_xlfn.IFS( (S459-K459)&gt;Q459,"Late", (S459-K459)=Q459,"InTime", (S459-K459)&lt;Q459,"BeforeTime" )</f>
        <v>BeforeTime</v>
      </c>
      <c r="AB459" s="3">
        <f>MONTH(Table1[[#This Row],[Order_Date]])</f>
        <v>2</v>
      </c>
    </row>
    <row r="460" spans="1:28" x14ac:dyDescent="0.3">
      <c r="A460" s="3" t="s">
        <v>1737</v>
      </c>
      <c r="B460" s="3" t="s">
        <v>1738</v>
      </c>
      <c r="C460" s="3" t="s">
        <v>1739</v>
      </c>
      <c r="D460" s="3" t="str">
        <f>_xlfn.CONCAT(Table1[[#This Row],[First_Name]],Table1[[#This Row],[Last_Name]])</f>
        <v>ReginaHawkins</v>
      </c>
      <c r="E460" s="3">
        <v>47</v>
      </c>
      <c r="F460" s="3" t="s">
        <v>41</v>
      </c>
      <c r="G460" s="3" t="s">
        <v>30</v>
      </c>
      <c r="H460" s="3" t="s">
        <v>1740</v>
      </c>
      <c r="I460" s="3" t="s">
        <v>1741</v>
      </c>
      <c r="J460" s="3" t="s">
        <v>1926</v>
      </c>
      <c r="K460" s="4">
        <v>45183</v>
      </c>
      <c r="L460" s="3" t="s">
        <v>1927</v>
      </c>
      <c r="M460" s="3" t="s">
        <v>234</v>
      </c>
      <c r="N460" s="3">
        <v>132.97</v>
      </c>
      <c r="O460" s="3">
        <v>1</v>
      </c>
      <c r="P460" s="3" t="s">
        <v>58</v>
      </c>
      <c r="Q460" s="3">
        <v>6</v>
      </c>
      <c r="R460" s="3">
        <v>37</v>
      </c>
      <c r="S460" s="4">
        <v>45190</v>
      </c>
      <c r="T460" s="3" t="s">
        <v>1928</v>
      </c>
      <c r="U460" s="5">
        <f>Table1[[#This Row],[Delivery_Date]]-Table1[[#This Row],[Order_Date]]</f>
        <v>7</v>
      </c>
      <c r="V460" s="5">
        <f>Table1[[#This Row],[Price]]*Table1[[#This Row],[Quantity]]</f>
        <v>132.97</v>
      </c>
      <c r="W460" s="6" cm="1">
        <f t="array" ref="W460">_xlfn.IFS(
P460="FLAT8",8%,
P460="FLAT10",10%,
P460="FLAT15",15%,P460="FLAT20",20%,P460="DEL0",0%,
TRUE,0%
)</f>
        <v>0.15</v>
      </c>
      <c r="X460" s="5">
        <f>Table1[[#This Row],[Amount]]-(Table1[[#This Row],[Amount]]*Table1[[#This Row],[Discount_Percentage]])</f>
        <v>113.0245</v>
      </c>
      <c r="Y460" s="5">
        <f>IF(P460="DEL0",Table1[[#This Row],[Discount_Amount]],Table1[[#This Row],[Discount_Amount]]+Table1[[#This Row],[Delivery_Charge]])</f>
        <v>150.02449999999999</v>
      </c>
      <c r="Z460" s="7" t="str">
        <f>_xlfn.CONCAT(Table1[[#This Row],[First_Name]],"  ",Table1[[#This Row],[Last_Name]])</f>
        <v>Regina  Hawkins</v>
      </c>
      <c r="AA460" s="5" t="str" cm="1">
        <f t="array" ref="AA460">_xlfn.IFS( (S460-K460)&gt;Q460,"Late", (S460-K460)=Q460,"InTime", (S460-K460)&lt;Q460,"BeforeTime" )</f>
        <v>Late</v>
      </c>
      <c r="AB460" s="3">
        <f>MONTH(Table1[[#This Row],[Order_Date]])</f>
        <v>9</v>
      </c>
    </row>
    <row r="461" spans="1:28" x14ac:dyDescent="0.3">
      <c r="A461" s="3" t="s">
        <v>1737</v>
      </c>
      <c r="B461" s="3" t="s">
        <v>1738</v>
      </c>
      <c r="C461" s="3" t="s">
        <v>1739</v>
      </c>
      <c r="D461" s="3" t="str">
        <f>_xlfn.CONCAT(Table1[[#This Row],[First_Name]],Table1[[#This Row],[Last_Name]])</f>
        <v>ReginaHawkins</v>
      </c>
      <c r="E461" s="3">
        <v>47</v>
      </c>
      <c r="F461" s="3" t="s">
        <v>41</v>
      </c>
      <c r="G461" s="3" t="s">
        <v>30</v>
      </c>
      <c r="H461" s="3" t="s">
        <v>1740</v>
      </c>
      <c r="I461" s="3" t="s">
        <v>1741</v>
      </c>
      <c r="J461" s="3" t="s">
        <v>1929</v>
      </c>
      <c r="K461" s="4">
        <v>45015</v>
      </c>
      <c r="L461" s="3" t="s">
        <v>1930</v>
      </c>
      <c r="M461" s="3" t="s">
        <v>323</v>
      </c>
      <c r="N461" s="3">
        <v>481.48</v>
      </c>
      <c r="O461" s="3">
        <v>2</v>
      </c>
      <c r="P461" s="3" t="s">
        <v>63</v>
      </c>
      <c r="Q461" s="3">
        <v>5</v>
      </c>
      <c r="R461" s="3">
        <v>45</v>
      </c>
      <c r="S461" s="4">
        <v>45017</v>
      </c>
      <c r="T461" s="3" t="s">
        <v>1931</v>
      </c>
      <c r="U461" s="5">
        <f>Table1[[#This Row],[Delivery_Date]]-Table1[[#This Row],[Order_Date]]</f>
        <v>2</v>
      </c>
      <c r="V461" s="5">
        <f>Table1[[#This Row],[Price]]*Table1[[#This Row],[Quantity]]</f>
        <v>962.96</v>
      </c>
      <c r="W461" s="6" cm="1">
        <f t="array" ref="W461">_xlfn.IFS(
P461="FLAT8",8%,
P461="FLAT10",10%,
P461="FLAT15",15%,P461="FLAT20",20%,P461="DEL0",0%,
TRUE,0%
)</f>
        <v>0</v>
      </c>
      <c r="X461" s="5">
        <f>Table1[[#This Row],[Amount]]-(Table1[[#This Row],[Amount]]*Table1[[#This Row],[Discount_Percentage]])</f>
        <v>962.96</v>
      </c>
      <c r="Y461" s="5">
        <f>IF(P461="DEL0",Table1[[#This Row],[Discount_Amount]],Table1[[#This Row],[Discount_Amount]]+Table1[[#This Row],[Delivery_Charge]])</f>
        <v>962.96</v>
      </c>
      <c r="Z461" s="7" t="str">
        <f>_xlfn.CONCAT(Table1[[#This Row],[First_Name]],"  ",Table1[[#This Row],[Last_Name]])</f>
        <v>Regina  Hawkins</v>
      </c>
      <c r="AA461" s="5" t="str" cm="1">
        <f t="array" ref="AA461">_xlfn.IFS( (S461-K461)&gt;Q461,"Late", (S461-K461)=Q461,"InTime", (S461-K461)&lt;Q461,"BeforeTime" )</f>
        <v>BeforeTime</v>
      </c>
      <c r="AB461" s="3">
        <f>MONTH(Table1[[#This Row],[Order_Date]])</f>
        <v>3</v>
      </c>
    </row>
    <row r="462" spans="1:28" x14ac:dyDescent="0.3">
      <c r="A462" s="3" t="s">
        <v>1932</v>
      </c>
      <c r="B462" s="3" t="s">
        <v>1933</v>
      </c>
      <c r="C462" s="3" t="s">
        <v>1934</v>
      </c>
      <c r="D462" s="3" t="str">
        <f>_xlfn.CONCAT(Table1[[#This Row],[First_Name]],Table1[[#This Row],[Last_Name]])</f>
        <v>DianaFrench</v>
      </c>
      <c r="E462" s="3">
        <v>54</v>
      </c>
      <c r="F462" s="3" t="s">
        <v>41</v>
      </c>
      <c r="G462" s="3" t="s">
        <v>76</v>
      </c>
      <c r="H462" s="3" t="s">
        <v>1935</v>
      </c>
      <c r="I462" s="3" t="s">
        <v>1936</v>
      </c>
      <c r="J462" s="3" t="s">
        <v>1937</v>
      </c>
      <c r="K462" s="4">
        <v>45587</v>
      </c>
      <c r="L462" s="3" t="s">
        <v>1938</v>
      </c>
      <c r="M462" s="3" t="s">
        <v>481</v>
      </c>
      <c r="N462" s="3">
        <v>87.09</v>
      </c>
      <c r="O462" s="3">
        <v>5</v>
      </c>
      <c r="P462" s="3" t="s">
        <v>58</v>
      </c>
      <c r="Q462" s="3">
        <v>7</v>
      </c>
      <c r="R462" s="3">
        <v>40</v>
      </c>
      <c r="S462" s="4">
        <v>45589</v>
      </c>
      <c r="T462" s="3" t="s">
        <v>1939</v>
      </c>
      <c r="U462" s="5">
        <f>Table1[[#This Row],[Delivery_Date]]-Table1[[#This Row],[Order_Date]]</f>
        <v>2</v>
      </c>
      <c r="V462" s="5">
        <f>Table1[[#This Row],[Price]]*Table1[[#This Row],[Quantity]]</f>
        <v>435.45000000000005</v>
      </c>
      <c r="W462" s="6" cm="1">
        <f t="array" ref="W462">_xlfn.IFS(
P462="FLAT8",8%,
P462="FLAT10",10%,
P462="FLAT15",15%,P462="FLAT20",20%,P462="DEL0",0%,
TRUE,0%
)</f>
        <v>0.15</v>
      </c>
      <c r="X462" s="5">
        <f>Table1[[#This Row],[Amount]]-(Table1[[#This Row],[Amount]]*Table1[[#This Row],[Discount_Percentage]])</f>
        <v>370.13250000000005</v>
      </c>
      <c r="Y462" s="5">
        <f>IF(P462="DEL0",Table1[[#This Row],[Discount_Amount]],Table1[[#This Row],[Discount_Amount]]+Table1[[#This Row],[Delivery_Charge]])</f>
        <v>410.13250000000005</v>
      </c>
      <c r="Z462" s="7" t="str">
        <f>_xlfn.CONCAT(Table1[[#This Row],[First_Name]],"  ",Table1[[#This Row],[Last_Name]])</f>
        <v>Diana  French</v>
      </c>
      <c r="AA462" s="5" t="str" cm="1">
        <f t="array" ref="AA462">_xlfn.IFS( (S462-K462)&gt;Q462,"Late", (S462-K462)=Q462,"InTime", (S462-K462)&lt;Q462,"BeforeTime" )</f>
        <v>BeforeTime</v>
      </c>
      <c r="AB462" s="3">
        <f>MONTH(Table1[[#This Row],[Order_Date]])</f>
        <v>10</v>
      </c>
    </row>
    <row r="463" spans="1:28" x14ac:dyDescent="0.3">
      <c r="A463" s="3" t="s">
        <v>823</v>
      </c>
      <c r="B463" s="3" t="s">
        <v>824</v>
      </c>
      <c r="C463" s="3" t="s">
        <v>825</v>
      </c>
      <c r="D463" s="3" t="str">
        <f>_xlfn.CONCAT(Table1[[#This Row],[First_Name]],Table1[[#This Row],[Last_Name]])</f>
        <v>EdwardBlack</v>
      </c>
      <c r="E463" s="3">
        <v>42</v>
      </c>
      <c r="F463" s="3" t="s">
        <v>29</v>
      </c>
      <c r="G463" s="3" t="s">
        <v>76</v>
      </c>
      <c r="H463" s="3" t="s">
        <v>826</v>
      </c>
      <c r="I463" s="3" t="s">
        <v>827</v>
      </c>
      <c r="J463" s="3" t="s">
        <v>1940</v>
      </c>
      <c r="K463" s="4">
        <v>45596</v>
      </c>
      <c r="L463" s="3" t="s">
        <v>1941</v>
      </c>
      <c r="M463" s="3" t="s">
        <v>748</v>
      </c>
      <c r="N463" s="3">
        <v>381.73</v>
      </c>
      <c r="O463" s="3">
        <v>5</v>
      </c>
      <c r="P463" s="3" t="s">
        <v>58</v>
      </c>
      <c r="Q463" s="3">
        <v>1</v>
      </c>
      <c r="R463" s="3">
        <v>53</v>
      </c>
      <c r="S463" s="4">
        <v>45603</v>
      </c>
      <c r="T463" s="3" t="s">
        <v>1942</v>
      </c>
      <c r="U463" s="5">
        <f>Table1[[#This Row],[Delivery_Date]]-Table1[[#This Row],[Order_Date]]</f>
        <v>7</v>
      </c>
      <c r="V463" s="5">
        <f>Table1[[#This Row],[Price]]*Table1[[#This Row],[Quantity]]</f>
        <v>1908.65</v>
      </c>
      <c r="W463" s="6" cm="1">
        <f t="array" ref="W463">_xlfn.IFS(
P463="FLAT8",8%,
P463="FLAT10",10%,
P463="FLAT15",15%,P463="FLAT20",20%,P463="DEL0",0%,
TRUE,0%
)</f>
        <v>0.15</v>
      </c>
      <c r="X463" s="5">
        <f>Table1[[#This Row],[Amount]]-(Table1[[#This Row],[Amount]]*Table1[[#This Row],[Discount_Percentage]])</f>
        <v>1622.3525</v>
      </c>
      <c r="Y463" s="5">
        <f>IF(P463="DEL0",Table1[[#This Row],[Discount_Amount]],Table1[[#This Row],[Discount_Amount]]+Table1[[#This Row],[Delivery_Charge]])</f>
        <v>1675.3525</v>
      </c>
      <c r="Z463" s="7" t="str">
        <f>_xlfn.CONCAT(Table1[[#This Row],[First_Name]],"  ",Table1[[#This Row],[Last_Name]])</f>
        <v>Edward  Black</v>
      </c>
      <c r="AA463" s="5" t="str" cm="1">
        <f t="array" ref="AA463">_xlfn.IFS( (S463-K463)&gt;Q463,"Late", (S463-K463)=Q463,"InTime", (S463-K463)&lt;Q463,"BeforeTime" )</f>
        <v>Late</v>
      </c>
      <c r="AB463" s="3">
        <f>MONTH(Table1[[#This Row],[Order_Date]])</f>
        <v>10</v>
      </c>
    </row>
    <row r="464" spans="1:28" x14ac:dyDescent="0.3">
      <c r="A464" s="3" t="s">
        <v>1318</v>
      </c>
      <c r="B464" s="3" t="s">
        <v>1319</v>
      </c>
      <c r="C464" s="3" t="s">
        <v>1320</v>
      </c>
      <c r="D464" s="3" t="str">
        <f>_xlfn.CONCAT(Table1[[#This Row],[First_Name]],Table1[[#This Row],[Last_Name]])</f>
        <v>JaredHorn</v>
      </c>
      <c r="E464" s="3">
        <v>43</v>
      </c>
      <c r="F464" s="3" t="s">
        <v>29</v>
      </c>
      <c r="G464" s="3" t="s">
        <v>140</v>
      </c>
      <c r="H464" s="3" t="s">
        <v>1321</v>
      </c>
      <c r="I464" s="3" t="s">
        <v>1322</v>
      </c>
      <c r="J464" s="3" t="s">
        <v>1943</v>
      </c>
      <c r="K464" s="4">
        <v>45087</v>
      </c>
      <c r="L464" s="3" t="s">
        <v>1944</v>
      </c>
      <c r="M464" s="3" t="s">
        <v>383</v>
      </c>
      <c r="N464" s="3">
        <v>431.44</v>
      </c>
      <c r="O464" s="3">
        <v>3</v>
      </c>
      <c r="P464" s="3" t="s">
        <v>58</v>
      </c>
      <c r="Q464" s="3">
        <v>4</v>
      </c>
      <c r="R464" s="3">
        <v>58</v>
      </c>
      <c r="S464" s="4">
        <v>45092</v>
      </c>
      <c r="T464" s="3" t="s">
        <v>1945</v>
      </c>
      <c r="U464" s="5">
        <f>Table1[[#This Row],[Delivery_Date]]-Table1[[#This Row],[Order_Date]]</f>
        <v>5</v>
      </c>
      <c r="V464" s="5">
        <f>Table1[[#This Row],[Price]]*Table1[[#This Row],[Quantity]]</f>
        <v>1294.32</v>
      </c>
      <c r="W464" s="6" cm="1">
        <f t="array" ref="W464">_xlfn.IFS(
P464="FLAT8",8%,
P464="FLAT10",10%,
P464="FLAT15",15%,P464="FLAT20",20%,P464="DEL0",0%,
TRUE,0%
)</f>
        <v>0.15</v>
      </c>
      <c r="X464" s="5">
        <f>Table1[[#This Row],[Amount]]-(Table1[[#This Row],[Amount]]*Table1[[#This Row],[Discount_Percentage]])</f>
        <v>1100.172</v>
      </c>
      <c r="Y464" s="5">
        <f>IF(P464="DEL0",Table1[[#This Row],[Discount_Amount]],Table1[[#This Row],[Discount_Amount]]+Table1[[#This Row],[Delivery_Charge]])</f>
        <v>1158.172</v>
      </c>
      <c r="Z464" s="7" t="str">
        <f>_xlfn.CONCAT(Table1[[#This Row],[First_Name]],"  ",Table1[[#This Row],[Last_Name]])</f>
        <v>Jared  Horn</v>
      </c>
      <c r="AA464" s="5" t="str" cm="1">
        <f t="array" ref="AA464">_xlfn.IFS( (S464-K464)&gt;Q464,"Late", (S464-K464)=Q464,"InTime", (S464-K464)&lt;Q464,"BeforeTime" )</f>
        <v>Late</v>
      </c>
      <c r="AB464" s="3">
        <f>MONTH(Table1[[#This Row],[Order_Date]])</f>
        <v>6</v>
      </c>
    </row>
    <row r="465" spans="1:28" x14ac:dyDescent="0.3">
      <c r="A465" s="3" t="s">
        <v>1614</v>
      </c>
      <c r="B465" s="3" t="s">
        <v>273</v>
      </c>
      <c r="C465" s="3" t="s">
        <v>1615</v>
      </c>
      <c r="D465" s="3" t="str">
        <f>_xlfn.CONCAT(Table1[[#This Row],[First_Name]],Table1[[#This Row],[Last_Name]])</f>
        <v>LaurenCrane</v>
      </c>
      <c r="E465" s="3">
        <v>62</v>
      </c>
      <c r="F465" s="3" t="s">
        <v>41</v>
      </c>
      <c r="G465" s="3" t="s">
        <v>42</v>
      </c>
      <c r="H465" s="3" t="s">
        <v>1616</v>
      </c>
      <c r="I465" s="3" t="s">
        <v>1617</v>
      </c>
      <c r="J465" s="3" t="s">
        <v>1946</v>
      </c>
      <c r="K465" s="4">
        <v>45393</v>
      </c>
      <c r="L465" s="3" t="s">
        <v>1947</v>
      </c>
      <c r="M465" s="3" t="s">
        <v>657</v>
      </c>
      <c r="N465" s="3">
        <v>235.63</v>
      </c>
      <c r="O465" s="3">
        <v>3</v>
      </c>
      <c r="P465" s="3" t="s">
        <v>63</v>
      </c>
      <c r="Q465" s="3">
        <v>6</v>
      </c>
      <c r="R465" s="3">
        <v>41</v>
      </c>
      <c r="S465" s="4">
        <v>45398</v>
      </c>
      <c r="T465" s="3" t="s">
        <v>1948</v>
      </c>
      <c r="U465" s="5">
        <f>Table1[[#This Row],[Delivery_Date]]-Table1[[#This Row],[Order_Date]]</f>
        <v>5</v>
      </c>
      <c r="V465" s="5">
        <f>Table1[[#This Row],[Price]]*Table1[[#This Row],[Quantity]]</f>
        <v>706.89</v>
      </c>
      <c r="W465" s="6" cm="1">
        <f t="array" ref="W465">_xlfn.IFS(
P465="FLAT8",8%,
P465="FLAT10",10%,
P465="FLAT15",15%,P465="FLAT20",20%,P465="DEL0",0%,
TRUE,0%
)</f>
        <v>0</v>
      </c>
      <c r="X465" s="5">
        <f>Table1[[#This Row],[Amount]]-(Table1[[#This Row],[Amount]]*Table1[[#This Row],[Discount_Percentage]])</f>
        <v>706.89</v>
      </c>
      <c r="Y465" s="5">
        <f>IF(P465="DEL0",Table1[[#This Row],[Discount_Amount]],Table1[[#This Row],[Discount_Amount]]+Table1[[#This Row],[Delivery_Charge]])</f>
        <v>706.89</v>
      </c>
      <c r="Z465" s="7" t="str">
        <f>_xlfn.CONCAT(Table1[[#This Row],[First_Name]],"  ",Table1[[#This Row],[Last_Name]])</f>
        <v>Lauren  Crane</v>
      </c>
      <c r="AA465" s="5" t="str" cm="1">
        <f t="array" ref="AA465">_xlfn.IFS( (S465-K465)&gt;Q465,"Late", (S465-K465)=Q465,"InTime", (S465-K465)&lt;Q465,"BeforeTime" )</f>
        <v>BeforeTime</v>
      </c>
      <c r="AB465" s="3">
        <f>MONTH(Table1[[#This Row],[Order_Date]])</f>
        <v>4</v>
      </c>
    </row>
    <row r="466" spans="1:28" x14ac:dyDescent="0.3">
      <c r="A466" s="3" t="s">
        <v>165</v>
      </c>
      <c r="B466" s="3" t="s">
        <v>166</v>
      </c>
      <c r="C466" s="3" t="s">
        <v>167</v>
      </c>
      <c r="D466" s="3" t="str">
        <f>_xlfn.CONCAT(Table1[[#This Row],[First_Name]],Table1[[#This Row],[Last_Name]])</f>
        <v>ErinMiller</v>
      </c>
      <c r="E466" s="3">
        <v>46</v>
      </c>
      <c r="F466" s="3" t="s">
        <v>29</v>
      </c>
      <c r="G466" s="3" t="s">
        <v>168</v>
      </c>
      <c r="H466" s="3" t="s">
        <v>169</v>
      </c>
      <c r="I466" s="3" t="s">
        <v>170</v>
      </c>
      <c r="J466" s="3" t="s">
        <v>1949</v>
      </c>
      <c r="K466" s="4">
        <v>45525</v>
      </c>
      <c r="L466" s="3" t="s">
        <v>1950</v>
      </c>
      <c r="M466" s="3" t="s">
        <v>344</v>
      </c>
      <c r="N466" s="3">
        <v>372.62</v>
      </c>
      <c r="O466" s="3">
        <v>4</v>
      </c>
      <c r="P466" s="3" t="s">
        <v>36</v>
      </c>
      <c r="Q466" s="3">
        <v>3</v>
      </c>
      <c r="R466" s="3">
        <v>48</v>
      </c>
      <c r="S466" s="4">
        <v>45530</v>
      </c>
      <c r="T466" s="3" t="s">
        <v>1951</v>
      </c>
      <c r="U466" s="5">
        <f>Table1[[#This Row],[Delivery_Date]]-Table1[[#This Row],[Order_Date]]</f>
        <v>5</v>
      </c>
      <c r="V466" s="5">
        <f>Table1[[#This Row],[Price]]*Table1[[#This Row],[Quantity]]</f>
        <v>1490.48</v>
      </c>
      <c r="W466" s="6" cm="1">
        <f t="array" ref="W466">_xlfn.IFS(
P466="FLAT8",8%,
P466="FLAT10",10%,
P466="FLAT15",15%,P466="FLAT20",20%,P466="DEL0",0%,
TRUE,0%
)</f>
        <v>0.08</v>
      </c>
      <c r="X466" s="5">
        <f>Table1[[#This Row],[Amount]]-(Table1[[#This Row],[Amount]]*Table1[[#This Row],[Discount_Percentage]])</f>
        <v>1371.2416000000001</v>
      </c>
      <c r="Y466" s="5">
        <f>IF(P466="DEL0",Table1[[#This Row],[Discount_Amount]],Table1[[#This Row],[Discount_Amount]]+Table1[[#This Row],[Delivery_Charge]])</f>
        <v>1419.2416000000001</v>
      </c>
      <c r="Z466" s="7" t="str">
        <f>_xlfn.CONCAT(Table1[[#This Row],[First_Name]],"  ",Table1[[#This Row],[Last_Name]])</f>
        <v>Erin  Miller</v>
      </c>
      <c r="AA466" s="5" t="str" cm="1">
        <f t="array" ref="AA466">_xlfn.IFS( (S466-K466)&gt;Q466,"Late", (S466-K466)=Q466,"InTime", (S466-K466)&lt;Q466,"BeforeTime" )</f>
        <v>Late</v>
      </c>
      <c r="AB466" s="3">
        <f>MONTH(Table1[[#This Row],[Order_Date]])</f>
        <v>8</v>
      </c>
    </row>
    <row r="467" spans="1:28" x14ac:dyDescent="0.3">
      <c r="A467" s="3" t="s">
        <v>316</v>
      </c>
      <c r="B467" s="3" t="s">
        <v>317</v>
      </c>
      <c r="C467" s="3" t="s">
        <v>318</v>
      </c>
      <c r="D467" s="3" t="str">
        <f>_xlfn.CONCAT(Table1[[#This Row],[First_Name]],Table1[[#This Row],[Last_Name]])</f>
        <v>JennyEstrada</v>
      </c>
      <c r="E467" s="3">
        <v>45</v>
      </c>
      <c r="F467" s="3" t="s">
        <v>29</v>
      </c>
      <c r="G467" s="3" t="s">
        <v>42</v>
      </c>
      <c r="H467" s="3" t="s">
        <v>319</v>
      </c>
      <c r="I467" s="3" t="s">
        <v>320</v>
      </c>
      <c r="J467" s="3" t="s">
        <v>1952</v>
      </c>
      <c r="K467" s="4">
        <v>45103</v>
      </c>
      <c r="L467" s="3" t="s">
        <v>1953</v>
      </c>
      <c r="M467" s="3" t="s">
        <v>637</v>
      </c>
      <c r="N467" s="3">
        <v>445.81</v>
      </c>
      <c r="O467" s="3">
        <v>3</v>
      </c>
      <c r="P467" s="3" t="s">
        <v>85</v>
      </c>
      <c r="Q467" s="3">
        <v>1</v>
      </c>
      <c r="R467" s="3">
        <v>58</v>
      </c>
      <c r="S467" s="4">
        <v>45109</v>
      </c>
      <c r="T467" s="3" t="s">
        <v>1954</v>
      </c>
      <c r="U467" s="5">
        <f>Table1[[#This Row],[Delivery_Date]]-Table1[[#This Row],[Order_Date]]</f>
        <v>6</v>
      </c>
      <c r="V467" s="5">
        <f>Table1[[#This Row],[Price]]*Table1[[#This Row],[Quantity]]</f>
        <v>1337.43</v>
      </c>
      <c r="W467" s="6" cm="1">
        <f t="array" ref="W467">_xlfn.IFS(
P467="FLAT8",8%,
P467="FLAT10",10%,
P467="FLAT15",15%,P467="FLAT20",20%,P467="DEL0",0%,
TRUE,0%
)</f>
        <v>0.2</v>
      </c>
      <c r="X467" s="5">
        <f>Table1[[#This Row],[Amount]]-(Table1[[#This Row],[Amount]]*Table1[[#This Row],[Discount_Percentage]])</f>
        <v>1069.944</v>
      </c>
      <c r="Y467" s="5">
        <f>IF(P467="DEL0",Table1[[#This Row],[Discount_Amount]],Table1[[#This Row],[Discount_Amount]]+Table1[[#This Row],[Delivery_Charge]])</f>
        <v>1127.944</v>
      </c>
      <c r="Z467" s="7" t="str">
        <f>_xlfn.CONCAT(Table1[[#This Row],[First_Name]],"  ",Table1[[#This Row],[Last_Name]])</f>
        <v>Jenny  Estrada</v>
      </c>
      <c r="AA467" s="5" t="str" cm="1">
        <f t="array" ref="AA467">_xlfn.IFS( (S467-K467)&gt;Q467,"Late", (S467-K467)=Q467,"InTime", (S467-K467)&lt;Q467,"BeforeTime" )</f>
        <v>Late</v>
      </c>
      <c r="AB467" s="3">
        <f>MONTH(Table1[[#This Row],[Order_Date]])</f>
        <v>6</v>
      </c>
    </row>
    <row r="468" spans="1:28" x14ac:dyDescent="0.3">
      <c r="A468" s="3" t="s">
        <v>639</v>
      </c>
      <c r="B468" s="3" t="s">
        <v>148</v>
      </c>
      <c r="C468" s="3" t="s">
        <v>640</v>
      </c>
      <c r="D468" s="3" t="str">
        <f>_xlfn.CONCAT(Table1[[#This Row],[First_Name]],Table1[[#This Row],[Last_Name]])</f>
        <v>AmyEllis</v>
      </c>
      <c r="E468" s="3">
        <v>44</v>
      </c>
      <c r="F468" s="3" t="s">
        <v>52</v>
      </c>
      <c r="G468" s="3" t="s">
        <v>90</v>
      </c>
      <c r="H468" s="3" t="s">
        <v>641</v>
      </c>
      <c r="I468" s="3" t="s">
        <v>642</v>
      </c>
      <c r="J468" s="3" t="s">
        <v>1955</v>
      </c>
      <c r="K468" s="4">
        <v>45410</v>
      </c>
      <c r="L468" s="3" t="s">
        <v>1956</v>
      </c>
      <c r="M468" s="3" t="s">
        <v>590</v>
      </c>
      <c r="N468" s="3">
        <v>403.03</v>
      </c>
      <c r="O468" s="3">
        <v>2</v>
      </c>
      <c r="P468" s="3" t="s">
        <v>58</v>
      </c>
      <c r="Q468" s="3">
        <v>7</v>
      </c>
      <c r="R468" s="3">
        <v>39</v>
      </c>
      <c r="S468" s="4">
        <v>45417</v>
      </c>
      <c r="T468" s="3" t="s">
        <v>1957</v>
      </c>
      <c r="U468" s="5">
        <f>Table1[[#This Row],[Delivery_Date]]-Table1[[#This Row],[Order_Date]]</f>
        <v>7</v>
      </c>
      <c r="V468" s="5">
        <f>Table1[[#This Row],[Price]]*Table1[[#This Row],[Quantity]]</f>
        <v>806.06</v>
      </c>
      <c r="W468" s="6" cm="1">
        <f t="array" ref="W468">_xlfn.IFS(
P468="FLAT8",8%,
P468="FLAT10",10%,
P468="FLAT15",15%,P468="FLAT20",20%,P468="DEL0",0%,
TRUE,0%
)</f>
        <v>0.15</v>
      </c>
      <c r="X468" s="5">
        <f>Table1[[#This Row],[Amount]]-(Table1[[#This Row],[Amount]]*Table1[[#This Row],[Discount_Percentage]])</f>
        <v>685.15099999999995</v>
      </c>
      <c r="Y468" s="5">
        <f>IF(P468="DEL0",Table1[[#This Row],[Discount_Amount]],Table1[[#This Row],[Discount_Amount]]+Table1[[#This Row],[Delivery_Charge]])</f>
        <v>724.15099999999995</v>
      </c>
      <c r="Z468" s="7" t="str">
        <f>_xlfn.CONCAT(Table1[[#This Row],[First_Name]],"  ",Table1[[#This Row],[Last_Name]])</f>
        <v>Amy  Ellis</v>
      </c>
      <c r="AA468" s="5" t="str" cm="1">
        <f t="array" ref="AA468">_xlfn.IFS( (S468-K468)&gt;Q468,"Late", (S468-K468)=Q468,"InTime", (S468-K468)&lt;Q468,"BeforeTime" )</f>
        <v>InTime</v>
      </c>
      <c r="AB468" s="3">
        <f>MONTH(Table1[[#This Row],[Order_Date]])</f>
        <v>4</v>
      </c>
    </row>
    <row r="469" spans="1:28" x14ac:dyDescent="0.3">
      <c r="A469" s="3" t="s">
        <v>894</v>
      </c>
      <c r="B469" s="3" t="s">
        <v>148</v>
      </c>
      <c r="C469" s="3" t="s">
        <v>895</v>
      </c>
      <c r="D469" s="3" t="str">
        <f>_xlfn.CONCAT(Table1[[#This Row],[First_Name]],Table1[[#This Row],[Last_Name]])</f>
        <v>AmyGriffin</v>
      </c>
      <c r="E469" s="3">
        <v>29</v>
      </c>
      <c r="F469" s="3" t="s">
        <v>29</v>
      </c>
      <c r="G469" s="3" t="s">
        <v>42</v>
      </c>
      <c r="H469" s="3" t="s">
        <v>896</v>
      </c>
      <c r="I469" s="3" t="s">
        <v>897</v>
      </c>
      <c r="J469" s="3" t="s">
        <v>1958</v>
      </c>
      <c r="K469" s="4">
        <v>45423</v>
      </c>
      <c r="L469" s="3" t="s">
        <v>1959</v>
      </c>
      <c r="M469" s="3" t="s">
        <v>356</v>
      </c>
      <c r="N469" s="3">
        <v>496.59</v>
      </c>
      <c r="O469" s="3">
        <v>5</v>
      </c>
      <c r="P469" s="3" t="s">
        <v>36</v>
      </c>
      <c r="Q469" s="3">
        <v>3</v>
      </c>
      <c r="R469" s="3">
        <v>61</v>
      </c>
      <c r="S469" s="4">
        <v>45425</v>
      </c>
      <c r="T469" s="3" t="s">
        <v>1960</v>
      </c>
      <c r="U469" s="5">
        <f>Table1[[#This Row],[Delivery_Date]]-Table1[[#This Row],[Order_Date]]</f>
        <v>2</v>
      </c>
      <c r="V469" s="5">
        <f>Table1[[#This Row],[Price]]*Table1[[#This Row],[Quantity]]</f>
        <v>2482.9499999999998</v>
      </c>
      <c r="W469" s="6" cm="1">
        <f t="array" ref="W469">_xlfn.IFS(
P469="FLAT8",8%,
P469="FLAT10",10%,
P469="FLAT15",15%,P469="FLAT20",20%,P469="DEL0",0%,
TRUE,0%
)</f>
        <v>0.08</v>
      </c>
      <c r="X469" s="5">
        <f>Table1[[#This Row],[Amount]]-(Table1[[#This Row],[Amount]]*Table1[[#This Row],[Discount_Percentage]])</f>
        <v>2284.3139999999999</v>
      </c>
      <c r="Y469" s="5">
        <f>IF(P469="DEL0",Table1[[#This Row],[Discount_Amount]],Table1[[#This Row],[Discount_Amount]]+Table1[[#This Row],[Delivery_Charge]])</f>
        <v>2345.3139999999999</v>
      </c>
      <c r="Z469" s="7" t="str">
        <f>_xlfn.CONCAT(Table1[[#This Row],[First_Name]],"  ",Table1[[#This Row],[Last_Name]])</f>
        <v>Amy  Griffin</v>
      </c>
      <c r="AA469" s="5" t="str" cm="1">
        <f t="array" ref="AA469">_xlfn.IFS( (S469-K469)&gt;Q469,"Late", (S469-K469)=Q469,"InTime", (S469-K469)&lt;Q469,"BeforeTime" )</f>
        <v>BeforeTime</v>
      </c>
      <c r="AB469" s="3">
        <f>MONTH(Table1[[#This Row],[Order_Date]])</f>
        <v>5</v>
      </c>
    </row>
    <row r="470" spans="1:28" x14ac:dyDescent="0.3">
      <c r="A470" s="3" t="s">
        <v>65</v>
      </c>
      <c r="B470" s="3" t="s">
        <v>66</v>
      </c>
      <c r="C470" s="3" t="s">
        <v>67</v>
      </c>
      <c r="D470" s="3" t="str">
        <f>_xlfn.CONCAT(Table1[[#This Row],[First_Name]],Table1[[#This Row],[Last_Name]])</f>
        <v>AngelaHorne</v>
      </c>
      <c r="E470" s="3">
        <v>49</v>
      </c>
      <c r="F470" s="3" t="s">
        <v>52</v>
      </c>
      <c r="G470" s="3" t="s">
        <v>30</v>
      </c>
      <c r="H470" s="3" t="s">
        <v>68</v>
      </c>
      <c r="I470" s="3" t="s">
        <v>69</v>
      </c>
      <c r="J470" s="3" t="s">
        <v>1961</v>
      </c>
      <c r="K470" s="4">
        <v>45377</v>
      </c>
      <c r="L470" s="3" t="s">
        <v>1962</v>
      </c>
      <c r="M470" s="3" t="s">
        <v>418</v>
      </c>
      <c r="N470" s="3">
        <v>44.5</v>
      </c>
      <c r="O470" s="3">
        <v>3</v>
      </c>
      <c r="P470" s="3" t="s">
        <v>85</v>
      </c>
      <c r="Q470" s="3">
        <v>7</v>
      </c>
      <c r="R470" s="3">
        <v>40</v>
      </c>
      <c r="S470" s="4">
        <v>45382</v>
      </c>
      <c r="T470" s="3" t="s">
        <v>1963</v>
      </c>
      <c r="U470" s="5">
        <f>Table1[[#This Row],[Delivery_Date]]-Table1[[#This Row],[Order_Date]]</f>
        <v>5</v>
      </c>
      <c r="V470" s="5">
        <f>Table1[[#This Row],[Price]]*Table1[[#This Row],[Quantity]]</f>
        <v>133.5</v>
      </c>
      <c r="W470" s="6" cm="1">
        <f t="array" ref="W470">_xlfn.IFS(
P470="FLAT8",8%,
P470="FLAT10",10%,
P470="FLAT15",15%,P470="FLAT20",20%,P470="DEL0",0%,
TRUE,0%
)</f>
        <v>0.2</v>
      </c>
      <c r="X470" s="5">
        <f>Table1[[#This Row],[Amount]]-(Table1[[#This Row],[Amount]]*Table1[[#This Row],[Discount_Percentage]])</f>
        <v>106.8</v>
      </c>
      <c r="Y470" s="5">
        <f>IF(P470="DEL0",Table1[[#This Row],[Discount_Amount]],Table1[[#This Row],[Discount_Amount]]+Table1[[#This Row],[Delivery_Charge]])</f>
        <v>146.80000000000001</v>
      </c>
      <c r="Z470" s="7" t="str">
        <f>_xlfn.CONCAT(Table1[[#This Row],[First_Name]],"  ",Table1[[#This Row],[Last_Name]])</f>
        <v>Angela  Horne</v>
      </c>
      <c r="AA470" s="5" t="str" cm="1">
        <f t="array" ref="AA470">_xlfn.IFS( (S470-K470)&gt;Q470,"Late", (S470-K470)=Q470,"InTime", (S470-K470)&lt;Q470,"BeforeTime" )</f>
        <v>BeforeTime</v>
      </c>
      <c r="AB470" s="3">
        <f>MONTH(Table1[[#This Row],[Order_Date]])</f>
        <v>3</v>
      </c>
    </row>
    <row r="471" spans="1:28" x14ac:dyDescent="0.3">
      <c r="A471" s="3" t="s">
        <v>1614</v>
      </c>
      <c r="B471" s="3" t="s">
        <v>273</v>
      </c>
      <c r="C471" s="3" t="s">
        <v>1615</v>
      </c>
      <c r="D471" s="3" t="str">
        <f>_xlfn.CONCAT(Table1[[#This Row],[First_Name]],Table1[[#This Row],[Last_Name]])</f>
        <v>LaurenCrane</v>
      </c>
      <c r="E471" s="3">
        <v>62</v>
      </c>
      <c r="F471" s="3" t="s">
        <v>41</v>
      </c>
      <c r="G471" s="3" t="s">
        <v>42</v>
      </c>
      <c r="H471" s="3" t="s">
        <v>1616</v>
      </c>
      <c r="I471" s="3" t="s">
        <v>1617</v>
      </c>
      <c r="J471" s="3" t="s">
        <v>1964</v>
      </c>
      <c r="K471" s="4">
        <v>45451</v>
      </c>
      <c r="L471" s="3" t="s">
        <v>1965</v>
      </c>
      <c r="M471" s="3" t="s">
        <v>270</v>
      </c>
      <c r="N471" s="3">
        <v>62.42</v>
      </c>
      <c r="O471" s="3">
        <v>5</v>
      </c>
      <c r="P471" s="3" t="s">
        <v>63</v>
      </c>
      <c r="Q471" s="3">
        <v>2</v>
      </c>
      <c r="R471" s="3">
        <v>47</v>
      </c>
      <c r="S471" s="4">
        <v>45453</v>
      </c>
      <c r="T471" s="3" t="s">
        <v>1966</v>
      </c>
      <c r="U471" s="5">
        <f>Table1[[#This Row],[Delivery_Date]]-Table1[[#This Row],[Order_Date]]</f>
        <v>2</v>
      </c>
      <c r="V471" s="5">
        <f>Table1[[#This Row],[Price]]*Table1[[#This Row],[Quantity]]</f>
        <v>312.10000000000002</v>
      </c>
      <c r="W471" s="6" cm="1">
        <f t="array" ref="W471">_xlfn.IFS(
P471="FLAT8",8%,
P471="FLAT10",10%,
P471="FLAT15",15%,P471="FLAT20",20%,P471="DEL0",0%,
TRUE,0%
)</f>
        <v>0</v>
      </c>
      <c r="X471" s="5">
        <f>Table1[[#This Row],[Amount]]-(Table1[[#This Row],[Amount]]*Table1[[#This Row],[Discount_Percentage]])</f>
        <v>312.10000000000002</v>
      </c>
      <c r="Y471" s="5">
        <f>IF(P471="DEL0",Table1[[#This Row],[Discount_Amount]],Table1[[#This Row],[Discount_Amount]]+Table1[[#This Row],[Delivery_Charge]])</f>
        <v>312.10000000000002</v>
      </c>
      <c r="Z471" s="7" t="str">
        <f>_xlfn.CONCAT(Table1[[#This Row],[First_Name]],"  ",Table1[[#This Row],[Last_Name]])</f>
        <v>Lauren  Crane</v>
      </c>
      <c r="AA471" s="5" t="str" cm="1">
        <f t="array" ref="AA471">_xlfn.IFS( (S471-K471)&gt;Q471,"Late", (S471-K471)=Q471,"InTime", (S471-K471)&lt;Q471,"BeforeTime" )</f>
        <v>InTime</v>
      </c>
      <c r="AB471" s="3">
        <f>MONTH(Table1[[#This Row],[Order_Date]])</f>
        <v>6</v>
      </c>
    </row>
    <row r="472" spans="1:28" x14ac:dyDescent="0.3">
      <c r="A472" s="3" t="s">
        <v>705</v>
      </c>
      <c r="B472" s="3" t="s">
        <v>706</v>
      </c>
      <c r="C472" s="3" t="s">
        <v>707</v>
      </c>
      <c r="D472" s="3" t="str">
        <f>_xlfn.CONCAT(Table1[[#This Row],[First_Name]],Table1[[#This Row],[Last_Name]])</f>
        <v>GregoryLee</v>
      </c>
      <c r="E472" s="3">
        <v>26</v>
      </c>
      <c r="F472" s="3" t="s">
        <v>52</v>
      </c>
      <c r="G472" s="3" t="s">
        <v>76</v>
      </c>
      <c r="H472" s="3" t="s">
        <v>708</v>
      </c>
      <c r="I472" s="3" t="s">
        <v>709</v>
      </c>
      <c r="J472" s="3" t="s">
        <v>1967</v>
      </c>
      <c r="K472" s="4">
        <v>45362</v>
      </c>
      <c r="L472" s="3" t="s">
        <v>1968</v>
      </c>
      <c r="M472" s="3" t="s">
        <v>481</v>
      </c>
      <c r="N472" s="3">
        <v>87.09</v>
      </c>
      <c r="O472" s="3">
        <v>4</v>
      </c>
      <c r="P472" s="3" t="s">
        <v>96</v>
      </c>
      <c r="Q472" s="3">
        <v>5</v>
      </c>
      <c r="R472" s="3">
        <v>45</v>
      </c>
      <c r="S472" s="4">
        <v>45368</v>
      </c>
      <c r="T472" s="3" t="s">
        <v>1969</v>
      </c>
      <c r="U472" s="5">
        <f>Table1[[#This Row],[Delivery_Date]]-Table1[[#This Row],[Order_Date]]</f>
        <v>6</v>
      </c>
      <c r="V472" s="5">
        <f>Table1[[#This Row],[Price]]*Table1[[#This Row],[Quantity]]</f>
        <v>348.36</v>
      </c>
      <c r="W472" s="6" cm="1">
        <f t="array" ref="W472">_xlfn.IFS(
P472="FLAT8",8%,
P472="FLAT10",10%,
P472="FLAT15",15%,P472="FLAT20",20%,P472="DEL0",0%,
TRUE,0%
)</f>
        <v>0.1</v>
      </c>
      <c r="X472" s="5">
        <f>Table1[[#This Row],[Amount]]-(Table1[[#This Row],[Amount]]*Table1[[#This Row],[Discount_Percentage]])</f>
        <v>313.524</v>
      </c>
      <c r="Y472" s="5">
        <f>IF(P472="DEL0",Table1[[#This Row],[Discount_Amount]],Table1[[#This Row],[Discount_Amount]]+Table1[[#This Row],[Delivery_Charge]])</f>
        <v>358.524</v>
      </c>
      <c r="Z472" s="7" t="str">
        <f>_xlfn.CONCAT(Table1[[#This Row],[First_Name]],"  ",Table1[[#This Row],[Last_Name]])</f>
        <v>Gregory  Lee</v>
      </c>
      <c r="AA472" s="5" t="str" cm="1">
        <f t="array" ref="AA472">_xlfn.IFS( (S472-K472)&gt;Q472,"Late", (S472-K472)=Q472,"InTime", (S472-K472)&lt;Q472,"BeforeTime" )</f>
        <v>Late</v>
      </c>
      <c r="AB472" s="3">
        <f>MONTH(Table1[[#This Row],[Order_Date]])</f>
        <v>3</v>
      </c>
    </row>
    <row r="473" spans="1:28" x14ac:dyDescent="0.3">
      <c r="A473" s="3" t="s">
        <v>293</v>
      </c>
      <c r="B473" s="3" t="s">
        <v>294</v>
      </c>
      <c r="C473" s="3" t="s">
        <v>295</v>
      </c>
      <c r="D473" s="3" t="str">
        <f>_xlfn.CONCAT(Table1[[#This Row],[First_Name]],Table1[[#This Row],[Last_Name]])</f>
        <v>HeatherSchneider</v>
      </c>
      <c r="E473" s="3">
        <v>48</v>
      </c>
      <c r="F473" s="3" t="s">
        <v>41</v>
      </c>
      <c r="G473" s="3" t="s">
        <v>90</v>
      </c>
      <c r="H473" s="3" t="s">
        <v>296</v>
      </c>
      <c r="I473" s="3" t="s">
        <v>297</v>
      </c>
      <c r="J473" s="3" t="s">
        <v>1970</v>
      </c>
      <c r="K473" s="4">
        <v>45283</v>
      </c>
      <c r="L473" s="3" t="s">
        <v>1971</v>
      </c>
      <c r="M473" s="3" t="s">
        <v>340</v>
      </c>
      <c r="N473" s="3">
        <v>77.84</v>
      </c>
      <c r="O473" s="3">
        <v>4</v>
      </c>
      <c r="P473" s="3" t="s">
        <v>85</v>
      </c>
      <c r="Q473" s="3">
        <v>5</v>
      </c>
      <c r="R473" s="3">
        <v>55</v>
      </c>
      <c r="S473" s="4">
        <v>45286</v>
      </c>
      <c r="T473" s="3" t="s">
        <v>1972</v>
      </c>
      <c r="U473" s="5">
        <f>Table1[[#This Row],[Delivery_Date]]-Table1[[#This Row],[Order_Date]]</f>
        <v>3</v>
      </c>
      <c r="V473" s="5">
        <f>Table1[[#This Row],[Price]]*Table1[[#This Row],[Quantity]]</f>
        <v>311.36</v>
      </c>
      <c r="W473" s="6" cm="1">
        <f t="array" ref="W473">_xlfn.IFS(
P473="FLAT8",8%,
P473="FLAT10",10%,
P473="FLAT15",15%,P473="FLAT20",20%,P473="DEL0",0%,
TRUE,0%
)</f>
        <v>0.2</v>
      </c>
      <c r="X473" s="5">
        <f>Table1[[#This Row],[Amount]]-(Table1[[#This Row],[Amount]]*Table1[[#This Row],[Discount_Percentage]])</f>
        <v>249.08800000000002</v>
      </c>
      <c r="Y473" s="5">
        <f>IF(P473="DEL0",Table1[[#This Row],[Discount_Amount]],Table1[[#This Row],[Discount_Amount]]+Table1[[#This Row],[Delivery_Charge]])</f>
        <v>304.08800000000002</v>
      </c>
      <c r="Z473" s="7" t="str">
        <f>_xlfn.CONCAT(Table1[[#This Row],[First_Name]],"  ",Table1[[#This Row],[Last_Name]])</f>
        <v>Heather  Schneider</v>
      </c>
      <c r="AA473" s="5" t="str" cm="1">
        <f t="array" ref="AA473">_xlfn.IFS( (S473-K473)&gt;Q473,"Late", (S473-K473)=Q473,"InTime", (S473-K473)&lt;Q473,"BeforeTime" )</f>
        <v>BeforeTime</v>
      </c>
      <c r="AB473" s="3">
        <f>MONTH(Table1[[#This Row],[Order_Date]])</f>
        <v>12</v>
      </c>
    </row>
    <row r="474" spans="1:28" x14ac:dyDescent="0.3">
      <c r="A474" s="3" t="s">
        <v>1906</v>
      </c>
      <c r="B474" s="3" t="s">
        <v>1907</v>
      </c>
      <c r="C474" s="3" t="s">
        <v>1908</v>
      </c>
      <c r="D474" s="3" t="str">
        <f>_xlfn.CONCAT(Table1[[#This Row],[First_Name]],Table1[[#This Row],[Last_Name]])</f>
        <v>JaniceGordon</v>
      </c>
      <c r="E474" s="3">
        <v>43</v>
      </c>
      <c r="F474" s="3" t="s">
        <v>29</v>
      </c>
      <c r="G474" s="3" t="s">
        <v>42</v>
      </c>
      <c r="H474" s="3" t="s">
        <v>1909</v>
      </c>
      <c r="I474" s="3" t="s">
        <v>1910</v>
      </c>
      <c r="J474" s="3" t="s">
        <v>1973</v>
      </c>
      <c r="K474" s="4">
        <v>45012</v>
      </c>
      <c r="L474" s="3" t="s">
        <v>1974</v>
      </c>
      <c r="M474" s="3" t="s">
        <v>340</v>
      </c>
      <c r="N474" s="3">
        <v>77.84</v>
      </c>
      <c r="O474" s="3">
        <v>5</v>
      </c>
      <c r="P474" s="3" t="s">
        <v>96</v>
      </c>
      <c r="Q474" s="3">
        <v>2</v>
      </c>
      <c r="R474" s="3">
        <v>53</v>
      </c>
      <c r="S474" s="4">
        <v>45017</v>
      </c>
      <c r="T474" s="3" t="s">
        <v>1975</v>
      </c>
      <c r="U474" s="5">
        <f>Table1[[#This Row],[Delivery_Date]]-Table1[[#This Row],[Order_Date]]</f>
        <v>5</v>
      </c>
      <c r="V474" s="5">
        <f>Table1[[#This Row],[Price]]*Table1[[#This Row],[Quantity]]</f>
        <v>389.20000000000005</v>
      </c>
      <c r="W474" s="6" cm="1">
        <f t="array" ref="W474">_xlfn.IFS(
P474="FLAT8",8%,
P474="FLAT10",10%,
P474="FLAT15",15%,P474="FLAT20",20%,P474="DEL0",0%,
TRUE,0%
)</f>
        <v>0.1</v>
      </c>
      <c r="X474" s="5">
        <f>Table1[[#This Row],[Amount]]-(Table1[[#This Row],[Amount]]*Table1[[#This Row],[Discount_Percentage]])</f>
        <v>350.28000000000003</v>
      </c>
      <c r="Y474" s="5">
        <f>IF(P474="DEL0",Table1[[#This Row],[Discount_Amount]],Table1[[#This Row],[Discount_Amount]]+Table1[[#This Row],[Delivery_Charge]])</f>
        <v>403.28000000000003</v>
      </c>
      <c r="Z474" s="7" t="str">
        <f>_xlfn.CONCAT(Table1[[#This Row],[First_Name]],"  ",Table1[[#This Row],[Last_Name]])</f>
        <v>Janice  Gordon</v>
      </c>
      <c r="AA474" s="5" t="str" cm="1">
        <f t="array" ref="AA474">_xlfn.IFS( (S474-K474)&gt;Q474,"Late", (S474-K474)=Q474,"InTime", (S474-K474)&lt;Q474,"BeforeTime" )</f>
        <v>Late</v>
      </c>
      <c r="AB474" s="3">
        <f>MONTH(Table1[[#This Row],[Order_Date]])</f>
        <v>3</v>
      </c>
    </row>
    <row r="475" spans="1:28" x14ac:dyDescent="0.3">
      <c r="A475" s="3" t="s">
        <v>475</v>
      </c>
      <c r="B475" s="3" t="s">
        <v>108</v>
      </c>
      <c r="C475" s="3" t="s">
        <v>476</v>
      </c>
      <c r="D475" s="3" t="str">
        <f>_xlfn.CONCAT(Table1[[#This Row],[First_Name]],Table1[[#This Row],[Last_Name]])</f>
        <v>DebraHayes</v>
      </c>
      <c r="E475" s="3">
        <v>33</v>
      </c>
      <c r="F475" s="3" t="s">
        <v>29</v>
      </c>
      <c r="G475" s="3" t="s">
        <v>168</v>
      </c>
      <c r="H475" s="3" t="s">
        <v>477</v>
      </c>
      <c r="I475" s="3" t="s">
        <v>478</v>
      </c>
      <c r="J475" s="3" t="s">
        <v>1976</v>
      </c>
      <c r="K475" s="4">
        <v>45528</v>
      </c>
      <c r="L475" s="3" t="s">
        <v>1977</v>
      </c>
      <c r="M475" s="3" t="s">
        <v>234</v>
      </c>
      <c r="N475" s="3">
        <v>132.97</v>
      </c>
      <c r="O475" s="3">
        <v>4</v>
      </c>
      <c r="P475" s="3" t="s">
        <v>63</v>
      </c>
      <c r="Q475" s="3">
        <v>6</v>
      </c>
      <c r="R475" s="3">
        <v>63</v>
      </c>
      <c r="S475" s="4">
        <v>45535</v>
      </c>
      <c r="T475" s="3" t="s">
        <v>1978</v>
      </c>
      <c r="U475" s="5">
        <f>Table1[[#This Row],[Delivery_Date]]-Table1[[#This Row],[Order_Date]]</f>
        <v>7</v>
      </c>
      <c r="V475" s="5">
        <f>Table1[[#This Row],[Price]]*Table1[[#This Row],[Quantity]]</f>
        <v>531.88</v>
      </c>
      <c r="W475" s="6" cm="1">
        <f t="array" ref="W475">_xlfn.IFS(
P475="FLAT8",8%,
P475="FLAT10",10%,
P475="FLAT15",15%,P475="FLAT20",20%,P475="DEL0",0%,
TRUE,0%
)</f>
        <v>0</v>
      </c>
      <c r="X475" s="5">
        <f>Table1[[#This Row],[Amount]]-(Table1[[#This Row],[Amount]]*Table1[[#This Row],[Discount_Percentage]])</f>
        <v>531.88</v>
      </c>
      <c r="Y475" s="5">
        <f>IF(P475="DEL0",Table1[[#This Row],[Discount_Amount]],Table1[[#This Row],[Discount_Amount]]+Table1[[#This Row],[Delivery_Charge]])</f>
        <v>531.88</v>
      </c>
      <c r="Z475" s="7" t="str">
        <f>_xlfn.CONCAT(Table1[[#This Row],[First_Name]],"  ",Table1[[#This Row],[Last_Name]])</f>
        <v>Debra  Hayes</v>
      </c>
      <c r="AA475" s="5" t="str" cm="1">
        <f t="array" ref="AA475">_xlfn.IFS( (S475-K475)&gt;Q475,"Late", (S475-K475)=Q475,"InTime", (S475-K475)&lt;Q475,"BeforeTime" )</f>
        <v>Late</v>
      </c>
      <c r="AB475" s="3">
        <f>MONTH(Table1[[#This Row],[Order_Date]])</f>
        <v>8</v>
      </c>
    </row>
    <row r="476" spans="1:28" x14ac:dyDescent="0.3">
      <c r="A476" s="3" t="s">
        <v>236</v>
      </c>
      <c r="B476" s="3" t="s">
        <v>66</v>
      </c>
      <c r="C476" s="3" t="s">
        <v>237</v>
      </c>
      <c r="D476" s="3" t="str">
        <f>_xlfn.CONCAT(Table1[[#This Row],[First_Name]],Table1[[#This Row],[Last_Name]])</f>
        <v>AngelaEvans</v>
      </c>
      <c r="E476" s="3">
        <v>52</v>
      </c>
      <c r="F476" s="3" t="s">
        <v>52</v>
      </c>
      <c r="G476" s="3" t="s">
        <v>42</v>
      </c>
      <c r="H476" s="3" t="s">
        <v>238</v>
      </c>
      <c r="I476" s="3" t="s">
        <v>239</v>
      </c>
      <c r="J476" s="3" t="s">
        <v>1979</v>
      </c>
      <c r="K476" s="4">
        <v>45354</v>
      </c>
      <c r="L476" s="3" t="s">
        <v>1980</v>
      </c>
      <c r="M476" s="3" t="s">
        <v>225</v>
      </c>
      <c r="N476" s="3">
        <v>461.07</v>
      </c>
      <c r="O476" s="3">
        <v>3</v>
      </c>
      <c r="P476" s="3" t="s">
        <v>58</v>
      </c>
      <c r="Q476" s="3">
        <v>4</v>
      </c>
      <c r="R476" s="3">
        <v>54</v>
      </c>
      <c r="S476" s="4">
        <v>45357</v>
      </c>
      <c r="T476" s="3" t="s">
        <v>1981</v>
      </c>
      <c r="U476" s="5">
        <f>Table1[[#This Row],[Delivery_Date]]-Table1[[#This Row],[Order_Date]]</f>
        <v>3</v>
      </c>
      <c r="V476" s="5">
        <f>Table1[[#This Row],[Price]]*Table1[[#This Row],[Quantity]]</f>
        <v>1383.21</v>
      </c>
      <c r="W476" s="6" cm="1">
        <f t="array" ref="W476">_xlfn.IFS(
P476="FLAT8",8%,
P476="FLAT10",10%,
P476="FLAT15",15%,P476="FLAT20",20%,P476="DEL0",0%,
TRUE,0%
)</f>
        <v>0.15</v>
      </c>
      <c r="X476" s="5">
        <f>Table1[[#This Row],[Amount]]-(Table1[[#This Row],[Amount]]*Table1[[#This Row],[Discount_Percentage]])</f>
        <v>1175.7284999999999</v>
      </c>
      <c r="Y476" s="5">
        <f>IF(P476="DEL0",Table1[[#This Row],[Discount_Amount]],Table1[[#This Row],[Discount_Amount]]+Table1[[#This Row],[Delivery_Charge]])</f>
        <v>1229.7284999999999</v>
      </c>
      <c r="Z476" s="7" t="str">
        <f>_xlfn.CONCAT(Table1[[#This Row],[First_Name]],"  ",Table1[[#This Row],[Last_Name]])</f>
        <v>Angela  Evans</v>
      </c>
      <c r="AA476" s="5" t="str" cm="1">
        <f t="array" ref="AA476">_xlfn.IFS( (S476-K476)&gt;Q476,"Late", (S476-K476)=Q476,"InTime", (S476-K476)&lt;Q476,"BeforeTime" )</f>
        <v>BeforeTime</v>
      </c>
      <c r="AB476" s="3">
        <f>MONTH(Table1[[#This Row],[Order_Date]])</f>
        <v>3</v>
      </c>
    </row>
    <row r="477" spans="1:28" x14ac:dyDescent="0.3">
      <c r="A477" s="3" t="s">
        <v>646</v>
      </c>
      <c r="B477" s="3" t="s">
        <v>647</v>
      </c>
      <c r="C477" s="3" t="s">
        <v>648</v>
      </c>
      <c r="D477" s="3" t="str">
        <f>_xlfn.CONCAT(Table1[[#This Row],[First_Name]],Table1[[#This Row],[Last_Name]])</f>
        <v>BethMason</v>
      </c>
      <c r="E477" s="3">
        <v>45</v>
      </c>
      <c r="F477" s="3" t="s">
        <v>52</v>
      </c>
      <c r="G477" s="3" t="s">
        <v>90</v>
      </c>
      <c r="H477" s="3" t="s">
        <v>649</v>
      </c>
      <c r="I477" s="3" t="s">
        <v>650</v>
      </c>
      <c r="J477" s="3" t="s">
        <v>1982</v>
      </c>
      <c r="K477" s="4">
        <v>45327</v>
      </c>
      <c r="L477" s="3" t="s">
        <v>1983</v>
      </c>
      <c r="M477" s="3" t="s">
        <v>47</v>
      </c>
      <c r="N477" s="3">
        <v>166.28</v>
      </c>
      <c r="O477" s="3">
        <v>1</v>
      </c>
      <c r="P477" s="3" t="s">
        <v>63</v>
      </c>
      <c r="Q477" s="3">
        <v>2</v>
      </c>
      <c r="R477" s="3">
        <v>38</v>
      </c>
      <c r="S477" s="4">
        <v>45328</v>
      </c>
      <c r="T477" s="3" t="s">
        <v>1984</v>
      </c>
      <c r="U477" s="5">
        <f>Table1[[#This Row],[Delivery_Date]]-Table1[[#This Row],[Order_Date]]</f>
        <v>1</v>
      </c>
      <c r="V477" s="5">
        <f>Table1[[#This Row],[Price]]*Table1[[#This Row],[Quantity]]</f>
        <v>166.28</v>
      </c>
      <c r="W477" s="6" cm="1">
        <f t="array" ref="W477">_xlfn.IFS(
P477="FLAT8",8%,
P477="FLAT10",10%,
P477="FLAT15",15%,P477="FLAT20",20%,P477="DEL0",0%,
TRUE,0%
)</f>
        <v>0</v>
      </c>
      <c r="X477" s="5">
        <f>Table1[[#This Row],[Amount]]-(Table1[[#This Row],[Amount]]*Table1[[#This Row],[Discount_Percentage]])</f>
        <v>166.28</v>
      </c>
      <c r="Y477" s="5">
        <f>IF(P477="DEL0",Table1[[#This Row],[Discount_Amount]],Table1[[#This Row],[Discount_Amount]]+Table1[[#This Row],[Delivery_Charge]])</f>
        <v>166.28</v>
      </c>
      <c r="Z477" s="7" t="str">
        <f>_xlfn.CONCAT(Table1[[#This Row],[First_Name]],"  ",Table1[[#This Row],[Last_Name]])</f>
        <v>Beth  Mason</v>
      </c>
      <c r="AA477" s="5" t="str" cm="1">
        <f t="array" ref="AA477">_xlfn.IFS( (S477-K477)&gt;Q477,"Late", (S477-K477)=Q477,"InTime", (S477-K477)&lt;Q477,"BeforeTime" )</f>
        <v>BeforeTime</v>
      </c>
      <c r="AB477" s="3">
        <f>MONTH(Table1[[#This Row],[Order_Date]])</f>
        <v>2</v>
      </c>
    </row>
    <row r="478" spans="1:28" x14ac:dyDescent="0.3">
      <c r="A478" s="3" t="s">
        <v>1932</v>
      </c>
      <c r="B478" s="3" t="s">
        <v>1933</v>
      </c>
      <c r="C478" s="3" t="s">
        <v>1934</v>
      </c>
      <c r="D478" s="3" t="str">
        <f>_xlfn.CONCAT(Table1[[#This Row],[First_Name]],Table1[[#This Row],[Last_Name]])</f>
        <v>DianaFrench</v>
      </c>
      <c r="E478" s="3">
        <v>54</v>
      </c>
      <c r="F478" s="3" t="s">
        <v>41</v>
      </c>
      <c r="G478" s="3" t="s">
        <v>76</v>
      </c>
      <c r="H478" s="3" t="s">
        <v>1935</v>
      </c>
      <c r="I478" s="3" t="s">
        <v>1936</v>
      </c>
      <c r="J478" s="3" t="s">
        <v>1985</v>
      </c>
      <c r="K478" s="4">
        <v>45353</v>
      </c>
      <c r="L478" s="3" t="s">
        <v>1986</v>
      </c>
      <c r="M478" s="3" t="s">
        <v>573</v>
      </c>
      <c r="N478" s="3">
        <v>477.52</v>
      </c>
      <c r="O478" s="3">
        <v>4</v>
      </c>
      <c r="P478" s="3" t="s">
        <v>96</v>
      </c>
      <c r="Q478" s="3">
        <v>3</v>
      </c>
      <c r="R478" s="3">
        <v>54</v>
      </c>
      <c r="S478" s="4">
        <v>45354</v>
      </c>
      <c r="T478" s="3" t="s">
        <v>1987</v>
      </c>
      <c r="U478" s="5">
        <f>Table1[[#This Row],[Delivery_Date]]-Table1[[#This Row],[Order_Date]]</f>
        <v>1</v>
      </c>
      <c r="V478" s="5">
        <f>Table1[[#This Row],[Price]]*Table1[[#This Row],[Quantity]]</f>
        <v>1910.08</v>
      </c>
      <c r="W478" s="6" cm="1">
        <f t="array" ref="W478">_xlfn.IFS(
P478="FLAT8",8%,
P478="FLAT10",10%,
P478="FLAT15",15%,P478="FLAT20",20%,P478="DEL0",0%,
TRUE,0%
)</f>
        <v>0.1</v>
      </c>
      <c r="X478" s="5">
        <f>Table1[[#This Row],[Amount]]-(Table1[[#This Row],[Amount]]*Table1[[#This Row],[Discount_Percentage]])</f>
        <v>1719.0719999999999</v>
      </c>
      <c r="Y478" s="5">
        <f>IF(P478="DEL0",Table1[[#This Row],[Discount_Amount]],Table1[[#This Row],[Discount_Amount]]+Table1[[#This Row],[Delivery_Charge]])</f>
        <v>1773.0719999999999</v>
      </c>
      <c r="Z478" s="7" t="str">
        <f>_xlfn.CONCAT(Table1[[#This Row],[First_Name]],"  ",Table1[[#This Row],[Last_Name]])</f>
        <v>Diana  French</v>
      </c>
      <c r="AA478" s="5" t="str" cm="1">
        <f t="array" ref="AA478">_xlfn.IFS( (S478-K478)&gt;Q478,"Late", (S478-K478)=Q478,"InTime", (S478-K478)&lt;Q478,"BeforeTime" )</f>
        <v>BeforeTime</v>
      </c>
      <c r="AB478" s="3">
        <f>MONTH(Table1[[#This Row],[Order_Date]])</f>
        <v>3</v>
      </c>
    </row>
    <row r="479" spans="1:28" x14ac:dyDescent="0.3">
      <c r="A479" s="3" t="s">
        <v>401</v>
      </c>
      <c r="B479" s="3" t="s">
        <v>402</v>
      </c>
      <c r="C479" s="3" t="s">
        <v>403</v>
      </c>
      <c r="D479" s="3" t="str">
        <f>_xlfn.CONCAT(Table1[[#This Row],[First_Name]],Table1[[#This Row],[Last_Name]])</f>
        <v>AlexandraSmith</v>
      </c>
      <c r="E479" s="3">
        <v>70</v>
      </c>
      <c r="F479" s="3" t="s">
        <v>29</v>
      </c>
      <c r="G479" s="3" t="s">
        <v>30</v>
      </c>
      <c r="H479" s="3" t="s">
        <v>404</v>
      </c>
      <c r="I479" s="3" t="s">
        <v>405</v>
      </c>
      <c r="J479" s="3" t="s">
        <v>1988</v>
      </c>
      <c r="K479" s="4">
        <v>45392</v>
      </c>
      <c r="L479" s="3" t="s">
        <v>488</v>
      </c>
      <c r="M479" s="3" t="s">
        <v>573</v>
      </c>
      <c r="N479" s="3">
        <v>477.52</v>
      </c>
      <c r="O479" s="3">
        <v>5</v>
      </c>
      <c r="P479" s="3" t="s">
        <v>96</v>
      </c>
      <c r="Q479" s="3">
        <v>7</v>
      </c>
      <c r="R479" s="3">
        <v>53</v>
      </c>
      <c r="S479" s="4">
        <v>45394</v>
      </c>
      <c r="T479" s="3" t="s">
        <v>1989</v>
      </c>
      <c r="U479" s="5">
        <f>Table1[[#This Row],[Delivery_Date]]-Table1[[#This Row],[Order_Date]]</f>
        <v>2</v>
      </c>
      <c r="V479" s="5">
        <f>Table1[[#This Row],[Price]]*Table1[[#This Row],[Quantity]]</f>
        <v>2387.6</v>
      </c>
      <c r="W479" s="6" cm="1">
        <f t="array" ref="W479">_xlfn.IFS(
P479="FLAT8",8%,
P479="FLAT10",10%,
P479="FLAT15",15%,P479="FLAT20",20%,P479="DEL0",0%,
TRUE,0%
)</f>
        <v>0.1</v>
      </c>
      <c r="X479" s="5">
        <f>Table1[[#This Row],[Amount]]-(Table1[[#This Row],[Amount]]*Table1[[#This Row],[Discount_Percentage]])</f>
        <v>2148.84</v>
      </c>
      <c r="Y479" s="5">
        <f>IF(P479="DEL0",Table1[[#This Row],[Discount_Amount]],Table1[[#This Row],[Discount_Amount]]+Table1[[#This Row],[Delivery_Charge]])</f>
        <v>2201.84</v>
      </c>
      <c r="Z479" s="7" t="str">
        <f>_xlfn.CONCAT(Table1[[#This Row],[First_Name]],"  ",Table1[[#This Row],[Last_Name]])</f>
        <v>Alexandra  Smith</v>
      </c>
      <c r="AA479" s="5" t="str" cm="1">
        <f t="array" ref="AA479">_xlfn.IFS( (S479-K479)&gt;Q479,"Late", (S479-K479)=Q479,"InTime", (S479-K479)&lt;Q479,"BeforeTime" )</f>
        <v>BeforeTime</v>
      </c>
      <c r="AB479" s="3">
        <f>MONTH(Table1[[#This Row],[Order_Date]])</f>
        <v>4</v>
      </c>
    </row>
    <row r="480" spans="1:28" x14ac:dyDescent="0.3">
      <c r="A480" s="3" t="s">
        <v>1906</v>
      </c>
      <c r="B480" s="3" t="s">
        <v>1907</v>
      </c>
      <c r="C480" s="3" t="s">
        <v>1908</v>
      </c>
      <c r="D480" s="3" t="str">
        <f>_xlfn.CONCAT(Table1[[#This Row],[First_Name]],Table1[[#This Row],[Last_Name]])</f>
        <v>JaniceGordon</v>
      </c>
      <c r="E480" s="3">
        <v>43</v>
      </c>
      <c r="F480" s="3" t="s">
        <v>29</v>
      </c>
      <c r="G480" s="3" t="s">
        <v>42</v>
      </c>
      <c r="H480" s="3" t="s">
        <v>1909</v>
      </c>
      <c r="I480" s="3" t="s">
        <v>1910</v>
      </c>
      <c r="J480" s="3" t="s">
        <v>1990</v>
      </c>
      <c r="K480" s="4">
        <v>45259</v>
      </c>
      <c r="L480" s="3" t="s">
        <v>1991</v>
      </c>
      <c r="M480" s="3" t="s">
        <v>291</v>
      </c>
      <c r="N480" s="3">
        <v>158.53</v>
      </c>
      <c r="O480" s="3">
        <v>2</v>
      </c>
      <c r="P480" s="3" t="s">
        <v>63</v>
      </c>
      <c r="Q480" s="3">
        <v>5</v>
      </c>
      <c r="R480" s="3">
        <v>69</v>
      </c>
      <c r="S480" s="4">
        <v>45261</v>
      </c>
      <c r="T480" s="3" t="s">
        <v>1992</v>
      </c>
      <c r="U480" s="5">
        <f>Table1[[#This Row],[Delivery_Date]]-Table1[[#This Row],[Order_Date]]</f>
        <v>2</v>
      </c>
      <c r="V480" s="5">
        <f>Table1[[#This Row],[Price]]*Table1[[#This Row],[Quantity]]</f>
        <v>317.06</v>
      </c>
      <c r="W480" s="6" cm="1">
        <f t="array" ref="W480">_xlfn.IFS(
P480="FLAT8",8%,
P480="FLAT10",10%,
P480="FLAT15",15%,P480="FLAT20",20%,P480="DEL0",0%,
TRUE,0%
)</f>
        <v>0</v>
      </c>
      <c r="X480" s="5">
        <f>Table1[[#This Row],[Amount]]-(Table1[[#This Row],[Amount]]*Table1[[#This Row],[Discount_Percentage]])</f>
        <v>317.06</v>
      </c>
      <c r="Y480" s="5">
        <f>IF(P480="DEL0",Table1[[#This Row],[Discount_Amount]],Table1[[#This Row],[Discount_Amount]]+Table1[[#This Row],[Delivery_Charge]])</f>
        <v>317.06</v>
      </c>
      <c r="Z480" s="7" t="str">
        <f>_xlfn.CONCAT(Table1[[#This Row],[First_Name]],"  ",Table1[[#This Row],[Last_Name]])</f>
        <v>Janice  Gordon</v>
      </c>
      <c r="AA480" s="5" t="str" cm="1">
        <f t="array" ref="AA480">_xlfn.IFS( (S480-K480)&gt;Q480,"Late", (S480-K480)=Q480,"InTime", (S480-K480)&lt;Q480,"BeforeTime" )</f>
        <v>BeforeTime</v>
      </c>
      <c r="AB480" s="3">
        <f>MONTH(Table1[[#This Row],[Order_Date]])</f>
        <v>11</v>
      </c>
    </row>
    <row r="481" spans="1:28" x14ac:dyDescent="0.3">
      <c r="A481" s="3" t="s">
        <v>201</v>
      </c>
      <c r="B481" s="3" t="s">
        <v>202</v>
      </c>
      <c r="C481" s="3" t="s">
        <v>203</v>
      </c>
      <c r="D481" s="3" t="str">
        <f>_xlfn.CONCAT(Table1[[#This Row],[First_Name]],Table1[[#This Row],[Last_Name]])</f>
        <v>DeborahBates</v>
      </c>
      <c r="E481" s="3">
        <v>23</v>
      </c>
      <c r="F481" s="3" t="s">
        <v>29</v>
      </c>
      <c r="G481" s="3" t="s">
        <v>90</v>
      </c>
      <c r="H481" s="3" t="s">
        <v>204</v>
      </c>
      <c r="I481" s="3" t="s">
        <v>205</v>
      </c>
      <c r="J481" s="3" t="s">
        <v>1993</v>
      </c>
      <c r="K481" s="4">
        <v>45373</v>
      </c>
      <c r="L481" s="3" t="s">
        <v>1994</v>
      </c>
      <c r="M481" s="3" t="s">
        <v>62</v>
      </c>
      <c r="N481" s="3">
        <v>405</v>
      </c>
      <c r="O481" s="3">
        <v>3</v>
      </c>
      <c r="P481" s="3" t="s">
        <v>96</v>
      </c>
      <c r="Q481" s="3">
        <v>5</v>
      </c>
      <c r="R481" s="3">
        <v>54</v>
      </c>
      <c r="S481" s="4">
        <v>45379</v>
      </c>
      <c r="T481" s="3" t="s">
        <v>1995</v>
      </c>
      <c r="U481" s="5">
        <f>Table1[[#This Row],[Delivery_Date]]-Table1[[#This Row],[Order_Date]]</f>
        <v>6</v>
      </c>
      <c r="V481" s="5">
        <f>Table1[[#This Row],[Price]]*Table1[[#This Row],[Quantity]]</f>
        <v>1215</v>
      </c>
      <c r="W481" s="6" cm="1">
        <f t="array" ref="W481">_xlfn.IFS(
P481="FLAT8",8%,
P481="FLAT10",10%,
P481="FLAT15",15%,P481="FLAT20",20%,P481="DEL0",0%,
TRUE,0%
)</f>
        <v>0.1</v>
      </c>
      <c r="X481" s="5">
        <f>Table1[[#This Row],[Amount]]-(Table1[[#This Row],[Amount]]*Table1[[#This Row],[Discount_Percentage]])</f>
        <v>1093.5</v>
      </c>
      <c r="Y481" s="5">
        <f>IF(P481="DEL0",Table1[[#This Row],[Discount_Amount]],Table1[[#This Row],[Discount_Amount]]+Table1[[#This Row],[Delivery_Charge]])</f>
        <v>1147.5</v>
      </c>
      <c r="Z481" s="7" t="str">
        <f>_xlfn.CONCAT(Table1[[#This Row],[First_Name]],"  ",Table1[[#This Row],[Last_Name]])</f>
        <v>Deborah  Bates</v>
      </c>
      <c r="AA481" s="5" t="str" cm="1">
        <f t="array" ref="AA481">_xlfn.IFS( (S481-K481)&gt;Q481,"Late", (S481-K481)=Q481,"InTime", (S481-K481)&lt;Q481,"BeforeTime" )</f>
        <v>Late</v>
      </c>
      <c r="AB481" s="3">
        <f>MONTH(Table1[[#This Row],[Order_Date]])</f>
        <v>3</v>
      </c>
    </row>
    <row r="482" spans="1:28" x14ac:dyDescent="0.3">
      <c r="A482" s="3" t="s">
        <v>466</v>
      </c>
      <c r="B482" s="3" t="s">
        <v>467</v>
      </c>
      <c r="C482" s="3" t="s">
        <v>468</v>
      </c>
      <c r="D482" s="3" t="str">
        <f>_xlfn.CONCAT(Table1[[#This Row],[First_Name]],Table1[[#This Row],[Last_Name]])</f>
        <v>LoriCook</v>
      </c>
      <c r="E482" s="3">
        <v>18</v>
      </c>
      <c r="F482" s="3" t="s">
        <v>41</v>
      </c>
      <c r="G482" s="3" t="s">
        <v>42</v>
      </c>
      <c r="H482" s="3" t="s">
        <v>469</v>
      </c>
      <c r="I482" s="3" t="s">
        <v>470</v>
      </c>
      <c r="J482" s="3" t="s">
        <v>1996</v>
      </c>
      <c r="K482" s="4">
        <v>45380</v>
      </c>
      <c r="L482" s="3" t="s">
        <v>1997</v>
      </c>
      <c r="M482" s="3" t="s">
        <v>941</v>
      </c>
      <c r="N482" s="3">
        <v>107.47</v>
      </c>
      <c r="O482" s="3">
        <v>4</v>
      </c>
      <c r="P482" s="3" t="s">
        <v>96</v>
      </c>
      <c r="Q482" s="3">
        <v>3</v>
      </c>
      <c r="R482" s="3">
        <v>65</v>
      </c>
      <c r="S482" s="4">
        <v>45385</v>
      </c>
      <c r="T482" s="3" t="s">
        <v>1998</v>
      </c>
      <c r="U482" s="5">
        <f>Table1[[#This Row],[Delivery_Date]]-Table1[[#This Row],[Order_Date]]</f>
        <v>5</v>
      </c>
      <c r="V482" s="5">
        <f>Table1[[#This Row],[Price]]*Table1[[#This Row],[Quantity]]</f>
        <v>429.88</v>
      </c>
      <c r="W482" s="6" cm="1">
        <f t="array" ref="W482">_xlfn.IFS(
P482="FLAT8",8%,
P482="FLAT10",10%,
P482="FLAT15",15%,P482="FLAT20",20%,P482="DEL0",0%,
TRUE,0%
)</f>
        <v>0.1</v>
      </c>
      <c r="X482" s="5">
        <f>Table1[[#This Row],[Amount]]-(Table1[[#This Row],[Amount]]*Table1[[#This Row],[Discount_Percentage]])</f>
        <v>386.892</v>
      </c>
      <c r="Y482" s="5">
        <f>IF(P482="DEL0",Table1[[#This Row],[Discount_Amount]],Table1[[#This Row],[Discount_Amount]]+Table1[[#This Row],[Delivery_Charge]])</f>
        <v>451.892</v>
      </c>
      <c r="Z482" s="7" t="str">
        <f>_xlfn.CONCAT(Table1[[#This Row],[First_Name]],"  ",Table1[[#This Row],[Last_Name]])</f>
        <v>Lori  Cook</v>
      </c>
      <c r="AA482" s="5" t="str" cm="1">
        <f t="array" ref="AA482">_xlfn.IFS( (S482-K482)&gt;Q482,"Late", (S482-K482)=Q482,"InTime", (S482-K482)&lt;Q482,"BeforeTime" )</f>
        <v>Late</v>
      </c>
      <c r="AB482" s="3">
        <f>MONTH(Table1[[#This Row],[Order_Date]])</f>
        <v>3</v>
      </c>
    </row>
    <row r="483" spans="1:28" x14ac:dyDescent="0.3">
      <c r="A483" s="3" t="s">
        <v>483</v>
      </c>
      <c r="B483" s="3" t="s">
        <v>484</v>
      </c>
      <c r="C483" s="3" t="s">
        <v>130</v>
      </c>
      <c r="D483" s="3" t="str">
        <f>_xlfn.CONCAT(Table1[[#This Row],[First_Name]],Table1[[#This Row],[Last_Name]])</f>
        <v>BrittanyStewart</v>
      </c>
      <c r="E483" s="3">
        <v>68</v>
      </c>
      <c r="F483" s="3" t="s">
        <v>52</v>
      </c>
      <c r="G483" s="3" t="s">
        <v>220</v>
      </c>
      <c r="H483" s="3" t="s">
        <v>485</v>
      </c>
      <c r="I483" s="3" t="s">
        <v>486</v>
      </c>
      <c r="J483" s="3" t="s">
        <v>1999</v>
      </c>
      <c r="K483" s="4">
        <v>45072</v>
      </c>
      <c r="L483" s="3" t="s">
        <v>2000</v>
      </c>
      <c r="M483" s="3" t="s">
        <v>250</v>
      </c>
      <c r="N483" s="3">
        <v>128.13999999999999</v>
      </c>
      <c r="O483" s="3">
        <v>3</v>
      </c>
      <c r="P483" s="3" t="s">
        <v>85</v>
      </c>
      <c r="Q483" s="3">
        <v>2</v>
      </c>
      <c r="R483" s="3">
        <v>59</v>
      </c>
      <c r="S483" s="4">
        <v>45076</v>
      </c>
      <c r="T483" s="3" t="s">
        <v>2001</v>
      </c>
      <c r="U483" s="5">
        <f>Table1[[#This Row],[Delivery_Date]]-Table1[[#This Row],[Order_Date]]</f>
        <v>4</v>
      </c>
      <c r="V483" s="5">
        <f>Table1[[#This Row],[Price]]*Table1[[#This Row],[Quantity]]</f>
        <v>384.41999999999996</v>
      </c>
      <c r="W483" s="6" cm="1">
        <f t="array" ref="W483">_xlfn.IFS(
P483="FLAT8",8%,
P483="FLAT10",10%,
P483="FLAT15",15%,P483="FLAT20",20%,P483="DEL0",0%,
TRUE,0%
)</f>
        <v>0.2</v>
      </c>
      <c r="X483" s="5">
        <f>Table1[[#This Row],[Amount]]-(Table1[[#This Row],[Amount]]*Table1[[#This Row],[Discount_Percentage]])</f>
        <v>307.53599999999994</v>
      </c>
      <c r="Y483" s="5">
        <f>IF(P483="DEL0",Table1[[#This Row],[Discount_Amount]],Table1[[#This Row],[Discount_Amount]]+Table1[[#This Row],[Delivery_Charge]])</f>
        <v>366.53599999999994</v>
      </c>
      <c r="Z483" s="7" t="str">
        <f>_xlfn.CONCAT(Table1[[#This Row],[First_Name]],"  ",Table1[[#This Row],[Last_Name]])</f>
        <v>Brittany  Stewart</v>
      </c>
      <c r="AA483" s="5" t="str" cm="1">
        <f t="array" ref="AA483">_xlfn.IFS( (S483-K483)&gt;Q483,"Late", (S483-K483)=Q483,"InTime", (S483-K483)&lt;Q483,"BeforeTime" )</f>
        <v>Late</v>
      </c>
      <c r="AB483" s="3">
        <f>MONTH(Table1[[#This Row],[Order_Date]])</f>
        <v>5</v>
      </c>
    </row>
    <row r="484" spans="1:28" x14ac:dyDescent="0.3">
      <c r="A484" s="3" t="s">
        <v>184</v>
      </c>
      <c r="B484" s="3" t="s">
        <v>185</v>
      </c>
      <c r="C484" s="3" t="s">
        <v>186</v>
      </c>
      <c r="D484" s="3" t="str">
        <f>_xlfn.CONCAT(Table1[[#This Row],[First_Name]],Table1[[#This Row],[Last_Name]])</f>
        <v>MalloryMitchell</v>
      </c>
      <c r="E484" s="3">
        <v>42</v>
      </c>
      <c r="F484" s="3" t="s">
        <v>41</v>
      </c>
      <c r="G484" s="3" t="s">
        <v>168</v>
      </c>
      <c r="H484" s="3" t="s">
        <v>187</v>
      </c>
      <c r="I484" s="3" t="s">
        <v>188</v>
      </c>
      <c r="J484" s="3" t="s">
        <v>2002</v>
      </c>
      <c r="K484" s="4">
        <v>45290</v>
      </c>
      <c r="L484" s="3" t="s">
        <v>2003</v>
      </c>
      <c r="M484" s="3" t="s">
        <v>199</v>
      </c>
      <c r="N484" s="3">
        <v>20.7</v>
      </c>
      <c r="O484" s="3">
        <v>1</v>
      </c>
      <c r="P484" s="3" t="s">
        <v>96</v>
      </c>
      <c r="Q484" s="3">
        <v>5</v>
      </c>
      <c r="R484" s="3">
        <v>55</v>
      </c>
      <c r="S484" s="4">
        <v>45291</v>
      </c>
      <c r="T484" s="3" t="s">
        <v>2004</v>
      </c>
      <c r="U484" s="5">
        <f>Table1[[#This Row],[Delivery_Date]]-Table1[[#This Row],[Order_Date]]</f>
        <v>1</v>
      </c>
      <c r="V484" s="5">
        <f>Table1[[#This Row],[Price]]*Table1[[#This Row],[Quantity]]</f>
        <v>20.7</v>
      </c>
      <c r="W484" s="6" cm="1">
        <f t="array" ref="W484">_xlfn.IFS(
P484="FLAT8",8%,
P484="FLAT10",10%,
P484="FLAT15",15%,P484="FLAT20",20%,P484="DEL0",0%,
TRUE,0%
)</f>
        <v>0.1</v>
      </c>
      <c r="X484" s="5">
        <f>Table1[[#This Row],[Amount]]-(Table1[[#This Row],[Amount]]*Table1[[#This Row],[Discount_Percentage]])</f>
        <v>18.63</v>
      </c>
      <c r="Y484" s="5">
        <f>IF(P484="DEL0",Table1[[#This Row],[Discount_Amount]],Table1[[#This Row],[Discount_Amount]]+Table1[[#This Row],[Delivery_Charge]])</f>
        <v>73.63</v>
      </c>
      <c r="Z484" s="7" t="str">
        <f>_xlfn.CONCAT(Table1[[#This Row],[First_Name]],"  ",Table1[[#This Row],[Last_Name]])</f>
        <v>Mallory  Mitchell</v>
      </c>
      <c r="AA484" s="5" t="str" cm="1">
        <f t="array" ref="AA484">_xlfn.IFS( (S484-K484)&gt;Q484,"Late", (S484-K484)=Q484,"InTime", (S484-K484)&lt;Q484,"BeforeTime" )</f>
        <v>BeforeTime</v>
      </c>
      <c r="AB484" s="3">
        <f>MONTH(Table1[[#This Row],[Order_Date]])</f>
        <v>12</v>
      </c>
    </row>
    <row r="485" spans="1:28" x14ac:dyDescent="0.3">
      <c r="A485" s="3" t="s">
        <v>184</v>
      </c>
      <c r="B485" s="3" t="s">
        <v>185</v>
      </c>
      <c r="C485" s="3" t="s">
        <v>186</v>
      </c>
      <c r="D485" s="3" t="str">
        <f>_xlfn.CONCAT(Table1[[#This Row],[First_Name]],Table1[[#This Row],[Last_Name]])</f>
        <v>MalloryMitchell</v>
      </c>
      <c r="E485" s="3">
        <v>42</v>
      </c>
      <c r="F485" s="3" t="s">
        <v>41</v>
      </c>
      <c r="G485" s="3" t="s">
        <v>168</v>
      </c>
      <c r="H485" s="3" t="s">
        <v>187</v>
      </c>
      <c r="I485" s="3" t="s">
        <v>188</v>
      </c>
      <c r="J485" s="3" t="s">
        <v>2005</v>
      </c>
      <c r="K485" s="4">
        <v>45128</v>
      </c>
      <c r="L485" s="3" t="s">
        <v>2006</v>
      </c>
      <c r="M485" s="3" t="s">
        <v>270</v>
      </c>
      <c r="N485" s="3">
        <v>62.42</v>
      </c>
      <c r="O485" s="3">
        <v>3</v>
      </c>
      <c r="P485" s="3" t="s">
        <v>36</v>
      </c>
      <c r="Q485" s="3">
        <v>6</v>
      </c>
      <c r="R485" s="3">
        <v>39</v>
      </c>
      <c r="S485" s="4">
        <v>45129</v>
      </c>
      <c r="T485" s="3" t="s">
        <v>2007</v>
      </c>
      <c r="U485" s="5">
        <f>Table1[[#This Row],[Delivery_Date]]-Table1[[#This Row],[Order_Date]]</f>
        <v>1</v>
      </c>
      <c r="V485" s="5">
        <f>Table1[[#This Row],[Price]]*Table1[[#This Row],[Quantity]]</f>
        <v>187.26</v>
      </c>
      <c r="W485" s="6" cm="1">
        <f t="array" ref="W485">_xlfn.IFS(
P485="FLAT8",8%,
P485="FLAT10",10%,
P485="FLAT15",15%,P485="FLAT20",20%,P485="DEL0",0%,
TRUE,0%
)</f>
        <v>0.08</v>
      </c>
      <c r="X485" s="5">
        <f>Table1[[#This Row],[Amount]]-(Table1[[#This Row],[Amount]]*Table1[[#This Row],[Discount_Percentage]])</f>
        <v>172.2792</v>
      </c>
      <c r="Y485" s="5">
        <f>IF(P485="DEL0",Table1[[#This Row],[Discount_Amount]],Table1[[#This Row],[Discount_Amount]]+Table1[[#This Row],[Delivery_Charge]])</f>
        <v>211.2792</v>
      </c>
      <c r="Z485" s="7" t="str">
        <f>_xlfn.CONCAT(Table1[[#This Row],[First_Name]],"  ",Table1[[#This Row],[Last_Name]])</f>
        <v>Mallory  Mitchell</v>
      </c>
      <c r="AA485" s="5" t="str" cm="1">
        <f t="array" ref="AA485">_xlfn.IFS( (S485-K485)&gt;Q485,"Late", (S485-K485)=Q485,"InTime", (S485-K485)&lt;Q485,"BeforeTime" )</f>
        <v>BeforeTime</v>
      </c>
      <c r="AB485" s="3">
        <f>MONTH(Table1[[#This Row],[Order_Date]])</f>
        <v>7</v>
      </c>
    </row>
    <row r="486" spans="1:28" x14ac:dyDescent="0.3">
      <c r="A486" s="3" t="s">
        <v>192</v>
      </c>
      <c r="B486" s="3" t="s">
        <v>193</v>
      </c>
      <c r="C486" s="3" t="s">
        <v>194</v>
      </c>
      <c r="D486" s="3" t="str">
        <f>_xlfn.CONCAT(Table1[[#This Row],[First_Name]],Table1[[#This Row],[Last_Name]])</f>
        <v>TraciJones</v>
      </c>
      <c r="E486" s="3">
        <v>34</v>
      </c>
      <c r="F486" s="3" t="s">
        <v>29</v>
      </c>
      <c r="G486" s="3" t="s">
        <v>90</v>
      </c>
      <c r="H486" s="3" t="s">
        <v>195</v>
      </c>
      <c r="I486" s="3" t="s">
        <v>196</v>
      </c>
      <c r="J486" s="3" t="s">
        <v>2008</v>
      </c>
      <c r="K486" s="4">
        <v>45283</v>
      </c>
      <c r="L486" s="3" t="s">
        <v>2009</v>
      </c>
      <c r="M486" s="3" t="s">
        <v>323</v>
      </c>
      <c r="N486" s="3">
        <v>481.48</v>
      </c>
      <c r="O486" s="3">
        <v>1</v>
      </c>
      <c r="P486" s="3" t="s">
        <v>36</v>
      </c>
      <c r="Q486" s="3">
        <v>5</v>
      </c>
      <c r="R486" s="3">
        <v>70</v>
      </c>
      <c r="S486" s="4">
        <v>45287</v>
      </c>
      <c r="T486" s="3" t="s">
        <v>2010</v>
      </c>
      <c r="U486" s="5">
        <f>Table1[[#This Row],[Delivery_Date]]-Table1[[#This Row],[Order_Date]]</f>
        <v>4</v>
      </c>
      <c r="V486" s="5">
        <f>Table1[[#This Row],[Price]]*Table1[[#This Row],[Quantity]]</f>
        <v>481.48</v>
      </c>
      <c r="W486" s="6" cm="1">
        <f t="array" ref="W486">_xlfn.IFS(
P486="FLAT8",8%,
P486="FLAT10",10%,
P486="FLAT15",15%,P486="FLAT20",20%,P486="DEL0",0%,
TRUE,0%
)</f>
        <v>0.08</v>
      </c>
      <c r="X486" s="5">
        <f>Table1[[#This Row],[Amount]]-(Table1[[#This Row],[Amount]]*Table1[[#This Row],[Discount_Percentage]])</f>
        <v>442.96160000000003</v>
      </c>
      <c r="Y486" s="5">
        <f>IF(P486="DEL0",Table1[[#This Row],[Discount_Amount]],Table1[[#This Row],[Discount_Amount]]+Table1[[#This Row],[Delivery_Charge]])</f>
        <v>512.96160000000009</v>
      </c>
      <c r="Z486" s="7" t="str">
        <f>_xlfn.CONCAT(Table1[[#This Row],[First_Name]],"  ",Table1[[#This Row],[Last_Name]])</f>
        <v>Traci  Jones</v>
      </c>
      <c r="AA486" s="5" t="str" cm="1">
        <f t="array" ref="AA486">_xlfn.IFS( (S486-K486)&gt;Q486,"Late", (S486-K486)=Q486,"InTime", (S486-K486)&lt;Q486,"BeforeTime" )</f>
        <v>BeforeTime</v>
      </c>
      <c r="AB486" s="3">
        <f>MONTH(Table1[[#This Row],[Order_Date]])</f>
        <v>12</v>
      </c>
    </row>
    <row r="487" spans="1:28" x14ac:dyDescent="0.3">
      <c r="A487" s="3" t="s">
        <v>325</v>
      </c>
      <c r="B487" s="3" t="s">
        <v>326</v>
      </c>
      <c r="C487" s="3" t="s">
        <v>327</v>
      </c>
      <c r="D487" s="3" t="str">
        <f>_xlfn.CONCAT(Table1[[#This Row],[First_Name]],Table1[[#This Row],[Last_Name]])</f>
        <v>CourtneyParker</v>
      </c>
      <c r="E487" s="3">
        <v>29</v>
      </c>
      <c r="F487" s="3" t="s">
        <v>52</v>
      </c>
      <c r="G487" s="3" t="s">
        <v>90</v>
      </c>
      <c r="H487" s="3" t="s">
        <v>328</v>
      </c>
      <c r="I487" s="3" t="s">
        <v>329</v>
      </c>
      <c r="J487" s="3" t="s">
        <v>2011</v>
      </c>
      <c r="K487" s="4">
        <v>45633</v>
      </c>
      <c r="L487" s="3" t="s">
        <v>2012</v>
      </c>
      <c r="M487" s="3" t="s">
        <v>35</v>
      </c>
      <c r="N487" s="3">
        <v>308.88</v>
      </c>
      <c r="O487" s="3">
        <v>3</v>
      </c>
      <c r="P487" s="3" t="s">
        <v>85</v>
      </c>
      <c r="Q487" s="3">
        <v>5</v>
      </c>
      <c r="R487" s="3">
        <v>68</v>
      </c>
      <c r="S487" s="4">
        <v>45636</v>
      </c>
      <c r="T487" s="3" t="s">
        <v>2013</v>
      </c>
      <c r="U487" s="5">
        <f>Table1[[#This Row],[Delivery_Date]]-Table1[[#This Row],[Order_Date]]</f>
        <v>3</v>
      </c>
      <c r="V487" s="5">
        <f>Table1[[#This Row],[Price]]*Table1[[#This Row],[Quantity]]</f>
        <v>926.64</v>
      </c>
      <c r="W487" s="6" cm="1">
        <f t="array" ref="W487">_xlfn.IFS(
P487="FLAT8",8%,
P487="FLAT10",10%,
P487="FLAT15",15%,P487="FLAT20",20%,P487="DEL0",0%,
TRUE,0%
)</f>
        <v>0.2</v>
      </c>
      <c r="X487" s="5">
        <f>Table1[[#This Row],[Amount]]-(Table1[[#This Row],[Amount]]*Table1[[#This Row],[Discount_Percentage]])</f>
        <v>741.31200000000001</v>
      </c>
      <c r="Y487" s="5">
        <f>IF(P487="DEL0",Table1[[#This Row],[Discount_Amount]],Table1[[#This Row],[Discount_Amount]]+Table1[[#This Row],[Delivery_Charge]])</f>
        <v>809.31200000000001</v>
      </c>
      <c r="Z487" s="7" t="str">
        <f>_xlfn.CONCAT(Table1[[#This Row],[First_Name]],"  ",Table1[[#This Row],[Last_Name]])</f>
        <v>Courtney  Parker</v>
      </c>
      <c r="AA487" s="5" t="str" cm="1">
        <f t="array" ref="AA487">_xlfn.IFS( (S487-K487)&gt;Q487,"Late", (S487-K487)=Q487,"InTime", (S487-K487)&lt;Q487,"BeforeTime" )</f>
        <v>BeforeTime</v>
      </c>
      <c r="AB487" s="3">
        <f>MONTH(Table1[[#This Row],[Order_Date]])</f>
        <v>12</v>
      </c>
    </row>
    <row r="488" spans="1:28" x14ac:dyDescent="0.3">
      <c r="A488" s="3" t="s">
        <v>1238</v>
      </c>
      <c r="B488" s="3" t="s">
        <v>1239</v>
      </c>
      <c r="C488" s="3" t="s">
        <v>1240</v>
      </c>
      <c r="D488" s="3" t="str">
        <f>_xlfn.CONCAT(Table1[[#This Row],[First_Name]],Table1[[#This Row],[Last_Name]])</f>
        <v>HannahGutierrez</v>
      </c>
      <c r="E488" s="3">
        <v>55</v>
      </c>
      <c r="F488" s="3" t="s">
        <v>41</v>
      </c>
      <c r="G488" s="3" t="s">
        <v>159</v>
      </c>
      <c r="H488" s="3" t="s">
        <v>1241</v>
      </c>
      <c r="I488" s="3" t="s">
        <v>1242</v>
      </c>
      <c r="J488" s="3" t="s">
        <v>2014</v>
      </c>
      <c r="K488" s="4">
        <v>45356</v>
      </c>
      <c r="L488" s="3" t="s">
        <v>2015</v>
      </c>
      <c r="M488" s="3" t="s">
        <v>114</v>
      </c>
      <c r="N488" s="3">
        <v>48.45</v>
      </c>
      <c r="O488" s="3">
        <v>3</v>
      </c>
      <c r="P488" s="3" t="s">
        <v>85</v>
      </c>
      <c r="Q488" s="3">
        <v>6</v>
      </c>
      <c r="R488" s="3">
        <v>43</v>
      </c>
      <c r="S488" s="4">
        <v>45358</v>
      </c>
      <c r="T488" s="3" t="s">
        <v>2016</v>
      </c>
      <c r="U488" s="5">
        <f>Table1[[#This Row],[Delivery_Date]]-Table1[[#This Row],[Order_Date]]</f>
        <v>2</v>
      </c>
      <c r="V488" s="5">
        <f>Table1[[#This Row],[Price]]*Table1[[#This Row],[Quantity]]</f>
        <v>145.35000000000002</v>
      </c>
      <c r="W488" s="6" cm="1">
        <f t="array" ref="W488">_xlfn.IFS(
P488="FLAT8",8%,
P488="FLAT10",10%,
P488="FLAT15",15%,P488="FLAT20",20%,P488="DEL0",0%,
TRUE,0%
)</f>
        <v>0.2</v>
      </c>
      <c r="X488" s="5">
        <f>Table1[[#This Row],[Amount]]-(Table1[[#This Row],[Amount]]*Table1[[#This Row],[Discount_Percentage]])</f>
        <v>116.28000000000002</v>
      </c>
      <c r="Y488" s="5">
        <f>IF(P488="DEL0",Table1[[#This Row],[Discount_Amount]],Table1[[#This Row],[Discount_Amount]]+Table1[[#This Row],[Delivery_Charge]])</f>
        <v>159.28000000000003</v>
      </c>
      <c r="Z488" s="7" t="str">
        <f>_xlfn.CONCAT(Table1[[#This Row],[First_Name]],"  ",Table1[[#This Row],[Last_Name]])</f>
        <v>Hannah  Gutierrez</v>
      </c>
      <c r="AA488" s="5" t="str" cm="1">
        <f t="array" ref="AA488">_xlfn.IFS( (S488-K488)&gt;Q488,"Late", (S488-K488)=Q488,"InTime", (S488-K488)&lt;Q488,"BeforeTime" )</f>
        <v>BeforeTime</v>
      </c>
      <c r="AB488" s="3">
        <f>MONTH(Table1[[#This Row],[Order_Date]])</f>
        <v>3</v>
      </c>
    </row>
    <row r="489" spans="1:28" x14ac:dyDescent="0.3">
      <c r="A489" s="3" t="s">
        <v>128</v>
      </c>
      <c r="B489" s="3" t="s">
        <v>129</v>
      </c>
      <c r="C489" s="3" t="s">
        <v>130</v>
      </c>
      <c r="D489" s="3" t="str">
        <f>_xlfn.CONCAT(Table1[[#This Row],[First_Name]],Table1[[#This Row],[Last_Name]])</f>
        <v>JosephStewart</v>
      </c>
      <c r="E489" s="3">
        <v>30</v>
      </c>
      <c r="F489" s="3" t="s">
        <v>41</v>
      </c>
      <c r="G489" s="3" t="s">
        <v>42</v>
      </c>
      <c r="H489" s="3" t="s">
        <v>131</v>
      </c>
      <c r="I489" s="3" t="s">
        <v>132</v>
      </c>
      <c r="J489" s="3" t="s">
        <v>2017</v>
      </c>
      <c r="K489" s="4">
        <v>45188</v>
      </c>
      <c r="L489" s="3" t="s">
        <v>2018</v>
      </c>
      <c r="M489" s="3" t="s">
        <v>941</v>
      </c>
      <c r="N489" s="3">
        <v>107.47</v>
      </c>
      <c r="O489" s="3">
        <v>4</v>
      </c>
      <c r="P489" s="3" t="s">
        <v>36</v>
      </c>
      <c r="Q489" s="3">
        <v>2</v>
      </c>
      <c r="R489" s="3">
        <v>35</v>
      </c>
      <c r="S489" s="4">
        <v>45191</v>
      </c>
      <c r="T489" s="3" t="s">
        <v>2019</v>
      </c>
      <c r="U489" s="5">
        <f>Table1[[#This Row],[Delivery_Date]]-Table1[[#This Row],[Order_Date]]</f>
        <v>3</v>
      </c>
      <c r="V489" s="5">
        <f>Table1[[#This Row],[Price]]*Table1[[#This Row],[Quantity]]</f>
        <v>429.88</v>
      </c>
      <c r="W489" s="6" cm="1">
        <f t="array" ref="W489">_xlfn.IFS(
P489="FLAT8",8%,
P489="FLAT10",10%,
P489="FLAT15",15%,P489="FLAT20",20%,P489="DEL0",0%,
TRUE,0%
)</f>
        <v>0.08</v>
      </c>
      <c r="X489" s="5">
        <f>Table1[[#This Row],[Amount]]-(Table1[[#This Row],[Amount]]*Table1[[#This Row],[Discount_Percentage]])</f>
        <v>395.4896</v>
      </c>
      <c r="Y489" s="5">
        <f>IF(P489="DEL0",Table1[[#This Row],[Discount_Amount]],Table1[[#This Row],[Discount_Amount]]+Table1[[#This Row],[Delivery_Charge]])</f>
        <v>430.4896</v>
      </c>
      <c r="Z489" s="7" t="str">
        <f>_xlfn.CONCAT(Table1[[#This Row],[First_Name]],"  ",Table1[[#This Row],[Last_Name]])</f>
        <v>Joseph  Stewart</v>
      </c>
      <c r="AA489" s="5" t="str" cm="1">
        <f t="array" ref="AA489">_xlfn.IFS( (S489-K489)&gt;Q489,"Late", (S489-K489)=Q489,"InTime", (S489-K489)&lt;Q489,"BeforeTime" )</f>
        <v>Late</v>
      </c>
      <c r="AB489" s="3">
        <f>MONTH(Table1[[#This Row],[Order_Date]])</f>
        <v>9</v>
      </c>
    </row>
    <row r="490" spans="1:28" x14ac:dyDescent="0.3">
      <c r="A490" s="3" t="s">
        <v>385</v>
      </c>
      <c r="B490" s="3" t="s">
        <v>386</v>
      </c>
      <c r="C490" s="3" t="s">
        <v>387</v>
      </c>
      <c r="D490" s="3" t="str">
        <f>_xlfn.CONCAT(Table1[[#This Row],[First_Name]],Table1[[#This Row],[Last_Name]])</f>
        <v>AaronThompson</v>
      </c>
      <c r="E490" s="3">
        <v>47</v>
      </c>
      <c r="F490" s="3" t="s">
        <v>41</v>
      </c>
      <c r="G490" s="3" t="s">
        <v>90</v>
      </c>
      <c r="H490" s="3" t="s">
        <v>388</v>
      </c>
      <c r="I490" s="3" t="s">
        <v>389</v>
      </c>
      <c r="J490" s="3" t="s">
        <v>2020</v>
      </c>
      <c r="K490" s="4">
        <v>45681</v>
      </c>
      <c r="L490" s="3" t="s">
        <v>2021</v>
      </c>
      <c r="M490" s="3" t="s">
        <v>518</v>
      </c>
      <c r="N490" s="3">
        <v>441.03</v>
      </c>
      <c r="O490" s="3">
        <v>5</v>
      </c>
      <c r="P490" s="3" t="s">
        <v>36</v>
      </c>
      <c r="Q490" s="3">
        <v>5</v>
      </c>
      <c r="R490" s="3">
        <v>62</v>
      </c>
      <c r="S490" s="4">
        <v>45682</v>
      </c>
      <c r="T490" s="3" t="s">
        <v>2022</v>
      </c>
      <c r="U490" s="5">
        <f>Table1[[#This Row],[Delivery_Date]]-Table1[[#This Row],[Order_Date]]</f>
        <v>1</v>
      </c>
      <c r="V490" s="5">
        <f>Table1[[#This Row],[Price]]*Table1[[#This Row],[Quantity]]</f>
        <v>2205.1499999999996</v>
      </c>
      <c r="W490" s="6" cm="1">
        <f t="array" ref="W490">_xlfn.IFS(
P490="FLAT8",8%,
P490="FLAT10",10%,
P490="FLAT15",15%,P490="FLAT20",20%,P490="DEL0",0%,
TRUE,0%
)</f>
        <v>0.08</v>
      </c>
      <c r="X490" s="5">
        <f>Table1[[#This Row],[Amount]]-(Table1[[#This Row],[Amount]]*Table1[[#This Row],[Discount_Percentage]])</f>
        <v>2028.7379999999996</v>
      </c>
      <c r="Y490" s="5">
        <f>IF(P490="DEL0",Table1[[#This Row],[Discount_Amount]],Table1[[#This Row],[Discount_Amount]]+Table1[[#This Row],[Delivery_Charge]])</f>
        <v>2090.7379999999994</v>
      </c>
      <c r="Z490" s="7" t="str">
        <f>_xlfn.CONCAT(Table1[[#This Row],[First_Name]],"  ",Table1[[#This Row],[Last_Name]])</f>
        <v>Aaron  Thompson</v>
      </c>
      <c r="AA490" s="5" t="str" cm="1">
        <f t="array" ref="AA490">_xlfn.IFS( (S490-K490)&gt;Q490,"Late", (S490-K490)=Q490,"InTime", (S490-K490)&lt;Q490,"BeforeTime" )</f>
        <v>BeforeTime</v>
      </c>
      <c r="AB490" s="3">
        <f>MONTH(Table1[[#This Row],[Order_Date]])</f>
        <v>1</v>
      </c>
    </row>
    <row r="491" spans="1:28" x14ac:dyDescent="0.3">
      <c r="A491" s="3" t="s">
        <v>575</v>
      </c>
      <c r="B491" s="3" t="s">
        <v>256</v>
      </c>
      <c r="C491" s="3" t="s">
        <v>576</v>
      </c>
      <c r="D491" s="3" t="str">
        <f>_xlfn.CONCAT(Table1[[#This Row],[First_Name]],Table1[[#This Row],[Last_Name]])</f>
        <v>AshleyRomero</v>
      </c>
      <c r="E491" s="3">
        <v>35</v>
      </c>
      <c r="F491" s="3" t="s">
        <v>29</v>
      </c>
      <c r="G491" s="3" t="s">
        <v>30</v>
      </c>
      <c r="H491" s="3" t="s">
        <v>577</v>
      </c>
      <c r="I491" s="3" t="s">
        <v>578</v>
      </c>
      <c r="J491" s="3" t="s">
        <v>2023</v>
      </c>
      <c r="K491" s="4">
        <v>45007</v>
      </c>
      <c r="L491" s="3" t="s">
        <v>2024</v>
      </c>
      <c r="M491" s="3" t="s">
        <v>984</v>
      </c>
      <c r="N491" s="3">
        <v>33.49</v>
      </c>
      <c r="O491" s="3">
        <v>4</v>
      </c>
      <c r="P491" s="3" t="s">
        <v>85</v>
      </c>
      <c r="Q491" s="3">
        <v>7</v>
      </c>
      <c r="R491" s="3">
        <v>54</v>
      </c>
      <c r="S491" s="4">
        <v>45008</v>
      </c>
      <c r="T491" s="3" t="s">
        <v>2025</v>
      </c>
      <c r="U491" s="5">
        <f>Table1[[#This Row],[Delivery_Date]]-Table1[[#This Row],[Order_Date]]</f>
        <v>1</v>
      </c>
      <c r="V491" s="5">
        <f>Table1[[#This Row],[Price]]*Table1[[#This Row],[Quantity]]</f>
        <v>133.96</v>
      </c>
      <c r="W491" s="6" cm="1">
        <f t="array" ref="W491">_xlfn.IFS(
P491="FLAT8",8%,
P491="FLAT10",10%,
P491="FLAT15",15%,P491="FLAT20",20%,P491="DEL0",0%,
TRUE,0%
)</f>
        <v>0.2</v>
      </c>
      <c r="X491" s="5">
        <f>Table1[[#This Row],[Amount]]-(Table1[[#This Row],[Amount]]*Table1[[#This Row],[Discount_Percentage]])</f>
        <v>107.16800000000001</v>
      </c>
      <c r="Y491" s="5">
        <f>IF(P491="DEL0",Table1[[#This Row],[Discount_Amount]],Table1[[#This Row],[Discount_Amount]]+Table1[[#This Row],[Delivery_Charge]])</f>
        <v>161.16800000000001</v>
      </c>
      <c r="Z491" s="7" t="str">
        <f>_xlfn.CONCAT(Table1[[#This Row],[First_Name]],"  ",Table1[[#This Row],[Last_Name]])</f>
        <v>Ashley  Romero</v>
      </c>
      <c r="AA491" s="5" t="str" cm="1">
        <f t="array" ref="AA491">_xlfn.IFS( (S491-K491)&gt;Q491,"Late", (S491-K491)=Q491,"InTime", (S491-K491)&lt;Q491,"BeforeTime" )</f>
        <v>BeforeTime</v>
      </c>
      <c r="AB491" s="3">
        <f>MONTH(Table1[[#This Row],[Order_Date]])</f>
        <v>3</v>
      </c>
    </row>
    <row r="492" spans="1:28" x14ac:dyDescent="0.3">
      <c r="A492" s="3" t="s">
        <v>705</v>
      </c>
      <c r="B492" s="3" t="s">
        <v>706</v>
      </c>
      <c r="C492" s="3" t="s">
        <v>707</v>
      </c>
      <c r="D492" s="3" t="str">
        <f>_xlfn.CONCAT(Table1[[#This Row],[First_Name]],Table1[[#This Row],[Last_Name]])</f>
        <v>GregoryLee</v>
      </c>
      <c r="E492" s="3">
        <v>26</v>
      </c>
      <c r="F492" s="3" t="s">
        <v>52</v>
      </c>
      <c r="G492" s="3" t="s">
        <v>76</v>
      </c>
      <c r="H492" s="3" t="s">
        <v>708</v>
      </c>
      <c r="I492" s="3" t="s">
        <v>709</v>
      </c>
      <c r="J492" s="3" t="s">
        <v>2026</v>
      </c>
      <c r="K492" s="4">
        <v>45204</v>
      </c>
      <c r="L492" s="3" t="s">
        <v>2027</v>
      </c>
      <c r="M492" s="3" t="s">
        <v>984</v>
      </c>
      <c r="N492" s="3">
        <v>33.49</v>
      </c>
      <c r="O492" s="3">
        <v>1</v>
      </c>
      <c r="P492" s="3" t="s">
        <v>58</v>
      </c>
      <c r="Q492" s="3">
        <v>4</v>
      </c>
      <c r="R492" s="3">
        <v>44</v>
      </c>
      <c r="S492" s="4">
        <v>45206</v>
      </c>
      <c r="T492" s="3" t="s">
        <v>2028</v>
      </c>
      <c r="U492" s="5">
        <f>Table1[[#This Row],[Delivery_Date]]-Table1[[#This Row],[Order_Date]]</f>
        <v>2</v>
      </c>
      <c r="V492" s="5">
        <f>Table1[[#This Row],[Price]]*Table1[[#This Row],[Quantity]]</f>
        <v>33.49</v>
      </c>
      <c r="W492" s="6" cm="1">
        <f t="array" ref="W492">_xlfn.IFS(
P492="FLAT8",8%,
P492="FLAT10",10%,
P492="FLAT15",15%,P492="FLAT20",20%,P492="DEL0",0%,
TRUE,0%
)</f>
        <v>0.15</v>
      </c>
      <c r="X492" s="5">
        <f>Table1[[#This Row],[Amount]]-(Table1[[#This Row],[Amount]]*Table1[[#This Row],[Discount_Percentage]])</f>
        <v>28.466500000000003</v>
      </c>
      <c r="Y492" s="5">
        <f>IF(P492="DEL0",Table1[[#This Row],[Discount_Amount]],Table1[[#This Row],[Discount_Amount]]+Table1[[#This Row],[Delivery_Charge]])</f>
        <v>72.466499999999996</v>
      </c>
      <c r="Z492" s="7" t="str">
        <f>_xlfn.CONCAT(Table1[[#This Row],[First_Name]],"  ",Table1[[#This Row],[Last_Name]])</f>
        <v>Gregory  Lee</v>
      </c>
      <c r="AA492" s="5" t="str" cm="1">
        <f t="array" ref="AA492">_xlfn.IFS( (S492-K492)&gt;Q492,"Late", (S492-K492)=Q492,"InTime", (S492-K492)&lt;Q492,"BeforeTime" )</f>
        <v>BeforeTime</v>
      </c>
      <c r="AB492" s="3">
        <f>MONTH(Table1[[#This Row],[Order_Date]])</f>
        <v>10</v>
      </c>
    </row>
    <row r="493" spans="1:28" x14ac:dyDescent="0.3">
      <c r="A493" s="3" t="s">
        <v>483</v>
      </c>
      <c r="B493" s="3" t="s">
        <v>484</v>
      </c>
      <c r="C493" s="3" t="s">
        <v>130</v>
      </c>
      <c r="D493" s="3" t="str">
        <f>_xlfn.CONCAT(Table1[[#This Row],[First_Name]],Table1[[#This Row],[Last_Name]])</f>
        <v>BrittanyStewart</v>
      </c>
      <c r="E493" s="3">
        <v>68</v>
      </c>
      <c r="F493" s="3" t="s">
        <v>52</v>
      </c>
      <c r="G493" s="3" t="s">
        <v>220</v>
      </c>
      <c r="H493" s="3" t="s">
        <v>485</v>
      </c>
      <c r="I493" s="3" t="s">
        <v>486</v>
      </c>
      <c r="J493" s="3" t="s">
        <v>2029</v>
      </c>
      <c r="K493" s="4">
        <v>45590</v>
      </c>
      <c r="L493" s="3" t="s">
        <v>2030</v>
      </c>
      <c r="M493" s="3" t="s">
        <v>270</v>
      </c>
      <c r="N493" s="3">
        <v>62.42</v>
      </c>
      <c r="O493" s="3">
        <v>4</v>
      </c>
      <c r="P493" s="3" t="s">
        <v>63</v>
      </c>
      <c r="Q493" s="3">
        <v>4</v>
      </c>
      <c r="R493" s="3">
        <v>37</v>
      </c>
      <c r="S493" s="4">
        <v>45597</v>
      </c>
      <c r="T493" s="3" t="s">
        <v>2031</v>
      </c>
      <c r="U493" s="5">
        <f>Table1[[#This Row],[Delivery_Date]]-Table1[[#This Row],[Order_Date]]</f>
        <v>7</v>
      </c>
      <c r="V493" s="5">
        <f>Table1[[#This Row],[Price]]*Table1[[#This Row],[Quantity]]</f>
        <v>249.68</v>
      </c>
      <c r="W493" s="6" cm="1">
        <f t="array" ref="W493">_xlfn.IFS(
P493="FLAT8",8%,
P493="FLAT10",10%,
P493="FLAT15",15%,P493="FLAT20",20%,P493="DEL0",0%,
TRUE,0%
)</f>
        <v>0</v>
      </c>
      <c r="X493" s="5">
        <f>Table1[[#This Row],[Amount]]-(Table1[[#This Row],[Amount]]*Table1[[#This Row],[Discount_Percentage]])</f>
        <v>249.68</v>
      </c>
      <c r="Y493" s="5">
        <f>IF(P493="DEL0",Table1[[#This Row],[Discount_Amount]],Table1[[#This Row],[Discount_Amount]]+Table1[[#This Row],[Delivery_Charge]])</f>
        <v>249.68</v>
      </c>
      <c r="Z493" s="7" t="str">
        <f>_xlfn.CONCAT(Table1[[#This Row],[First_Name]],"  ",Table1[[#This Row],[Last_Name]])</f>
        <v>Brittany  Stewart</v>
      </c>
      <c r="AA493" s="5" t="str" cm="1">
        <f t="array" ref="AA493">_xlfn.IFS( (S493-K493)&gt;Q493,"Late", (S493-K493)=Q493,"InTime", (S493-K493)&lt;Q493,"BeforeTime" )</f>
        <v>Late</v>
      </c>
      <c r="AB493" s="3">
        <f>MONTH(Table1[[#This Row],[Order_Date]])</f>
        <v>10</v>
      </c>
    </row>
    <row r="494" spans="1:28" x14ac:dyDescent="0.3">
      <c r="A494" s="3" t="s">
        <v>358</v>
      </c>
      <c r="B494" s="3" t="s">
        <v>359</v>
      </c>
      <c r="C494" s="3" t="s">
        <v>360</v>
      </c>
      <c r="D494" s="3" t="str">
        <f>_xlfn.CONCAT(Table1[[#This Row],[First_Name]],Table1[[#This Row],[Last_Name]])</f>
        <v>RobertCastillo</v>
      </c>
      <c r="E494" s="3">
        <v>32</v>
      </c>
      <c r="F494" s="3" t="s">
        <v>41</v>
      </c>
      <c r="G494" s="3" t="s">
        <v>168</v>
      </c>
      <c r="H494" s="3" t="s">
        <v>361</v>
      </c>
      <c r="I494" s="3" t="s">
        <v>362</v>
      </c>
      <c r="J494" s="3" t="s">
        <v>2032</v>
      </c>
      <c r="K494" s="4">
        <v>45217</v>
      </c>
      <c r="L494" s="3" t="s">
        <v>2033</v>
      </c>
      <c r="M494" s="3" t="s">
        <v>308</v>
      </c>
      <c r="N494" s="3">
        <v>129.75</v>
      </c>
      <c r="O494" s="3">
        <v>1</v>
      </c>
      <c r="P494" s="3" t="s">
        <v>36</v>
      </c>
      <c r="Q494" s="3">
        <v>7</v>
      </c>
      <c r="R494" s="3">
        <v>56</v>
      </c>
      <c r="S494" s="4">
        <v>45219</v>
      </c>
      <c r="T494" s="3" t="s">
        <v>2034</v>
      </c>
      <c r="U494" s="5">
        <f>Table1[[#This Row],[Delivery_Date]]-Table1[[#This Row],[Order_Date]]</f>
        <v>2</v>
      </c>
      <c r="V494" s="5">
        <f>Table1[[#This Row],[Price]]*Table1[[#This Row],[Quantity]]</f>
        <v>129.75</v>
      </c>
      <c r="W494" s="6" cm="1">
        <f t="array" ref="W494">_xlfn.IFS(
P494="FLAT8",8%,
P494="FLAT10",10%,
P494="FLAT15",15%,P494="FLAT20",20%,P494="DEL0",0%,
TRUE,0%
)</f>
        <v>0.08</v>
      </c>
      <c r="X494" s="5">
        <f>Table1[[#This Row],[Amount]]-(Table1[[#This Row],[Amount]]*Table1[[#This Row],[Discount_Percentage]])</f>
        <v>119.37</v>
      </c>
      <c r="Y494" s="5">
        <f>IF(P494="DEL0",Table1[[#This Row],[Discount_Amount]],Table1[[#This Row],[Discount_Amount]]+Table1[[#This Row],[Delivery_Charge]])</f>
        <v>175.37</v>
      </c>
      <c r="Z494" s="7" t="str">
        <f>_xlfn.CONCAT(Table1[[#This Row],[First_Name]],"  ",Table1[[#This Row],[Last_Name]])</f>
        <v>Robert  Castillo</v>
      </c>
      <c r="AA494" s="5" t="str" cm="1">
        <f t="array" ref="AA494">_xlfn.IFS( (S494-K494)&gt;Q494,"Late", (S494-K494)=Q494,"InTime", (S494-K494)&lt;Q494,"BeforeTime" )</f>
        <v>BeforeTime</v>
      </c>
      <c r="AB494" s="3">
        <f>MONTH(Table1[[#This Row],[Order_Date]])</f>
        <v>10</v>
      </c>
    </row>
    <row r="495" spans="1:28" x14ac:dyDescent="0.3">
      <c r="A495" s="3" t="s">
        <v>175</v>
      </c>
      <c r="B495" s="3" t="s">
        <v>176</v>
      </c>
      <c r="C495" s="3" t="s">
        <v>177</v>
      </c>
      <c r="D495" s="3" t="str">
        <f>_xlfn.CONCAT(Table1[[#This Row],[First_Name]],Table1[[#This Row],[Last_Name]])</f>
        <v>GinaMoreno</v>
      </c>
      <c r="E495" s="3">
        <v>36</v>
      </c>
      <c r="F495" s="3" t="s">
        <v>52</v>
      </c>
      <c r="G495" s="3" t="s">
        <v>140</v>
      </c>
      <c r="H495" s="3" t="s">
        <v>178</v>
      </c>
      <c r="I495" s="3" t="s">
        <v>179</v>
      </c>
      <c r="J495" s="3" t="s">
        <v>2035</v>
      </c>
      <c r="K495" s="4">
        <v>45182</v>
      </c>
      <c r="L495" s="3" t="s">
        <v>2036</v>
      </c>
      <c r="M495" s="3" t="s">
        <v>199</v>
      </c>
      <c r="N495" s="3">
        <v>20.7</v>
      </c>
      <c r="O495" s="3">
        <v>4</v>
      </c>
      <c r="P495" s="3" t="s">
        <v>85</v>
      </c>
      <c r="Q495" s="3">
        <v>1</v>
      </c>
      <c r="R495" s="3">
        <v>61</v>
      </c>
      <c r="S495" s="4">
        <v>45184</v>
      </c>
      <c r="T495" s="3" t="s">
        <v>2037</v>
      </c>
      <c r="U495" s="5">
        <f>Table1[[#This Row],[Delivery_Date]]-Table1[[#This Row],[Order_Date]]</f>
        <v>2</v>
      </c>
      <c r="V495" s="5">
        <f>Table1[[#This Row],[Price]]*Table1[[#This Row],[Quantity]]</f>
        <v>82.8</v>
      </c>
      <c r="W495" s="6" cm="1">
        <f t="array" ref="W495">_xlfn.IFS(
P495="FLAT8",8%,
P495="FLAT10",10%,
P495="FLAT15",15%,P495="FLAT20",20%,P495="DEL0",0%,
TRUE,0%
)</f>
        <v>0.2</v>
      </c>
      <c r="X495" s="5">
        <f>Table1[[#This Row],[Amount]]-(Table1[[#This Row],[Amount]]*Table1[[#This Row],[Discount_Percentage]])</f>
        <v>66.239999999999995</v>
      </c>
      <c r="Y495" s="5">
        <f>IF(P495="DEL0",Table1[[#This Row],[Discount_Amount]],Table1[[#This Row],[Discount_Amount]]+Table1[[#This Row],[Delivery_Charge]])</f>
        <v>127.24</v>
      </c>
      <c r="Z495" s="7" t="str">
        <f>_xlfn.CONCAT(Table1[[#This Row],[First_Name]],"  ",Table1[[#This Row],[Last_Name]])</f>
        <v>Gina  Moreno</v>
      </c>
      <c r="AA495" s="5" t="str" cm="1">
        <f t="array" ref="AA495">_xlfn.IFS( (S495-K495)&gt;Q495,"Late", (S495-K495)=Q495,"InTime", (S495-K495)&lt;Q495,"BeforeTime" )</f>
        <v>Late</v>
      </c>
      <c r="AB495" s="3">
        <f>MONTH(Table1[[#This Row],[Order_Date]])</f>
        <v>9</v>
      </c>
    </row>
    <row r="496" spans="1:28" x14ac:dyDescent="0.3">
      <c r="A496" s="3" t="s">
        <v>137</v>
      </c>
      <c r="B496" s="3" t="s">
        <v>138</v>
      </c>
      <c r="C496" s="3" t="s">
        <v>139</v>
      </c>
      <c r="D496" s="3" t="str">
        <f>_xlfn.CONCAT(Table1[[#This Row],[First_Name]],Table1[[#This Row],[Last_Name]])</f>
        <v>KaraBrennan</v>
      </c>
      <c r="E496" s="3">
        <v>25</v>
      </c>
      <c r="F496" s="3" t="s">
        <v>52</v>
      </c>
      <c r="G496" s="3" t="s">
        <v>140</v>
      </c>
      <c r="H496" s="3" t="s">
        <v>141</v>
      </c>
      <c r="I496" s="3" t="s">
        <v>142</v>
      </c>
      <c r="J496" s="3" t="s">
        <v>2038</v>
      </c>
      <c r="K496" s="4">
        <v>45107</v>
      </c>
      <c r="L496" s="3" t="s">
        <v>2039</v>
      </c>
      <c r="M496" s="3" t="s">
        <v>154</v>
      </c>
      <c r="N496" s="3">
        <v>220.27</v>
      </c>
      <c r="O496" s="3">
        <v>3</v>
      </c>
      <c r="P496" s="3" t="s">
        <v>63</v>
      </c>
      <c r="Q496" s="3">
        <v>4</v>
      </c>
      <c r="R496" s="3">
        <v>50</v>
      </c>
      <c r="S496" s="4">
        <v>45108</v>
      </c>
      <c r="T496" s="3" t="s">
        <v>2040</v>
      </c>
      <c r="U496" s="5">
        <f>Table1[[#This Row],[Delivery_Date]]-Table1[[#This Row],[Order_Date]]</f>
        <v>1</v>
      </c>
      <c r="V496" s="5">
        <f>Table1[[#This Row],[Price]]*Table1[[#This Row],[Quantity]]</f>
        <v>660.81000000000006</v>
      </c>
      <c r="W496" s="6" cm="1">
        <f t="array" ref="W496">_xlfn.IFS(
P496="FLAT8",8%,
P496="FLAT10",10%,
P496="FLAT15",15%,P496="FLAT20",20%,P496="DEL0",0%,
TRUE,0%
)</f>
        <v>0</v>
      </c>
      <c r="X496" s="5">
        <f>Table1[[#This Row],[Amount]]-(Table1[[#This Row],[Amount]]*Table1[[#This Row],[Discount_Percentage]])</f>
        <v>660.81000000000006</v>
      </c>
      <c r="Y496" s="5">
        <f>IF(P496="DEL0",Table1[[#This Row],[Discount_Amount]],Table1[[#This Row],[Discount_Amount]]+Table1[[#This Row],[Delivery_Charge]])</f>
        <v>660.81000000000006</v>
      </c>
      <c r="Z496" s="7" t="str">
        <f>_xlfn.CONCAT(Table1[[#This Row],[First_Name]],"  ",Table1[[#This Row],[Last_Name]])</f>
        <v>Kara  Brennan</v>
      </c>
      <c r="AA496" s="5" t="str" cm="1">
        <f t="array" ref="AA496">_xlfn.IFS( (S496-K496)&gt;Q496,"Late", (S496-K496)=Q496,"InTime", (S496-K496)&lt;Q496,"BeforeTime" )</f>
        <v>BeforeTime</v>
      </c>
      <c r="AB496" s="3">
        <f>MONTH(Table1[[#This Row],[Order_Date]])</f>
        <v>6</v>
      </c>
    </row>
    <row r="497" spans="1:28" x14ac:dyDescent="0.3">
      <c r="A497" s="3" t="s">
        <v>217</v>
      </c>
      <c r="B497" s="3" t="s">
        <v>218</v>
      </c>
      <c r="C497" s="3" t="s">
        <v>219</v>
      </c>
      <c r="D497" s="3" t="str">
        <f>_xlfn.CONCAT(Table1[[#This Row],[First_Name]],Table1[[#This Row],[Last_Name]])</f>
        <v>MarkHenderson</v>
      </c>
      <c r="E497" s="3">
        <v>33</v>
      </c>
      <c r="F497" s="3" t="s">
        <v>52</v>
      </c>
      <c r="G497" s="3" t="s">
        <v>220</v>
      </c>
      <c r="H497" s="3" t="s">
        <v>221</v>
      </c>
      <c r="I497" s="3" t="s">
        <v>222</v>
      </c>
      <c r="J497" s="3" t="s">
        <v>2041</v>
      </c>
      <c r="K497" s="4">
        <v>45032</v>
      </c>
      <c r="L497" s="3" t="s">
        <v>2042</v>
      </c>
      <c r="M497" s="3" t="s">
        <v>653</v>
      </c>
      <c r="N497" s="3">
        <v>433.62</v>
      </c>
      <c r="O497" s="3">
        <v>2</v>
      </c>
      <c r="P497" s="3" t="s">
        <v>36</v>
      </c>
      <c r="Q497" s="3">
        <v>7</v>
      </c>
      <c r="R497" s="3">
        <v>56</v>
      </c>
      <c r="S497" s="4">
        <v>45039</v>
      </c>
      <c r="T497" s="3" t="s">
        <v>2043</v>
      </c>
      <c r="U497" s="5">
        <f>Table1[[#This Row],[Delivery_Date]]-Table1[[#This Row],[Order_Date]]</f>
        <v>7</v>
      </c>
      <c r="V497" s="5">
        <f>Table1[[#This Row],[Price]]*Table1[[#This Row],[Quantity]]</f>
        <v>867.24</v>
      </c>
      <c r="W497" s="6" cm="1">
        <f t="array" ref="W497">_xlfn.IFS(
P497="FLAT8",8%,
P497="FLAT10",10%,
P497="FLAT15",15%,P497="FLAT20",20%,P497="DEL0",0%,
TRUE,0%
)</f>
        <v>0.08</v>
      </c>
      <c r="X497" s="5">
        <f>Table1[[#This Row],[Amount]]-(Table1[[#This Row],[Amount]]*Table1[[#This Row],[Discount_Percentage]])</f>
        <v>797.86080000000004</v>
      </c>
      <c r="Y497" s="5">
        <f>IF(P497="DEL0",Table1[[#This Row],[Discount_Amount]],Table1[[#This Row],[Discount_Amount]]+Table1[[#This Row],[Delivery_Charge]])</f>
        <v>853.86080000000004</v>
      </c>
      <c r="Z497" s="7" t="str">
        <f>_xlfn.CONCAT(Table1[[#This Row],[First_Name]],"  ",Table1[[#This Row],[Last_Name]])</f>
        <v>Mark  Henderson</v>
      </c>
      <c r="AA497" s="5" t="str" cm="1">
        <f t="array" ref="AA497">_xlfn.IFS( (S497-K497)&gt;Q497,"Late", (S497-K497)=Q497,"InTime", (S497-K497)&lt;Q497,"BeforeTime" )</f>
        <v>InTime</v>
      </c>
      <c r="AB497" s="3">
        <f>MONTH(Table1[[#This Row],[Order_Date]])</f>
        <v>4</v>
      </c>
    </row>
    <row r="498" spans="1:28" x14ac:dyDescent="0.3">
      <c r="A498" s="3" t="s">
        <v>1727</v>
      </c>
      <c r="B498" s="3" t="s">
        <v>1728</v>
      </c>
      <c r="C498" s="3" t="s">
        <v>368</v>
      </c>
      <c r="D498" s="3" t="str">
        <f>_xlfn.CONCAT(Table1[[#This Row],[First_Name]],Table1[[#This Row],[Last_Name]])</f>
        <v>KatieHicks</v>
      </c>
      <c r="E498" s="3">
        <v>34</v>
      </c>
      <c r="F498" s="3" t="s">
        <v>52</v>
      </c>
      <c r="G498" s="3" t="s">
        <v>159</v>
      </c>
      <c r="H498" s="3" t="s">
        <v>1729</v>
      </c>
      <c r="I498" s="3" t="s">
        <v>1730</v>
      </c>
      <c r="J498" s="3" t="s">
        <v>2044</v>
      </c>
      <c r="K498" s="4">
        <v>45490</v>
      </c>
      <c r="L498" s="3" t="s">
        <v>2045</v>
      </c>
      <c r="M498" s="3" t="s">
        <v>250</v>
      </c>
      <c r="N498" s="3">
        <v>128.13999999999999</v>
      </c>
      <c r="O498" s="3">
        <v>3</v>
      </c>
      <c r="P498" s="3" t="s">
        <v>36</v>
      </c>
      <c r="Q498" s="3">
        <v>5</v>
      </c>
      <c r="R498" s="3">
        <v>49</v>
      </c>
      <c r="S498" s="4">
        <v>45495</v>
      </c>
      <c r="T498" s="3" t="s">
        <v>2046</v>
      </c>
      <c r="U498" s="5">
        <f>Table1[[#This Row],[Delivery_Date]]-Table1[[#This Row],[Order_Date]]</f>
        <v>5</v>
      </c>
      <c r="V498" s="5">
        <f>Table1[[#This Row],[Price]]*Table1[[#This Row],[Quantity]]</f>
        <v>384.41999999999996</v>
      </c>
      <c r="W498" s="6" cm="1">
        <f t="array" ref="W498">_xlfn.IFS(
P498="FLAT8",8%,
P498="FLAT10",10%,
P498="FLAT15",15%,P498="FLAT20",20%,P498="DEL0",0%,
TRUE,0%
)</f>
        <v>0.08</v>
      </c>
      <c r="X498" s="5">
        <f>Table1[[#This Row],[Amount]]-(Table1[[#This Row],[Amount]]*Table1[[#This Row],[Discount_Percentage]])</f>
        <v>353.66639999999995</v>
      </c>
      <c r="Y498" s="5">
        <f>IF(P498="DEL0",Table1[[#This Row],[Discount_Amount]],Table1[[#This Row],[Discount_Amount]]+Table1[[#This Row],[Delivery_Charge]])</f>
        <v>402.66639999999995</v>
      </c>
      <c r="Z498" s="7" t="str">
        <f>_xlfn.CONCAT(Table1[[#This Row],[First_Name]],"  ",Table1[[#This Row],[Last_Name]])</f>
        <v>Katie  Hicks</v>
      </c>
      <c r="AA498" s="5" t="str" cm="1">
        <f t="array" ref="AA498">_xlfn.IFS( (S498-K498)&gt;Q498,"Late", (S498-K498)=Q498,"InTime", (S498-K498)&lt;Q498,"BeforeTime" )</f>
        <v>InTime</v>
      </c>
      <c r="AB498" s="3">
        <f>MONTH(Table1[[#This Row],[Order_Date]])</f>
        <v>7</v>
      </c>
    </row>
    <row r="499" spans="1:28" x14ac:dyDescent="0.3">
      <c r="A499" s="3" t="s">
        <v>1932</v>
      </c>
      <c r="B499" s="3" t="s">
        <v>1933</v>
      </c>
      <c r="C499" s="3" t="s">
        <v>1934</v>
      </c>
      <c r="D499" s="3" t="str">
        <f>_xlfn.CONCAT(Table1[[#This Row],[First_Name]],Table1[[#This Row],[Last_Name]])</f>
        <v>DianaFrench</v>
      </c>
      <c r="E499" s="3">
        <v>54</v>
      </c>
      <c r="F499" s="3" t="s">
        <v>41</v>
      </c>
      <c r="G499" s="3" t="s">
        <v>76</v>
      </c>
      <c r="H499" s="3" t="s">
        <v>1935</v>
      </c>
      <c r="I499" s="3" t="s">
        <v>1936</v>
      </c>
      <c r="J499" s="3" t="s">
        <v>2047</v>
      </c>
      <c r="K499" s="4">
        <v>45381</v>
      </c>
      <c r="L499" s="3" t="s">
        <v>2048</v>
      </c>
      <c r="M499" s="3" t="s">
        <v>173</v>
      </c>
      <c r="N499" s="3">
        <v>272.51</v>
      </c>
      <c r="O499" s="3">
        <v>5</v>
      </c>
      <c r="P499" s="3" t="s">
        <v>63</v>
      </c>
      <c r="Q499" s="3">
        <v>3</v>
      </c>
      <c r="R499" s="3">
        <v>66</v>
      </c>
      <c r="S499" s="4">
        <v>45388</v>
      </c>
      <c r="T499" s="3" t="s">
        <v>2049</v>
      </c>
      <c r="U499" s="5">
        <f>Table1[[#This Row],[Delivery_Date]]-Table1[[#This Row],[Order_Date]]</f>
        <v>7</v>
      </c>
      <c r="V499" s="5">
        <f>Table1[[#This Row],[Price]]*Table1[[#This Row],[Quantity]]</f>
        <v>1362.55</v>
      </c>
      <c r="W499" s="6" cm="1">
        <f t="array" ref="W499">_xlfn.IFS(
P499="FLAT8",8%,
P499="FLAT10",10%,
P499="FLAT15",15%,P499="FLAT20",20%,P499="DEL0",0%,
TRUE,0%
)</f>
        <v>0</v>
      </c>
      <c r="X499" s="5">
        <f>Table1[[#This Row],[Amount]]-(Table1[[#This Row],[Amount]]*Table1[[#This Row],[Discount_Percentage]])</f>
        <v>1362.55</v>
      </c>
      <c r="Y499" s="5">
        <f>IF(P499="DEL0",Table1[[#This Row],[Discount_Amount]],Table1[[#This Row],[Discount_Amount]]+Table1[[#This Row],[Delivery_Charge]])</f>
        <v>1362.55</v>
      </c>
      <c r="Z499" s="7" t="str">
        <f>_xlfn.CONCAT(Table1[[#This Row],[First_Name]],"  ",Table1[[#This Row],[Last_Name]])</f>
        <v>Diana  French</v>
      </c>
      <c r="AA499" s="5" t="str" cm="1">
        <f t="array" ref="AA499">_xlfn.IFS( (S499-K499)&gt;Q499,"Late", (S499-K499)=Q499,"InTime", (S499-K499)&lt;Q499,"BeforeTime" )</f>
        <v>Late</v>
      </c>
      <c r="AB499" s="3">
        <f>MONTH(Table1[[#This Row],[Order_Date]])</f>
        <v>3</v>
      </c>
    </row>
    <row r="500" spans="1:28" x14ac:dyDescent="0.3">
      <c r="A500" s="3" t="s">
        <v>420</v>
      </c>
      <c r="B500" s="3" t="s">
        <v>421</v>
      </c>
      <c r="C500" s="3" t="s">
        <v>422</v>
      </c>
      <c r="D500" s="3" t="str">
        <f>_xlfn.CONCAT(Table1[[#This Row],[First_Name]],Table1[[#This Row],[Last_Name]])</f>
        <v>AmandaHoward</v>
      </c>
      <c r="E500" s="3">
        <v>52</v>
      </c>
      <c r="F500" s="3" t="s">
        <v>52</v>
      </c>
      <c r="G500" s="3" t="s">
        <v>220</v>
      </c>
      <c r="H500" s="3" t="s">
        <v>423</v>
      </c>
      <c r="I500" s="3" t="s">
        <v>424</v>
      </c>
      <c r="J500" s="3" t="s">
        <v>2050</v>
      </c>
      <c r="K500" s="4">
        <v>45472</v>
      </c>
      <c r="L500" s="3" t="s">
        <v>2051</v>
      </c>
      <c r="M500" s="3" t="s">
        <v>686</v>
      </c>
      <c r="N500" s="3">
        <v>424.82</v>
      </c>
      <c r="O500" s="3">
        <v>2</v>
      </c>
      <c r="P500" s="3" t="s">
        <v>63</v>
      </c>
      <c r="Q500" s="3">
        <v>6</v>
      </c>
      <c r="R500" s="3">
        <v>63</v>
      </c>
      <c r="S500" s="4">
        <v>45477</v>
      </c>
      <c r="T500" s="3" t="s">
        <v>2052</v>
      </c>
      <c r="U500" s="5">
        <f>Table1[[#This Row],[Delivery_Date]]-Table1[[#This Row],[Order_Date]]</f>
        <v>5</v>
      </c>
      <c r="V500" s="5">
        <f>Table1[[#This Row],[Price]]*Table1[[#This Row],[Quantity]]</f>
        <v>849.64</v>
      </c>
      <c r="W500" s="6" cm="1">
        <f t="array" ref="W500">_xlfn.IFS(
P500="FLAT8",8%,
P500="FLAT10",10%,
P500="FLAT15",15%,P500="FLAT20",20%,P500="DEL0",0%,
TRUE,0%
)</f>
        <v>0</v>
      </c>
      <c r="X500" s="5">
        <f>Table1[[#This Row],[Amount]]-(Table1[[#This Row],[Amount]]*Table1[[#This Row],[Discount_Percentage]])</f>
        <v>849.64</v>
      </c>
      <c r="Y500" s="5">
        <f>IF(P500="DEL0",Table1[[#This Row],[Discount_Amount]],Table1[[#This Row],[Discount_Amount]]+Table1[[#This Row],[Delivery_Charge]])</f>
        <v>849.64</v>
      </c>
      <c r="Z500" s="7" t="str">
        <f>_xlfn.CONCAT(Table1[[#This Row],[First_Name]],"  ",Table1[[#This Row],[Last_Name]])</f>
        <v>Amanda  Howard</v>
      </c>
      <c r="AA500" s="5" t="str" cm="1">
        <f t="array" ref="AA500">_xlfn.IFS( (S500-K500)&gt;Q500,"Late", (S500-K500)=Q500,"InTime", (S500-K500)&lt;Q500,"BeforeTime" )</f>
        <v>BeforeTime</v>
      </c>
      <c r="AB500" s="3">
        <f>MONTH(Table1[[#This Row],[Order_Date]])</f>
        <v>6</v>
      </c>
    </row>
    <row r="501" spans="1:28" x14ac:dyDescent="0.3">
      <c r="A501" s="3" t="s">
        <v>236</v>
      </c>
      <c r="B501" s="3" t="s">
        <v>66</v>
      </c>
      <c r="C501" s="3" t="s">
        <v>237</v>
      </c>
      <c r="D501" s="3" t="str">
        <f>_xlfn.CONCAT(Table1[[#This Row],[First_Name]],Table1[[#This Row],[Last_Name]])</f>
        <v>AngelaEvans</v>
      </c>
      <c r="E501" s="3">
        <v>52</v>
      </c>
      <c r="F501" s="3" t="s">
        <v>52</v>
      </c>
      <c r="G501" s="3" t="s">
        <v>42</v>
      </c>
      <c r="H501" s="3" t="s">
        <v>238</v>
      </c>
      <c r="I501" s="3" t="s">
        <v>239</v>
      </c>
      <c r="J501" s="3" t="s">
        <v>2053</v>
      </c>
      <c r="K501" s="4">
        <v>45501</v>
      </c>
      <c r="L501" s="3" t="s">
        <v>2054</v>
      </c>
      <c r="M501" s="3" t="s">
        <v>418</v>
      </c>
      <c r="N501" s="3">
        <v>44.5</v>
      </c>
      <c r="O501" s="3">
        <v>4</v>
      </c>
      <c r="P501" s="3" t="s">
        <v>63</v>
      </c>
      <c r="Q501" s="3">
        <v>3</v>
      </c>
      <c r="R501" s="3">
        <v>45</v>
      </c>
      <c r="S501" s="4">
        <v>45504</v>
      </c>
      <c r="T501" s="3" t="s">
        <v>2055</v>
      </c>
      <c r="U501" s="5">
        <f>Table1[[#This Row],[Delivery_Date]]-Table1[[#This Row],[Order_Date]]</f>
        <v>3</v>
      </c>
      <c r="V501" s="5">
        <f>Table1[[#This Row],[Price]]*Table1[[#This Row],[Quantity]]</f>
        <v>178</v>
      </c>
      <c r="W501" s="6" cm="1">
        <f t="array" ref="W501">_xlfn.IFS(
P501="FLAT8",8%,
P501="FLAT10",10%,
P501="FLAT15",15%,P501="FLAT20",20%,P501="DEL0",0%,
TRUE,0%
)</f>
        <v>0</v>
      </c>
      <c r="X501" s="5">
        <f>Table1[[#This Row],[Amount]]-(Table1[[#This Row],[Amount]]*Table1[[#This Row],[Discount_Percentage]])</f>
        <v>178</v>
      </c>
      <c r="Y501" s="5">
        <f>IF(P501="DEL0",Table1[[#This Row],[Discount_Amount]],Table1[[#This Row],[Discount_Amount]]+Table1[[#This Row],[Delivery_Charge]])</f>
        <v>178</v>
      </c>
      <c r="Z501" s="7" t="str">
        <f>_xlfn.CONCAT(Table1[[#This Row],[First_Name]],"  ",Table1[[#This Row],[Last_Name]])</f>
        <v>Angela  Evans</v>
      </c>
      <c r="AA501" s="5" t="str" cm="1">
        <f t="array" ref="AA501">_xlfn.IFS( (S501-K501)&gt;Q501,"Late", (S501-K501)=Q501,"InTime", (S501-K501)&lt;Q501,"BeforeTime" )</f>
        <v>InTime</v>
      </c>
      <c r="AB501" s="3">
        <f>MONTH(Table1[[#This Row],[Order_Date]])</f>
        <v>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CC688-3DD6-4A09-8638-EA95755AA070}">
  <dimension ref="A1:AE501"/>
  <sheetViews>
    <sheetView topLeftCell="B1" zoomScale="62" workbookViewId="0">
      <selection activeCell="AE12" sqref="AE12"/>
    </sheetView>
  </sheetViews>
  <sheetFormatPr defaultRowHeight="14.4" x14ac:dyDescent="0.3"/>
  <cols>
    <col min="1" max="1" width="13.77734375" customWidth="1"/>
    <col min="2" max="2" width="12.33203125" customWidth="1"/>
    <col min="3" max="4" width="12.21875" customWidth="1"/>
    <col min="6" max="6" width="9" customWidth="1"/>
    <col min="9" max="9" width="9.5546875" customWidth="1"/>
    <col min="10" max="10" width="10.44140625" customWidth="1"/>
    <col min="11" max="11" width="12.5546875" customWidth="1"/>
    <col min="12" max="12" width="12.77734375" customWidth="1"/>
    <col min="13" max="13" width="12.33203125" customWidth="1"/>
    <col min="15" max="15" width="10.21875" customWidth="1"/>
    <col min="16" max="16" width="14.88671875" customWidth="1"/>
    <col min="17" max="17" width="25.77734375" customWidth="1"/>
    <col min="18" max="18" width="16.5546875" customWidth="1"/>
    <col min="19" max="19" width="14.5546875" customWidth="1"/>
    <col min="20" max="20" width="14.77734375" customWidth="1"/>
    <col min="21" max="21" width="13.88671875" customWidth="1"/>
    <col min="22" max="22" width="9.77734375" customWidth="1"/>
    <col min="23" max="23" width="20.6640625" customWidth="1"/>
    <col min="24" max="24" width="18.109375" customWidth="1"/>
    <col min="25" max="25" width="29.5546875" customWidth="1"/>
    <col min="26" max="26" width="21.44140625" customWidth="1"/>
    <col min="27" max="27" width="15.88671875" customWidth="1"/>
    <col min="28" max="28" width="18.33203125" customWidth="1"/>
  </cols>
  <sheetData>
    <row r="1" spans="1:31" x14ac:dyDescent="0.3">
      <c r="A1" t="s">
        <v>0</v>
      </c>
      <c r="B1" t="s">
        <v>1</v>
      </c>
      <c r="C1" t="s">
        <v>2</v>
      </c>
      <c r="D1" t="s">
        <v>2162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2273</v>
      </c>
      <c r="AC1" t="s">
        <v>2288</v>
      </c>
    </row>
    <row r="2" spans="1:31" x14ac:dyDescent="0.3">
      <c r="A2" t="s">
        <v>26</v>
      </c>
      <c r="B2" t="s">
        <v>27</v>
      </c>
      <c r="C2" t="s">
        <v>28</v>
      </c>
      <c r="D2" t="s">
        <v>2163</v>
      </c>
      <c r="E2">
        <v>37</v>
      </c>
      <c r="F2" t="s">
        <v>29</v>
      </c>
      <c r="G2" t="s">
        <v>30</v>
      </c>
      <c r="H2" t="s">
        <v>31</v>
      </c>
      <c r="I2" t="s">
        <v>32</v>
      </c>
      <c r="J2" t="s">
        <v>33</v>
      </c>
      <c r="K2" s="14">
        <v>45358</v>
      </c>
      <c r="L2" t="s">
        <v>34</v>
      </c>
      <c r="M2" t="s">
        <v>35</v>
      </c>
      <c r="N2">
        <v>308.88</v>
      </c>
      <c r="O2">
        <v>5</v>
      </c>
      <c r="P2" t="s">
        <v>36</v>
      </c>
      <c r="Q2">
        <v>4</v>
      </c>
      <c r="R2">
        <v>60</v>
      </c>
      <c r="S2">
        <v>45361</v>
      </c>
      <c r="T2" t="s">
        <v>37</v>
      </c>
      <c r="U2">
        <v>3</v>
      </c>
      <c r="V2">
        <v>1544.4</v>
      </c>
      <c r="W2">
        <v>0.08</v>
      </c>
      <c r="X2">
        <v>1420.8480000000002</v>
      </c>
      <c r="Y2">
        <v>1480.8480000000002</v>
      </c>
      <c r="Z2" t="s">
        <v>2056</v>
      </c>
      <c r="AA2" t="s">
        <v>2057</v>
      </c>
      <c r="AB2">
        <v>3</v>
      </c>
    </row>
    <row r="3" spans="1:31" x14ac:dyDescent="0.3">
      <c r="A3" t="s">
        <v>38</v>
      </c>
      <c r="B3" t="s">
        <v>39</v>
      </c>
      <c r="C3" t="s">
        <v>40</v>
      </c>
      <c r="D3" t="s">
        <v>2164</v>
      </c>
      <c r="E3">
        <v>53</v>
      </c>
      <c r="F3" t="s">
        <v>41</v>
      </c>
      <c r="G3" t="s">
        <v>42</v>
      </c>
      <c r="H3" t="s">
        <v>43</v>
      </c>
      <c r="I3" t="s">
        <v>44</v>
      </c>
      <c r="J3" t="s">
        <v>45</v>
      </c>
      <c r="K3" s="14">
        <v>45378</v>
      </c>
      <c r="L3" t="s">
        <v>46</v>
      </c>
      <c r="M3" t="s">
        <v>47</v>
      </c>
      <c r="N3">
        <v>166.28</v>
      </c>
      <c r="O3">
        <v>4</v>
      </c>
      <c r="P3" t="s">
        <v>36</v>
      </c>
      <c r="Q3">
        <v>7</v>
      </c>
      <c r="R3">
        <v>66</v>
      </c>
      <c r="S3">
        <v>45381</v>
      </c>
      <c r="T3" t="s">
        <v>48</v>
      </c>
      <c r="U3">
        <v>3</v>
      </c>
      <c r="V3">
        <v>665.12</v>
      </c>
      <c r="W3">
        <v>0.08</v>
      </c>
      <c r="X3">
        <v>611.91039999999998</v>
      </c>
      <c r="Y3">
        <v>677.91039999999998</v>
      </c>
      <c r="Z3" t="s">
        <v>2058</v>
      </c>
      <c r="AA3" t="s">
        <v>2057</v>
      </c>
      <c r="AB3">
        <v>3</v>
      </c>
    </row>
    <row r="4" spans="1:31" x14ac:dyDescent="0.3">
      <c r="A4" t="s">
        <v>49</v>
      </c>
      <c r="B4" t="s">
        <v>50</v>
      </c>
      <c r="C4" t="s">
        <v>51</v>
      </c>
      <c r="D4" t="s">
        <v>2165</v>
      </c>
      <c r="E4">
        <v>60</v>
      </c>
      <c r="F4" t="s">
        <v>52</v>
      </c>
      <c r="G4" t="s">
        <v>30</v>
      </c>
      <c r="H4" t="s">
        <v>53</v>
      </c>
      <c r="I4" t="s">
        <v>54</v>
      </c>
      <c r="J4" t="s">
        <v>55</v>
      </c>
      <c r="K4" s="14">
        <v>45342</v>
      </c>
      <c r="L4" t="s">
        <v>56</v>
      </c>
      <c r="M4" t="s">
        <v>57</v>
      </c>
      <c r="N4">
        <v>202.54</v>
      </c>
      <c r="O4">
        <v>1</v>
      </c>
      <c r="P4" t="s">
        <v>58</v>
      </c>
      <c r="Q4">
        <v>3</v>
      </c>
      <c r="R4">
        <v>47</v>
      </c>
      <c r="S4">
        <v>45344</v>
      </c>
      <c r="T4" t="s">
        <v>59</v>
      </c>
      <c r="U4">
        <v>2</v>
      </c>
      <c r="V4">
        <v>202.54</v>
      </c>
      <c r="W4">
        <v>0.15</v>
      </c>
      <c r="X4">
        <v>172.15899999999999</v>
      </c>
      <c r="Y4">
        <v>219.15899999999999</v>
      </c>
      <c r="Z4" t="s">
        <v>2059</v>
      </c>
      <c r="AA4" t="s">
        <v>2057</v>
      </c>
      <c r="AB4">
        <v>2</v>
      </c>
    </row>
    <row r="5" spans="1:31" x14ac:dyDescent="0.3">
      <c r="A5" t="s">
        <v>49</v>
      </c>
      <c r="B5" t="s">
        <v>50</v>
      </c>
      <c r="C5" t="s">
        <v>51</v>
      </c>
      <c r="D5" t="s">
        <v>2165</v>
      </c>
      <c r="E5">
        <v>60</v>
      </c>
      <c r="F5" t="s">
        <v>52</v>
      </c>
      <c r="G5" t="s">
        <v>30</v>
      </c>
      <c r="H5" t="s">
        <v>53</v>
      </c>
      <c r="I5" t="s">
        <v>54</v>
      </c>
      <c r="J5" t="s">
        <v>60</v>
      </c>
      <c r="K5" s="14">
        <v>45426</v>
      </c>
      <c r="L5" t="s">
        <v>61</v>
      </c>
      <c r="M5" t="s">
        <v>62</v>
      </c>
      <c r="N5">
        <v>405</v>
      </c>
      <c r="O5">
        <v>5</v>
      </c>
      <c r="P5" t="s">
        <v>63</v>
      </c>
      <c r="Q5">
        <v>6</v>
      </c>
      <c r="R5">
        <v>47</v>
      </c>
      <c r="S5">
        <v>45430</v>
      </c>
      <c r="T5" t="s">
        <v>64</v>
      </c>
      <c r="U5">
        <v>4</v>
      </c>
      <c r="V5">
        <v>2025</v>
      </c>
      <c r="W5">
        <v>0</v>
      </c>
      <c r="X5">
        <v>2025</v>
      </c>
      <c r="Y5">
        <v>2025</v>
      </c>
      <c r="Z5" t="s">
        <v>2059</v>
      </c>
      <c r="AA5" t="s">
        <v>2057</v>
      </c>
      <c r="AB5">
        <v>5</v>
      </c>
    </row>
    <row r="6" spans="1:31" x14ac:dyDescent="0.3">
      <c r="A6" t="s">
        <v>65</v>
      </c>
      <c r="B6" t="s">
        <v>66</v>
      </c>
      <c r="C6" t="s">
        <v>67</v>
      </c>
      <c r="D6" t="s">
        <v>2166</v>
      </c>
      <c r="E6">
        <v>49</v>
      </c>
      <c r="F6" t="s">
        <v>52</v>
      </c>
      <c r="G6" t="s">
        <v>30</v>
      </c>
      <c r="H6" t="s">
        <v>68</v>
      </c>
      <c r="I6" t="s">
        <v>69</v>
      </c>
      <c r="J6" t="s">
        <v>70</v>
      </c>
      <c r="K6" s="14">
        <v>45391</v>
      </c>
      <c r="L6" t="s">
        <v>71</v>
      </c>
      <c r="M6" t="s">
        <v>47</v>
      </c>
      <c r="N6">
        <v>166.28</v>
      </c>
      <c r="O6">
        <v>1</v>
      </c>
      <c r="P6" t="s">
        <v>36</v>
      </c>
      <c r="Q6">
        <v>2</v>
      </c>
      <c r="R6">
        <v>54</v>
      </c>
      <c r="S6">
        <v>45395</v>
      </c>
      <c r="T6" t="s">
        <v>72</v>
      </c>
      <c r="U6">
        <v>4</v>
      </c>
      <c r="V6">
        <v>166.28</v>
      </c>
      <c r="W6">
        <v>0.08</v>
      </c>
      <c r="X6">
        <v>152.9776</v>
      </c>
      <c r="Y6">
        <v>206.9776</v>
      </c>
      <c r="Z6" t="s">
        <v>2060</v>
      </c>
      <c r="AA6" t="s">
        <v>2061</v>
      </c>
      <c r="AB6">
        <v>4</v>
      </c>
      <c r="AE6">
        <f>COUNTA(_xlfn.UNIQUE(Table3[Customer_ID]))</f>
        <v>100</v>
      </c>
    </row>
    <row r="7" spans="1:31" x14ac:dyDescent="0.3">
      <c r="A7" t="s">
        <v>73</v>
      </c>
      <c r="B7" t="s">
        <v>74</v>
      </c>
      <c r="C7" t="s">
        <v>75</v>
      </c>
      <c r="D7" t="s">
        <v>2167</v>
      </c>
      <c r="E7">
        <v>53</v>
      </c>
      <c r="F7" t="s">
        <v>52</v>
      </c>
      <c r="G7" t="s">
        <v>76</v>
      </c>
      <c r="H7" t="s">
        <v>77</v>
      </c>
      <c r="I7" t="s">
        <v>78</v>
      </c>
      <c r="J7" t="s">
        <v>79</v>
      </c>
      <c r="K7" s="14">
        <v>45543</v>
      </c>
      <c r="L7" t="s">
        <v>80</v>
      </c>
      <c r="M7" t="s">
        <v>81</v>
      </c>
      <c r="N7">
        <v>330.11</v>
      </c>
      <c r="O7">
        <v>4</v>
      </c>
      <c r="P7" t="s">
        <v>58</v>
      </c>
      <c r="Q7">
        <v>6</v>
      </c>
      <c r="R7">
        <v>39</v>
      </c>
      <c r="S7">
        <v>45547</v>
      </c>
      <c r="T7" t="s">
        <v>82</v>
      </c>
      <c r="U7">
        <v>4</v>
      </c>
      <c r="V7">
        <v>1320.44</v>
      </c>
      <c r="W7">
        <v>0.15</v>
      </c>
      <c r="X7">
        <v>1122.374</v>
      </c>
      <c r="Y7">
        <v>1161.374</v>
      </c>
      <c r="Z7" t="s">
        <v>2062</v>
      </c>
      <c r="AA7" t="s">
        <v>2057</v>
      </c>
      <c r="AB7">
        <v>9</v>
      </c>
    </row>
    <row r="8" spans="1:31" x14ac:dyDescent="0.3">
      <c r="A8" t="s">
        <v>49</v>
      </c>
      <c r="B8" t="s">
        <v>50</v>
      </c>
      <c r="C8" t="s">
        <v>51</v>
      </c>
      <c r="D8" t="s">
        <v>2165</v>
      </c>
      <c r="E8">
        <v>60</v>
      </c>
      <c r="F8" t="s">
        <v>52</v>
      </c>
      <c r="G8" t="s">
        <v>30</v>
      </c>
      <c r="H8" t="s">
        <v>53</v>
      </c>
      <c r="I8" t="s">
        <v>54</v>
      </c>
      <c r="J8" t="s">
        <v>83</v>
      </c>
      <c r="K8" s="14">
        <v>45662</v>
      </c>
      <c r="L8" t="s">
        <v>84</v>
      </c>
      <c r="M8" t="s">
        <v>35</v>
      </c>
      <c r="N8">
        <v>308.88</v>
      </c>
      <c r="O8">
        <v>5</v>
      </c>
      <c r="P8" t="s">
        <v>85</v>
      </c>
      <c r="Q8">
        <v>5</v>
      </c>
      <c r="R8">
        <v>47</v>
      </c>
      <c r="S8">
        <v>45665</v>
      </c>
      <c r="T8" t="s">
        <v>86</v>
      </c>
      <c r="U8">
        <v>3</v>
      </c>
      <c r="V8">
        <v>1544.4</v>
      </c>
      <c r="W8">
        <v>0.2</v>
      </c>
      <c r="X8">
        <v>1235.52</v>
      </c>
      <c r="Y8">
        <v>1282.52</v>
      </c>
      <c r="Z8" t="s">
        <v>2059</v>
      </c>
      <c r="AA8" t="s">
        <v>2057</v>
      </c>
      <c r="AB8">
        <v>1</v>
      </c>
      <c r="AE8">
        <f>AE6</f>
        <v>100</v>
      </c>
    </row>
    <row r="9" spans="1:31" x14ac:dyDescent="0.3">
      <c r="A9" t="s">
        <v>87</v>
      </c>
      <c r="B9" t="s">
        <v>88</v>
      </c>
      <c r="C9" t="s">
        <v>89</v>
      </c>
      <c r="D9" t="s">
        <v>2168</v>
      </c>
      <c r="E9">
        <v>26</v>
      </c>
      <c r="F9" t="s">
        <v>41</v>
      </c>
      <c r="G9" t="s">
        <v>90</v>
      </c>
      <c r="H9" t="s">
        <v>91</v>
      </c>
      <c r="I9" t="s">
        <v>92</v>
      </c>
      <c r="J9" t="s">
        <v>93</v>
      </c>
      <c r="K9" s="14">
        <v>45459</v>
      </c>
      <c r="L9" t="s">
        <v>94</v>
      </c>
      <c r="M9" t="s">
        <v>95</v>
      </c>
      <c r="N9">
        <v>363.64</v>
      </c>
      <c r="O9">
        <v>3</v>
      </c>
      <c r="P9" t="s">
        <v>96</v>
      </c>
      <c r="Q9">
        <v>2</v>
      </c>
      <c r="R9">
        <v>70</v>
      </c>
      <c r="S9">
        <v>45464</v>
      </c>
      <c r="T9" t="s">
        <v>97</v>
      </c>
      <c r="U9">
        <v>5</v>
      </c>
      <c r="V9">
        <v>1090.92</v>
      </c>
      <c r="W9">
        <v>0.1</v>
      </c>
      <c r="X9">
        <v>981.82800000000009</v>
      </c>
      <c r="Y9">
        <v>1051.828</v>
      </c>
      <c r="Z9" t="s">
        <v>2063</v>
      </c>
      <c r="AA9" t="s">
        <v>2061</v>
      </c>
      <c r="AB9">
        <v>6</v>
      </c>
    </row>
    <row r="10" spans="1:31" x14ac:dyDescent="0.3">
      <c r="A10" t="s">
        <v>98</v>
      </c>
      <c r="B10" t="s">
        <v>99</v>
      </c>
      <c r="C10" t="s">
        <v>100</v>
      </c>
      <c r="D10" t="s">
        <v>2169</v>
      </c>
      <c r="E10">
        <v>39</v>
      </c>
      <c r="F10" t="s">
        <v>29</v>
      </c>
      <c r="G10" t="s">
        <v>30</v>
      </c>
      <c r="H10" t="s">
        <v>101</v>
      </c>
      <c r="I10" t="s">
        <v>102</v>
      </c>
      <c r="J10" t="s">
        <v>103</v>
      </c>
      <c r="K10" s="14">
        <v>45040</v>
      </c>
      <c r="L10" t="s">
        <v>104</v>
      </c>
      <c r="M10" t="s">
        <v>105</v>
      </c>
      <c r="N10">
        <v>275.44</v>
      </c>
      <c r="O10">
        <v>1</v>
      </c>
      <c r="P10" t="s">
        <v>36</v>
      </c>
      <c r="Q10">
        <v>7</v>
      </c>
      <c r="R10">
        <v>63</v>
      </c>
      <c r="S10">
        <v>45042</v>
      </c>
      <c r="T10" t="s">
        <v>106</v>
      </c>
      <c r="U10">
        <v>2</v>
      </c>
      <c r="V10">
        <v>275.44</v>
      </c>
      <c r="W10">
        <v>0.08</v>
      </c>
      <c r="X10">
        <v>253.40479999999999</v>
      </c>
      <c r="Y10">
        <v>316.40480000000002</v>
      </c>
      <c r="Z10" t="s">
        <v>2064</v>
      </c>
      <c r="AA10" t="s">
        <v>2057</v>
      </c>
      <c r="AB10">
        <v>4</v>
      </c>
    </row>
    <row r="11" spans="1:31" x14ac:dyDescent="0.3">
      <c r="A11" t="s">
        <v>107</v>
      </c>
      <c r="B11" t="s">
        <v>108</v>
      </c>
      <c r="C11" t="s">
        <v>109</v>
      </c>
      <c r="D11" t="s">
        <v>2170</v>
      </c>
      <c r="E11">
        <v>48</v>
      </c>
      <c r="F11" t="s">
        <v>52</v>
      </c>
      <c r="G11" t="s">
        <v>42</v>
      </c>
      <c r="H11" t="s">
        <v>110</v>
      </c>
      <c r="I11" t="s">
        <v>111</v>
      </c>
      <c r="J11" t="s">
        <v>112</v>
      </c>
      <c r="K11" s="14">
        <v>45282</v>
      </c>
      <c r="L11" t="s">
        <v>113</v>
      </c>
      <c r="M11" t="s">
        <v>114</v>
      </c>
      <c r="N11">
        <v>48.45</v>
      </c>
      <c r="O11">
        <v>1</v>
      </c>
      <c r="P11" t="s">
        <v>58</v>
      </c>
      <c r="Q11">
        <v>7</v>
      </c>
      <c r="R11">
        <v>59</v>
      </c>
      <c r="S11">
        <v>45287</v>
      </c>
      <c r="T11" t="s">
        <v>115</v>
      </c>
      <c r="U11">
        <v>5</v>
      </c>
      <c r="V11">
        <v>48.45</v>
      </c>
      <c r="W11">
        <v>0.15</v>
      </c>
      <c r="X11">
        <v>41.182500000000005</v>
      </c>
      <c r="Y11">
        <v>100.1825</v>
      </c>
      <c r="Z11" t="s">
        <v>2065</v>
      </c>
      <c r="AA11" t="s">
        <v>2057</v>
      </c>
      <c r="AB11">
        <v>12</v>
      </c>
    </row>
    <row r="12" spans="1:31" x14ac:dyDescent="0.3">
      <c r="A12" t="s">
        <v>49</v>
      </c>
      <c r="B12" t="s">
        <v>50</v>
      </c>
      <c r="C12" t="s">
        <v>51</v>
      </c>
      <c r="D12" t="s">
        <v>2165</v>
      </c>
      <c r="E12">
        <v>60</v>
      </c>
      <c r="F12" t="s">
        <v>52</v>
      </c>
      <c r="G12" t="s">
        <v>30</v>
      </c>
      <c r="H12" t="s">
        <v>53</v>
      </c>
      <c r="I12" t="s">
        <v>54</v>
      </c>
      <c r="J12" t="s">
        <v>116</v>
      </c>
      <c r="K12" s="14">
        <v>45588</v>
      </c>
      <c r="L12" t="s">
        <v>117</v>
      </c>
      <c r="M12" t="s">
        <v>95</v>
      </c>
      <c r="N12">
        <v>363.64</v>
      </c>
      <c r="O12">
        <v>4</v>
      </c>
      <c r="P12" t="s">
        <v>63</v>
      </c>
      <c r="Q12">
        <v>2</v>
      </c>
      <c r="R12">
        <v>35</v>
      </c>
      <c r="S12">
        <v>45590</v>
      </c>
      <c r="T12" t="s">
        <v>118</v>
      </c>
      <c r="U12">
        <v>2</v>
      </c>
      <c r="V12">
        <v>1454.56</v>
      </c>
      <c r="W12">
        <v>0</v>
      </c>
      <c r="X12">
        <v>1454.56</v>
      </c>
      <c r="Y12">
        <v>1454.56</v>
      </c>
      <c r="Z12" t="s">
        <v>2059</v>
      </c>
      <c r="AA12" t="s">
        <v>2066</v>
      </c>
      <c r="AB12">
        <v>10</v>
      </c>
    </row>
    <row r="13" spans="1:31" x14ac:dyDescent="0.3">
      <c r="A13" t="s">
        <v>119</v>
      </c>
      <c r="B13" t="s">
        <v>120</v>
      </c>
      <c r="C13" t="s">
        <v>121</v>
      </c>
      <c r="D13" t="s">
        <v>2171</v>
      </c>
      <c r="E13">
        <v>20</v>
      </c>
      <c r="F13" t="s">
        <v>29</v>
      </c>
      <c r="G13" t="s">
        <v>90</v>
      </c>
      <c r="H13" t="s">
        <v>122</v>
      </c>
      <c r="I13" t="s">
        <v>123</v>
      </c>
      <c r="J13" t="s">
        <v>124</v>
      </c>
      <c r="K13" s="14">
        <v>45498</v>
      </c>
      <c r="L13" t="s">
        <v>125</v>
      </c>
      <c r="M13" t="s">
        <v>126</v>
      </c>
      <c r="N13">
        <v>257.06</v>
      </c>
      <c r="O13">
        <v>3</v>
      </c>
      <c r="P13" t="s">
        <v>63</v>
      </c>
      <c r="Q13">
        <v>7</v>
      </c>
      <c r="R13">
        <v>62</v>
      </c>
      <c r="S13">
        <v>45499</v>
      </c>
      <c r="T13" t="s">
        <v>127</v>
      </c>
      <c r="U13">
        <v>1</v>
      </c>
      <c r="V13">
        <v>771.18000000000006</v>
      </c>
      <c r="W13">
        <v>0</v>
      </c>
      <c r="X13">
        <v>771.18000000000006</v>
      </c>
      <c r="Y13">
        <v>771.18000000000006</v>
      </c>
      <c r="Z13" t="s">
        <v>2067</v>
      </c>
      <c r="AA13" t="s">
        <v>2057</v>
      </c>
      <c r="AB13">
        <v>7</v>
      </c>
    </row>
    <row r="14" spans="1:31" x14ac:dyDescent="0.3">
      <c r="A14" t="s">
        <v>128</v>
      </c>
      <c r="B14" t="s">
        <v>129</v>
      </c>
      <c r="C14" t="s">
        <v>130</v>
      </c>
      <c r="D14" t="s">
        <v>2172</v>
      </c>
      <c r="E14">
        <v>30</v>
      </c>
      <c r="F14" t="s">
        <v>41</v>
      </c>
      <c r="G14" t="s">
        <v>42</v>
      </c>
      <c r="H14" t="s">
        <v>131</v>
      </c>
      <c r="I14" t="s">
        <v>132</v>
      </c>
      <c r="J14" t="s">
        <v>133</v>
      </c>
      <c r="K14" s="14">
        <v>44997</v>
      </c>
      <c r="L14" t="s">
        <v>134</v>
      </c>
      <c r="M14" t="s">
        <v>135</v>
      </c>
      <c r="N14">
        <v>175.93</v>
      </c>
      <c r="O14">
        <v>4</v>
      </c>
      <c r="P14" t="s">
        <v>36</v>
      </c>
      <c r="Q14">
        <v>3</v>
      </c>
      <c r="R14">
        <v>65</v>
      </c>
      <c r="S14">
        <v>44999</v>
      </c>
      <c r="T14" t="s">
        <v>136</v>
      </c>
      <c r="U14">
        <v>2</v>
      </c>
      <c r="V14">
        <v>703.72</v>
      </c>
      <c r="W14">
        <v>0.08</v>
      </c>
      <c r="X14">
        <v>647.42240000000004</v>
      </c>
      <c r="Y14">
        <v>712.42240000000004</v>
      </c>
      <c r="Z14" t="s">
        <v>2068</v>
      </c>
      <c r="AA14" t="s">
        <v>2057</v>
      </c>
      <c r="AB14">
        <v>3</v>
      </c>
    </row>
    <row r="15" spans="1:31" x14ac:dyDescent="0.3">
      <c r="A15" t="s">
        <v>137</v>
      </c>
      <c r="B15" t="s">
        <v>138</v>
      </c>
      <c r="C15" t="s">
        <v>139</v>
      </c>
      <c r="D15" t="s">
        <v>2173</v>
      </c>
      <c r="E15">
        <v>25</v>
      </c>
      <c r="F15" t="s">
        <v>52</v>
      </c>
      <c r="G15" t="s">
        <v>140</v>
      </c>
      <c r="H15" t="s">
        <v>141</v>
      </c>
      <c r="I15" t="s">
        <v>142</v>
      </c>
      <c r="J15" t="s">
        <v>143</v>
      </c>
      <c r="K15" s="14">
        <v>45267</v>
      </c>
      <c r="L15" t="s">
        <v>144</v>
      </c>
      <c r="M15" t="s">
        <v>145</v>
      </c>
      <c r="N15">
        <v>190.1</v>
      </c>
      <c r="O15">
        <v>1</v>
      </c>
      <c r="P15" t="s">
        <v>63</v>
      </c>
      <c r="Q15">
        <v>1</v>
      </c>
      <c r="R15">
        <v>70</v>
      </c>
      <c r="S15">
        <v>45270</v>
      </c>
      <c r="T15" t="s">
        <v>146</v>
      </c>
      <c r="U15">
        <v>3</v>
      </c>
      <c r="V15">
        <v>190.1</v>
      </c>
      <c r="W15">
        <v>0</v>
      </c>
      <c r="X15">
        <v>190.1</v>
      </c>
      <c r="Y15">
        <v>190.1</v>
      </c>
      <c r="Z15" t="s">
        <v>2069</v>
      </c>
      <c r="AA15" t="s">
        <v>2061</v>
      </c>
      <c r="AB15">
        <v>12</v>
      </c>
    </row>
    <row r="16" spans="1:31" x14ac:dyDescent="0.3">
      <c r="A16" t="s">
        <v>147</v>
      </c>
      <c r="B16" t="s">
        <v>148</v>
      </c>
      <c r="C16" t="s">
        <v>149</v>
      </c>
      <c r="D16" t="s">
        <v>2174</v>
      </c>
      <c r="E16">
        <v>44</v>
      </c>
      <c r="F16" t="s">
        <v>41</v>
      </c>
      <c r="G16" t="s">
        <v>90</v>
      </c>
      <c r="H16" t="s">
        <v>150</v>
      </c>
      <c r="I16" t="s">
        <v>151</v>
      </c>
      <c r="J16" t="s">
        <v>152</v>
      </c>
      <c r="K16" s="14">
        <v>45377</v>
      </c>
      <c r="L16" t="s">
        <v>153</v>
      </c>
      <c r="M16" t="s">
        <v>154</v>
      </c>
      <c r="N16">
        <v>220.27</v>
      </c>
      <c r="O16">
        <v>2</v>
      </c>
      <c r="P16" t="s">
        <v>63</v>
      </c>
      <c r="Q16">
        <v>3</v>
      </c>
      <c r="R16">
        <v>39</v>
      </c>
      <c r="S16">
        <v>45382</v>
      </c>
      <c r="T16" t="s">
        <v>155</v>
      </c>
      <c r="U16">
        <v>5</v>
      </c>
      <c r="V16">
        <v>440.54</v>
      </c>
      <c r="W16">
        <v>0</v>
      </c>
      <c r="X16">
        <v>440.54</v>
      </c>
      <c r="Y16">
        <v>440.54</v>
      </c>
      <c r="Z16" t="s">
        <v>2070</v>
      </c>
      <c r="AA16" t="s">
        <v>2061</v>
      </c>
      <c r="AB16">
        <v>3</v>
      </c>
    </row>
    <row r="17" spans="1:28" x14ac:dyDescent="0.3">
      <c r="A17" t="s">
        <v>156</v>
      </c>
      <c r="B17" t="s">
        <v>157</v>
      </c>
      <c r="C17" t="s">
        <v>158</v>
      </c>
      <c r="D17" t="s">
        <v>2175</v>
      </c>
      <c r="E17">
        <v>24</v>
      </c>
      <c r="F17" t="s">
        <v>29</v>
      </c>
      <c r="G17" t="s">
        <v>159</v>
      </c>
      <c r="H17" t="s">
        <v>160</v>
      </c>
      <c r="I17" t="s">
        <v>161</v>
      </c>
      <c r="J17" t="s">
        <v>162</v>
      </c>
      <c r="K17" s="14">
        <v>45079</v>
      </c>
      <c r="L17" t="s">
        <v>163</v>
      </c>
      <c r="M17" t="s">
        <v>81</v>
      </c>
      <c r="N17">
        <v>330.11</v>
      </c>
      <c r="O17">
        <v>4</v>
      </c>
      <c r="P17" t="s">
        <v>63</v>
      </c>
      <c r="Q17">
        <v>1</v>
      </c>
      <c r="R17">
        <v>58</v>
      </c>
      <c r="S17">
        <v>45080</v>
      </c>
      <c r="T17" t="s">
        <v>164</v>
      </c>
      <c r="U17">
        <v>1</v>
      </c>
      <c r="V17">
        <v>1320.44</v>
      </c>
      <c r="W17">
        <v>0</v>
      </c>
      <c r="X17">
        <v>1320.44</v>
      </c>
      <c r="Y17">
        <v>1320.44</v>
      </c>
      <c r="Z17" t="s">
        <v>2071</v>
      </c>
      <c r="AA17" t="s">
        <v>2066</v>
      </c>
      <c r="AB17">
        <v>6</v>
      </c>
    </row>
    <row r="18" spans="1:28" x14ac:dyDescent="0.3">
      <c r="A18" t="s">
        <v>165</v>
      </c>
      <c r="B18" t="s">
        <v>166</v>
      </c>
      <c r="C18" t="s">
        <v>167</v>
      </c>
      <c r="D18" t="s">
        <v>2176</v>
      </c>
      <c r="E18">
        <v>46</v>
      </c>
      <c r="F18" t="s">
        <v>29</v>
      </c>
      <c r="G18" t="s">
        <v>168</v>
      </c>
      <c r="H18" t="s">
        <v>169</v>
      </c>
      <c r="I18" t="s">
        <v>170</v>
      </c>
      <c r="J18" t="s">
        <v>171</v>
      </c>
      <c r="K18" s="14">
        <v>44966</v>
      </c>
      <c r="L18" t="s">
        <v>172</v>
      </c>
      <c r="M18" t="s">
        <v>173</v>
      </c>
      <c r="N18">
        <v>272.51</v>
      </c>
      <c r="O18">
        <v>4</v>
      </c>
      <c r="P18" t="s">
        <v>96</v>
      </c>
      <c r="Q18">
        <v>5</v>
      </c>
      <c r="R18">
        <v>40</v>
      </c>
      <c r="S18">
        <v>44970</v>
      </c>
      <c r="T18" t="s">
        <v>174</v>
      </c>
      <c r="U18">
        <v>4</v>
      </c>
      <c r="V18">
        <v>1090.04</v>
      </c>
      <c r="W18">
        <v>0.1</v>
      </c>
      <c r="X18">
        <v>981.03599999999994</v>
      </c>
      <c r="Y18">
        <v>1021.0359999999999</v>
      </c>
      <c r="Z18" t="s">
        <v>2072</v>
      </c>
      <c r="AA18" t="s">
        <v>2057</v>
      </c>
      <c r="AB18">
        <v>2</v>
      </c>
    </row>
    <row r="19" spans="1:28" x14ac:dyDescent="0.3">
      <c r="A19" t="s">
        <v>175</v>
      </c>
      <c r="B19" t="s">
        <v>176</v>
      </c>
      <c r="C19" t="s">
        <v>177</v>
      </c>
      <c r="D19" t="s">
        <v>2177</v>
      </c>
      <c r="E19">
        <v>36</v>
      </c>
      <c r="F19" t="s">
        <v>52</v>
      </c>
      <c r="G19" t="s">
        <v>140</v>
      </c>
      <c r="H19" t="s">
        <v>178</v>
      </c>
      <c r="I19" t="s">
        <v>179</v>
      </c>
      <c r="J19" t="s">
        <v>180</v>
      </c>
      <c r="K19" s="14">
        <v>45542</v>
      </c>
      <c r="L19" t="s">
        <v>181</v>
      </c>
      <c r="M19" t="s">
        <v>182</v>
      </c>
      <c r="N19">
        <v>104.18</v>
      </c>
      <c r="O19">
        <v>2</v>
      </c>
      <c r="P19" t="s">
        <v>63</v>
      </c>
      <c r="Q19">
        <v>4</v>
      </c>
      <c r="R19">
        <v>44</v>
      </c>
      <c r="S19">
        <v>45545</v>
      </c>
      <c r="T19" t="s">
        <v>183</v>
      </c>
      <c r="U19">
        <v>3</v>
      </c>
      <c r="V19">
        <v>208.36</v>
      </c>
      <c r="W19">
        <v>0</v>
      </c>
      <c r="X19">
        <v>208.36</v>
      </c>
      <c r="Y19">
        <v>208.36</v>
      </c>
      <c r="Z19" t="s">
        <v>2073</v>
      </c>
      <c r="AA19" t="s">
        <v>2057</v>
      </c>
      <c r="AB19">
        <v>9</v>
      </c>
    </row>
    <row r="20" spans="1:28" x14ac:dyDescent="0.3">
      <c r="A20" t="s">
        <v>184</v>
      </c>
      <c r="B20" t="s">
        <v>185</v>
      </c>
      <c r="C20" t="s">
        <v>186</v>
      </c>
      <c r="D20" t="s">
        <v>2178</v>
      </c>
      <c r="E20">
        <v>42</v>
      </c>
      <c r="F20" t="s">
        <v>41</v>
      </c>
      <c r="G20" t="s">
        <v>168</v>
      </c>
      <c r="H20" t="s">
        <v>187</v>
      </c>
      <c r="I20" t="s">
        <v>188</v>
      </c>
      <c r="J20" t="s">
        <v>189</v>
      </c>
      <c r="K20" s="14">
        <v>45665</v>
      </c>
      <c r="L20" t="s">
        <v>190</v>
      </c>
      <c r="M20" t="s">
        <v>114</v>
      </c>
      <c r="N20">
        <v>48.45</v>
      </c>
      <c r="O20">
        <v>4</v>
      </c>
      <c r="P20" t="s">
        <v>96</v>
      </c>
      <c r="Q20">
        <v>1</v>
      </c>
      <c r="R20">
        <v>70</v>
      </c>
      <c r="S20">
        <v>45670</v>
      </c>
      <c r="T20" t="s">
        <v>191</v>
      </c>
      <c r="U20">
        <v>5</v>
      </c>
      <c r="V20">
        <v>193.8</v>
      </c>
      <c r="W20">
        <v>0.1</v>
      </c>
      <c r="X20">
        <v>174.42000000000002</v>
      </c>
      <c r="Y20">
        <v>244.42000000000002</v>
      </c>
      <c r="Z20" t="s">
        <v>2074</v>
      </c>
      <c r="AA20" t="s">
        <v>2061</v>
      </c>
      <c r="AB20">
        <v>1</v>
      </c>
    </row>
    <row r="21" spans="1:28" x14ac:dyDescent="0.3">
      <c r="A21" t="s">
        <v>192</v>
      </c>
      <c r="B21" t="s">
        <v>193</v>
      </c>
      <c r="C21" t="s">
        <v>194</v>
      </c>
      <c r="D21" t="s">
        <v>2179</v>
      </c>
      <c r="E21">
        <v>34</v>
      </c>
      <c r="F21" t="s">
        <v>29</v>
      </c>
      <c r="G21" t="s">
        <v>90</v>
      </c>
      <c r="H21" t="s">
        <v>195</v>
      </c>
      <c r="I21" t="s">
        <v>196</v>
      </c>
      <c r="J21" t="s">
        <v>197</v>
      </c>
      <c r="K21" s="14">
        <v>45556</v>
      </c>
      <c r="L21" t="s">
        <v>198</v>
      </c>
      <c r="M21" t="s">
        <v>199</v>
      </c>
      <c r="N21">
        <v>20.7</v>
      </c>
      <c r="O21">
        <v>5</v>
      </c>
      <c r="P21" t="s">
        <v>63</v>
      </c>
      <c r="Q21">
        <v>7</v>
      </c>
      <c r="R21">
        <v>38</v>
      </c>
      <c r="S21">
        <v>45561</v>
      </c>
      <c r="T21" t="s">
        <v>200</v>
      </c>
      <c r="U21">
        <v>5</v>
      </c>
      <c r="V21">
        <v>103.5</v>
      </c>
      <c r="W21">
        <v>0</v>
      </c>
      <c r="X21">
        <v>103.5</v>
      </c>
      <c r="Y21">
        <v>103.5</v>
      </c>
      <c r="Z21" t="s">
        <v>2075</v>
      </c>
      <c r="AA21" t="s">
        <v>2057</v>
      </c>
      <c r="AB21">
        <v>9</v>
      </c>
    </row>
    <row r="22" spans="1:28" x14ac:dyDescent="0.3">
      <c r="A22" t="s">
        <v>201</v>
      </c>
      <c r="B22" t="s">
        <v>202</v>
      </c>
      <c r="C22" t="s">
        <v>203</v>
      </c>
      <c r="D22" t="s">
        <v>2180</v>
      </c>
      <c r="E22">
        <v>23</v>
      </c>
      <c r="F22" t="s">
        <v>29</v>
      </c>
      <c r="G22" t="s">
        <v>90</v>
      </c>
      <c r="H22" t="s">
        <v>204</v>
      </c>
      <c r="I22" t="s">
        <v>205</v>
      </c>
      <c r="J22" t="s">
        <v>206</v>
      </c>
      <c r="K22" s="14">
        <v>45520</v>
      </c>
      <c r="L22" t="s">
        <v>207</v>
      </c>
      <c r="M22" t="s">
        <v>35</v>
      </c>
      <c r="N22">
        <v>308.88</v>
      </c>
      <c r="O22">
        <v>3</v>
      </c>
      <c r="P22" t="s">
        <v>96</v>
      </c>
      <c r="Q22">
        <v>7</v>
      </c>
      <c r="R22">
        <v>43</v>
      </c>
      <c r="S22">
        <v>45521</v>
      </c>
      <c r="T22" t="s">
        <v>208</v>
      </c>
      <c r="U22">
        <v>1</v>
      </c>
      <c r="V22">
        <v>926.64</v>
      </c>
      <c r="W22">
        <v>0.1</v>
      </c>
      <c r="X22">
        <v>833.976</v>
      </c>
      <c r="Y22">
        <v>876.976</v>
      </c>
      <c r="Z22" t="s">
        <v>2076</v>
      </c>
      <c r="AA22" t="s">
        <v>2057</v>
      </c>
      <c r="AB22">
        <v>8</v>
      </c>
    </row>
    <row r="23" spans="1:28" x14ac:dyDescent="0.3">
      <c r="A23" t="s">
        <v>209</v>
      </c>
      <c r="B23" t="s">
        <v>210</v>
      </c>
      <c r="C23" t="s">
        <v>211</v>
      </c>
      <c r="D23" t="s">
        <v>2181</v>
      </c>
      <c r="E23">
        <v>39</v>
      </c>
      <c r="F23" t="s">
        <v>41</v>
      </c>
      <c r="G23" t="s">
        <v>159</v>
      </c>
      <c r="H23" t="s">
        <v>212</v>
      </c>
      <c r="I23" t="s">
        <v>213</v>
      </c>
      <c r="J23" t="s">
        <v>214</v>
      </c>
      <c r="K23" s="14">
        <v>45352</v>
      </c>
      <c r="L23" t="s">
        <v>215</v>
      </c>
      <c r="M23" t="s">
        <v>182</v>
      </c>
      <c r="N23">
        <v>104.18</v>
      </c>
      <c r="O23">
        <v>5</v>
      </c>
      <c r="P23" t="s">
        <v>36</v>
      </c>
      <c r="Q23">
        <v>5</v>
      </c>
      <c r="R23">
        <v>58</v>
      </c>
      <c r="S23">
        <v>45356</v>
      </c>
      <c r="T23" t="s">
        <v>216</v>
      </c>
      <c r="U23">
        <v>4</v>
      </c>
      <c r="V23">
        <v>520.90000000000009</v>
      </c>
      <c r="W23">
        <v>0.08</v>
      </c>
      <c r="X23">
        <v>479.22800000000007</v>
      </c>
      <c r="Y23">
        <v>537.22800000000007</v>
      </c>
      <c r="Z23" t="s">
        <v>2077</v>
      </c>
      <c r="AA23" t="s">
        <v>2057</v>
      </c>
      <c r="AB23">
        <v>3</v>
      </c>
    </row>
    <row r="24" spans="1:28" x14ac:dyDescent="0.3">
      <c r="A24" t="s">
        <v>217</v>
      </c>
      <c r="B24" t="s">
        <v>218</v>
      </c>
      <c r="C24" t="s">
        <v>219</v>
      </c>
      <c r="D24" t="s">
        <v>2182</v>
      </c>
      <c r="E24">
        <v>33</v>
      </c>
      <c r="F24" t="s">
        <v>52</v>
      </c>
      <c r="G24" t="s">
        <v>220</v>
      </c>
      <c r="H24" t="s">
        <v>221</v>
      </c>
      <c r="I24" t="s">
        <v>222</v>
      </c>
      <c r="J24" t="s">
        <v>223</v>
      </c>
      <c r="K24" s="14">
        <v>45125</v>
      </c>
      <c r="L24" t="s">
        <v>224</v>
      </c>
      <c r="M24" t="s">
        <v>225</v>
      </c>
      <c r="N24">
        <v>461.07</v>
      </c>
      <c r="O24">
        <v>1</v>
      </c>
      <c r="P24" t="s">
        <v>36</v>
      </c>
      <c r="Q24">
        <v>1</v>
      </c>
      <c r="R24">
        <v>56</v>
      </c>
      <c r="S24">
        <v>45126</v>
      </c>
      <c r="T24" t="s">
        <v>226</v>
      </c>
      <c r="U24">
        <v>1</v>
      </c>
      <c r="V24">
        <v>461.07</v>
      </c>
      <c r="W24">
        <v>0.08</v>
      </c>
      <c r="X24">
        <v>424.18439999999998</v>
      </c>
      <c r="Y24">
        <v>480.18439999999998</v>
      </c>
      <c r="Z24" t="s">
        <v>2078</v>
      </c>
      <c r="AA24" t="s">
        <v>2066</v>
      </c>
      <c r="AB24">
        <v>7</v>
      </c>
    </row>
    <row r="25" spans="1:28" x14ac:dyDescent="0.3">
      <c r="A25" t="s">
        <v>227</v>
      </c>
      <c r="B25" t="s">
        <v>228</v>
      </c>
      <c r="C25" t="s">
        <v>229</v>
      </c>
      <c r="D25" t="s">
        <v>2183</v>
      </c>
      <c r="E25">
        <v>64</v>
      </c>
      <c r="F25" t="s">
        <v>41</v>
      </c>
      <c r="G25" t="s">
        <v>42</v>
      </c>
      <c r="H25" t="s">
        <v>230</v>
      </c>
      <c r="I25" t="s">
        <v>231</v>
      </c>
      <c r="J25" t="s">
        <v>232</v>
      </c>
      <c r="K25" s="14">
        <v>45194</v>
      </c>
      <c r="L25" t="s">
        <v>233</v>
      </c>
      <c r="M25" t="s">
        <v>234</v>
      </c>
      <c r="N25">
        <v>132.97</v>
      </c>
      <c r="O25">
        <v>1</v>
      </c>
      <c r="P25" t="s">
        <v>58</v>
      </c>
      <c r="Q25">
        <v>4</v>
      </c>
      <c r="R25">
        <v>55</v>
      </c>
      <c r="S25">
        <v>45198</v>
      </c>
      <c r="T25" t="s">
        <v>235</v>
      </c>
      <c r="U25">
        <v>4</v>
      </c>
      <c r="V25">
        <v>132.97</v>
      </c>
      <c r="W25">
        <v>0.15</v>
      </c>
      <c r="X25">
        <v>113.0245</v>
      </c>
      <c r="Y25">
        <v>168.02449999999999</v>
      </c>
      <c r="Z25" t="s">
        <v>2079</v>
      </c>
      <c r="AA25" t="s">
        <v>2066</v>
      </c>
      <c r="AB25">
        <v>9</v>
      </c>
    </row>
    <row r="26" spans="1:28" x14ac:dyDescent="0.3">
      <c r="A26" t="s">
        <v>236</v>
      </c>
      <c r="B26" t="s">
        <v>66</v>
      </c>
      <c r="C26" t="s">
        <v>237</v>
      </c>
      <c r="D26" t="s">
        <v>2184</v>
      </c>
      <c r="E26">
        <v>52</v>
      </c>
      <c r="F26" t="s">
        <v>52</v>
      </c>
      <c r="G26" t="s">
        <v>42</v>
      </c>
      <c r="H26" t="s">
        <v>238</v>
      </c>
      <c r="I26" t="s">
        <v>239</v>
      </c>
      <c r="J26" t="s">
        <v>240</v>
      </c>
      <c r="K26" s="14">
        <v>45146</v>
      </c>
      <c r="L26" t="s">
        <v>241</v>
      </c>
      <c r="M26" t="s">
        <v>242</v>
      </c>
      <c r="N26">
        <v>126.19</v>
      </c>
      <c r="O26">
        <v>2</v>
      </c>
      <c r="P26" t="s">
        <v>63</v>
      </c>
      <c r="Q26">
        <v>3</v>
      </c>
      <c r="R26">
        <v>63</v>
      </c>
      <c r="S26">
        <v>45150</v>
      </c>
      <c r="T26" t="s">
        <v>243</v>
      </c>
      <c r="U26">
        <v>4</v>
      </c>
      <c r="V26">
        <v>252.38</v>
      </c>
      <c r="W26">
        <v>0</v>
      </c>
      <c r="X26">
        <v>252.38</v>
      </c>
      <c r="Y26">
        <v>252.38</v>
      </c>
      <c r="Z26" t="s">
        <v>2080</v>
      </c>
      <c r="AA26" t="s">
        <v>2061</v>
      </c>
      <c r="AB26">
        <v>8</v>
      </c>
    </row>
    <row r="27" spans="1:28" x14ac:dyDescent="0.3">
      <c r="A27" t="s">
        <v>236</v>
      </c>
      <c r="B27" t="s">
        <v>66</v>
      </c>
      <c r="C27" t="s">
        <v>237</v>
      </c>
      <c r="D27" t="s">
        <v>2184</v>
      </c>
      <c r="E27">
        <v>52</v>
      </c>
      <c r="F27" t="s">
        <v>52</v>
      </c>
      <c r="G27" t="s">
        <v>42</v>
      </c>
      <c r="H27" t="s">
        <v>238</v>
      </c>
      <c r="I27" t="s">
        <v>239</v>
      </c>
      <c r="J27" t="s">
        <v>244</v>
      </c>
      <c r="K27" s="14">
        <v>45138</v>
      </c>
      <c r="L27" t="s">
        <v>245</v>
      </c>
      <c r="M27" t="s">
        <v>246</v>
      </c>
      <c r="N27">
        <v>282.63</v>
      </c>
      <c r="O27">
        <v>3</v>
      </c>
      <c r="P27" t="s">
        <v>63</v>
      </c>
      <c r="Q27">
        <v>2</v>
      </c>
      <c r="R27">
        <v>40</v>
      </c>
      <c r="S27">
        <v>45142</v>
      </c>
      <c r="T27" t="s">
        <v>247</v>
      </c>
      <c r="U27">
        <v>4</v>
      </c>
      <c r="V27">
        <v>847.89</v>
      </c>
      <c r="W27">
        <v>0</v>
      </c>
      <c r="X27">
        <v>847.89</v>
      </c>
      <c r="Y27">
        <v>847.89</v>
      </c>
      <c r="Z27" t="s">
        <v>2080</v>
      </c>
      <c r="AA27" t="s">
        <v>2061</v>
      </c>
      <c r="AB27">
        <v>7</v>
      </c>
    </row>
    <row r="28" spans="1:28" x14ac:dyDescent="0.3">
      <c r="A28" t="s">
        <v>119</v>
      </c>
      <c r="B28" t="s">
        <v>120</v>
      </c>
      <c r="C28" t="s">
        <v>121</v>
      </c>
      <c r="D28" t="s">
        <v>2171</v>
      </c>
      <c r="E28">
        <v>20</v>
      </c>
      <c r="F28" t="s">
        <v>29</v>
      </c>
      <c r="G28" t="s">
        <v>90</v>
      </c>
      <c r="H28" t="s">
        <v>122</v>
      </c>
      <c r="I28" t="s">
        <v>123</v>
      </c>
      <c r="J28" t="s">
        <v>248</v>
      </c>
      <c r="K28" s="14">
        <v>45066</v>
      </c>
      <c r="L28" t="s">
        <v>249</v>
      </c>
      <c r="M28" t="s">
        <v>250</v>
      </c>
      <c r="N28">
        <v>128.13999999999999</v>
      </c>
      <c r="O28">
        <v>3</v>
      </c>
      <c r="P28" t="s">
        <v>36</v>
      </c>
      <c r="Q28">
        <v>4</v>
      </c>
      <c r="R28">
        <v>70</v>
      </c>
      <c r="S28">
        <v>45069</v>
      </c>
      <c r="T28" t="s">
        <v>251</v>
      </c>
      <c r="U28">
        <v>3</v>
      </c>
      <c r="V28">
        <v>384.41999999999996</v>
      </c>
      <c r="W28">
        <v>0.08</v>
      </c>
      <c r="X28">
        <v>353.66639999999995</v>
      </c>
      <c r="Y28">
        <v>423.66639999999995</v>
      </c>
      <c r="Z28" t="s">
        <v>2067</v>
      </c>
      <c r="AA28" t="s">
        <v>2057</v>
      </c>
      <c r="AB28">
        <v>5</v>
      </c>
    </row>
    <row r="29" spans="1:28" x14ac:dyDescent="0.3">
      <c r="A29" t="s">
        <v>119</v>
      </c>
      <c r="B29" t="s">
        <v>120</v>
      </c>
      <c r="C29" t="s">
        <v>121</v>
      </c>
      <c r="D29" t="s">
        <v>2171</v>
      </c>
      <c r="E29">
        <v>20</v>
      </c>
      <c r="F29" t="s">
        <v>29</v>
      </c>
      <c r="G29" t="s">
        <v>90</v>
      </c>
      <c r="H29" t="s">
        <v>122</v>
      </c>
      <c r="I29" t="s">
        <v>123</v>
      </c>
      <c r="J29" t="s">
        <v>252</v>
      </c>
      <c r="K29" s="14">
        <v>45185</v>
      </c>
      <c r="L29" t="s">
        <v>253</v>
      </c>
      <c r="M29" t="s">
        <v>95</v>
      </c>
      <c r="N29">
        <v>363.64</v>
      </c>
      <c r="O29">
        <v>3</v>
      </c>
      <c r="P29" t="s">
        <v>85</v>
      </c>
      <c r="Q29">
        <v>5</v>
      </c>
      <c r="R29">
        <v>39</v>
      </c>
      <c r="S29">
        <v>45189</v>
      </c>
      <c r="T29" t="s">
        <v>254</v>
      </c>
      <c r="U29">
        <v>4</v>
      </c>
      <c r="V29">
        <v>1090.92</v>
      </c>
      <c r="W29">
        <v>0.2</v>
      </c>
      <c r="X29">
        <v>872.7360000000001</v>
      </c>
      <c r="Y29">
        <v>911.7360000000001</v>
      </c>
      <c r="Z29" t="s">
        <v>2067</v>
      </c>
      <c r="AA29" t="s">
        <v>2057</v>
      </c>
      <c r="AB29">
        <v>9</v>
      </c>
    </row>
    <row r="30" spans="1:28" x14ac:dyDescent="0.3">
      <c r="A30" t="s">
        <v>255</v>
      </c>
      <c r="B30" t="s">
        <v>256</v>
      </c>
      <c r="C30" t="s">
        <v>257</v>
      </c>
      <c r="D30" t="s">
        <v>2185</v>
      </c>
      <c r="E30">
        <v>60</v>
      </c>
      <c r="F30" t="s">
        <v>52</v>
      </c>
      <c r="G30" t="s">
        <v>30</v>
      </c>
      <c r="H30" t="s">
        <v>258</v>
      </c>
      <c r="I30" t="s">
        <v>259</v>
      </c>
      <c r="J30" t="s">
        <v>260</v>
      </c>
      <c r="K30" s="14">
        <v>44987</v>
      </c>
      <c r="L30" t="s">
        <v>261</v>
      </c>
      <c r="M30" t="s">
        <v>95</v>
      </c>
      <c r="N30">
        <v>363.64</v>
      </c>
      <c r="O30">
        <v>2</v>
      </c>
      <c r="P30" t="s">
        <v>58</v>
      </c>
      <c r="Q30">
        <v>1</v>
      </c>
      <c r="R30">
        <v>43</v>
      </c>
      <c r="S30">
        <v>44988</v>
      </c>
      <c r="T30" t="s">
        <v>262</v>
      </c>
      <c r="U30">
        <v>1</v>
      </c>
      <c r="V30">
        <v>727.28</v>
      </c>
      <c r="W30">
        <v>0.15</v>
      </c>
      <c r="X30">
        <v>618.18799999999999</v>
      </c>
      <c r="Y30">
        <v>661.18799999999999</v>
      </c>
      <c r="Z30" t="s">
        <v>2081</v>
      </c>
      <c r="AA30" t="s">
        <v>2066</v>
      </c>
      <c r="AB30">
        <v>3</v>
      </c>
    </row>
    <row r="31" spans="1:28" x14ac:dyDescent="0.3">
      <c r="A31" t="s">
        <v>263</v>
      </c>
      <c r="B31" t="s">
        <v>264</v>
      </c>
      <c r="C31" t="s">
        <v>265</v>
      </c>
      <c r="D31" t="s">
        <v>2186</v>
      </c>
      <c r="E31">
        <v>54</v>
      </c>
      <c r="F31" t="s">
        <v>41</v>
      </c>
      <c r="G31" t="s">
        <v>30</v>
      </c>
      <c r="H31" t="s">
        <v>266</v>
      </c>
      <c r="I31" t="s">
        <v>267</v>
      </c>
      <c r="J31" t="s">
        <v>268</v>
      </c>
      <c r="K31" s="14">
        <v>45224</v>
      </c>
      <c r="L31" t="s">
        <v>269</v>
      </c>
      <c r="M31" t="s">
        <v>270</v>
      </c>
      <c r="N31">
        <v>62.42</v>
      </c>
      <c r="O31">
        <v>1</v>
      </c>
      <c r="P31" t="s">
        <v>63</v>
      </c>
      <c r="Q31">
        <v>3</v>
      </c>
      <c r="R31">
        <v>58</v>
      </c>
      <c r="S31">
        <v>45229</v>
      </c>
      <c r="T31" t="s">
        <v>271</v>
      </c>
      <c r="U31">
        <v>5</v>
      </c>
      <c r="V31">
        <v>62.42</v>
      </c>
      <c r="W31">
        <v>0</v>
      </c>
      <c r="X31">
        <v>62.42</v>
      </c>
      <c r="Y31">
        <v>62.42</v>
      </c>
      <c r="Z31" t="s">
        <v>2082</v>
      </c>
      <c r="AA31" t="s">
        <v>2061</v>
      </c>
      <c r="AB31">
        <v>10</v>
      </c>
    </row>
    <row r="32" spans="1:28" x14ac:dyDescent="0.3">
      <c r="A32" t="s">
        <v>272</v>
      </c>
      <c r="B32" t="s">
        <v>273</v>
      </c>
      <c r="C32" t="s">
        <v>274</v>
      </c>
      <c r="D32" t="s">
        <v>2187</v>
      </c>
      <c r="E32">
        <v>44</v>
      </c>
      <c r="F32" t="s">
        <v>29</v>
      </c>
      <c r="G32" t="s">
        <v>220</v>
      </c>
      <c r="H32" t="s">
        <v>275</v>
      </c>
      <c r="I32" t="s">
        <v>276</v>
      </c>
      <c r="J32" t="s">
        <v>277</v>
      </c>
      <c r="K32" s="14">
        <v>45389</v>
      </c>
      <c r="L32" t="s">
        <v>278</v>
      </c>
      <c r="M32" t="s">
        <v>234</v>
      </c>
      <c r="N32">
        <v>132.97</v>
      </c>
      <c r="O32">
        <v>1</v>
      </c>
      <c r="P32" t="s">
        <v>63</v>
      </c>
      <c r="Q32">
        <v>6</v>
      </c>
      <c r="R32">
        <v>57</v>
      </c>
      <c r="S32">
        <v>45396</v>
      </c>
      <c r="T32" t="s">
        <v>279</v>
      </c>
      <c r="U32">
        <v>7</v>
      </c>
      <c r="V32">
        <v>132.97</v>
      </c>
      <c r="W32">
        <v>0</v>
      </c>
      <c r="X32">
        <v>132.97</v>
      </c>
      <c r="Y32">
        <v>132.97</v>
      </c>
      <c r="Z32" t="s">
        <v>2083</v>
      </c>
      <c r="AA32" t="s">
        <v>2061</v>
      </c>
      <c r="AB32">
        <v>4</v>
      </c>
    </row>
    <row r="33" spans="1:28" x14ac:dyDescent="0.3">
      <c r="A33" t="s">
        <v>280</v>
      </c>
      <c r="B33" t="s">
        <v>281</v>
      </c>
      <c r="C33" t="s">
        <v>282</v>
      </c>
      <c r="D33" t="s">
        <v>2188</v>
      </c>
      <c r="E33">
        <v>64</v>
      </c>
      <c r="F33" t="s">
        <v>52</v>
      </c>
      <c r="G33" t="s">
        <v>30</v>
      </c>
      <c r="H33" t="s">
        <v>283</v>
      </c>
      <c r="I33" t="s">
        <v>284</v>
      </c>
      <c r="J33" t="s">
        <v>285</v>
      </c>
      <c r="K33" s="14">
        <v>45039</v>
      </c>
      <c r="L33" t="s">
        <v>286</v>
      </c>
      <c r="M33" t="s">
        <v>287</v>
      </c>
      <c r="N33">
        <v>157.63999999999999</v>
      </c>
      <c r="O33">
        <v>4</v>
      </c>
      <c r="P33" t="s">
        <v>85</v>
      </c>
      <c r="Q33">
        <v>7</v>
      </c>
      <c r="R33">
        <v>59</v>
      </c>
      <c r="S33">
        <v>45046</v>
      </c>
      <c r="T33" t="s">
        <v>288</v>
      </c>
      <c r="U33">
        <v>7</v>
      </c>
      <c r="V33">
        <v>630.55999999999995</v>
      </c>
      <c r="W33">
        <v>0.2</v>
      </c>
      <c r="X33">
        <v>504.44799999999998</v>
      </c>
      <c r="Y33">
        <v>563.44799999999998</v>
      </c>
      <c r="Z33" t="s">
        <v>2084</v>
      </c>
      <c r="AA33" t="s">
        <v>2066</v>
      </c>
      <c r="AB33">
        <v>4</v>
      </c>
    </row>
    <row r="34" spans="1:28" x14ac:dyDescent="0.3">
      <c r="A34" t="s">
        <v>272</v>
      </c>
      <c r="B34" t="s">
        <v>273</v>
      </c>
      <c r="C34" t="s">
        <v>274</v>
      </c>
      <c r="D34" t="s">
        <v>2187</v>
      </c>
      <c r="E34">
        <v>44</v>
      </c>
      <c r="F34" t="s">
        <v>29</v>
      </c>
      <c r="G34" t="s">
        <v>220</v>
      </c>
      <c r="H34" t="s">
        <v>275</v>
      </c>
      <c r="I34" t="s">
        <v>276</v>
      </c>
      <c r="J34" t="s">
        <v>289</v>
      </c>
      <c r="K34" s="14">
        <v>45548</v>
      </c>
      <c r="L34" t="s">
        <v>290</v>
      </c>
      <c r="M34" t="s">
        <v>291</v>
      </c>
      <c r="N34">
        <v>158.53</v>
      </c>
      <c r="O34">
        <v>5</v>
      </c>
      <c r="P34" t="s">
        <v>85</v>
      </c>
      <c r="Q34">
        <v>3</v>
      </c>
      <c r="R34">
        <v>42</v>
      </c>
      <c r="S34">
        <v>45553</v>
      </c>
      <c r="T34" t="s">
        <v>292</v>
      </c>
      <c r="U34">
        <v>5</v>
      </c>
      <c r="V34">
        <v>792.65</v>
      </c>
      <c r="W34">
        <v>0.2</v>
      </c>
      <c r="X34">
        <v>634.12</v>
      </c>
      <c r="Y34">
        <v>676.12</v>
      </c>
      <c r="Z34" t="s">
        <v>2083</v>
      </c>
      <c r="AA34" t="s">
        <v>2061</v>
      </c>
      <c r="AB34">
        <v>9</v>
      </c>
    </row>
    <row r="35" spans="1:28" x14ac:dyDescent="0.3">
      <c r="A35" t="s">
        <v>293</v>
      </c>
      <c r="B35" t="s">
        <v>294</v>
      </c>
      <c r="C35" t="s">
        <v>295</v>
      </c>
      <c r="D35" t="s">
        <v>2189</v>
      </c>
      <c r="E35">
        <v>48</v>
      </c>
      <c r="F35" t="s">
        <v>41</v>
      </c>
      <c r="G35" t="s">
        <v>90</v>
      </c>
      <c r="H35" t="s">
        <v>296</v>
      </c>
      <c r="I35" t="s">
        <v>297</v>
      </c>
      <c r="J35" t="s">
        <v>298</v>
      </c>
      <c r="K35" s="14">
        <v>45407</v>
      </c>
      <c r="L35" t="s">
        <v>299</v>
      </c>
      <c r="M35" t="s">
        <v>270</v>
      </c>
      <c r="N35">
        <v>62.42</v>
      </c>
      <c r="O35">
        <v>3</v>
      </c>
      <c r="P35" t="s">
        <v>36</v>
      </c>
      <c r="Q35">
        <v>4</v>
      </c>
      <c r="R35">
        <v>36</v>
      </c>
      <c r="S35">
        <v>45414</v>
      </c>
      <c r="T35" t="s">
        <v>300</v>
      </c>
      <c r="U35">
        <v>7</v>
      </c>
      <c r="V35">
        <v>187.26</v>
      </c>
      <c r="W35">
        <v>0.08</v>
      </c>
      <c r="X35">
        <v>172.2792</v>
      </c>
      <c r="Y35">
        <v>208.2792</v>
      </c>
      <c r="Z35" t="s">
        <v>2085</v>
      </c>
      <c r="AA35" t="s">
        <v>2061</v>
      </c>
      <c r="AB35">
        <v>4</v>
      </c>
    </row>
    <row r="36" spans="1:28" x14ac:dyDescent="0.3">
      <c r="A36" t="s">
        <v>301</v>
      </c>
      <c r="B36" t="s">
        <v>302</v>
      </c>
      <c r="C36" t="s">
        <v>303</v>
      </c>
      <c r="D36" t="s">
        <v>2190</v>
      </c>
      <c r="E36">
        <v>26</v>
      </c>
      <c r="F36" t="s">
        <v>52</v>
      </c>
      <c r="G36" t="s">
        <v>168</v>
      </c>
      <c r="H36" t="s">
        <v>304</v>
      </c>
      <c r="I36" t="s">
        <v>305</v>
      </c>
      <c r="J36" t="s">
        <v>306</v>
      </c>
      <c r="K36" s="14">
        <v>45168</v>
      </c>
      <c r="L36" t="s">
        <v>307</v>
      </c>
      <c r="M36" t="s">
        <v>308</v>
      </c>
      <c r="N36">
        <v>129.75</v>
      </c>
      <c r="O36">
        <v>1</v>
      </c>
      <c r="P36" t="s">
        <v>96</v>
      </c>
      <c r="Q36">
        <v>5</v>
      </c>
      <c r="R36">
        <v>70</v>
      </c>
      <c r="S36">
        <v>45172</v>
      </c>
      <c r="T36" t="s">
        <v>309</v>
      </c>
      <c r="U36">
        <v>4</v>
      </c>
      <c r="V36">
        <v>129.75</v>
      </c>
      <c r="W36">
        <v>0.1</v>
      </c>
      <c r="X36">
        <v>116.77500000000001</v>
      </c>
      <c r="Y36">
        <v>186.77500000000001</v>
      </c>
      <c r="Z36" t="s">
        <v>2086</v>
      </c>
      <c r="AA36" t="s">
        <v>2057</v>
      </c>
      <c r="AB36">
        <v>8</v>
      </c>
    </row>
    <row r="37" spans="1:28" x14ac:dyDescent="0.3">
      <c r="A37" t="s">
        <v>236</v>
      </c>
      <c r="B37" t="s">
        <v>66</v>
      </c>
      <c r="C37" t="s">
        <v>237</v>
      </c>
      <c r="D37" t="s">
        <v>2184</v>
      </c>
      <c r="E37">
        <v>52</v>
      </c>
      <c r="F37" t="s">
        <v>52</v>
      </c>
      <c r="G37" t="s">
        <v>42</v>
      </c>
      <c r="H37" t="s">
        <v>238</v>
      </c>
      <c r="I37" t="s">
        <v>239</v>
      </c>
      <c r="J37" t="s">
        <v>310</v>
      </c>
      <c r="K37" s="14">
        <v>45244</v>
      </c>
      <c r="L37" t="s">
        <v>311</v>
      </c>
      <c r="M37" t="s">
        <v>287</v>
      </c>
      <c r="N37">
        <v>157.63999999999999</v>
      </c>
      <c r="O37">
        <v>5</v>
      </c>
      <c r="P37" t="s">
        <v>36</v>
      </c>
      <c r="Q37">
        <v>4</v>
      </c>
      <c r="R37">
        <v>53</v>
      </c>
      <c r="S37">
        <v>45246</v>
      </c>
      <c r="T37" t="s">
        <v>312</v>
      </c>
      <c r="U37">
        <v>2</v>
      </c>
      <c r="V37">
        <v>788.19999999999993</v>
      </c>
      <c r="W37">
        <v>0.08</v>
      </c>
      <c r="X37">
        <v>725.14399999999989</v>
      </c>
      <c r="Y37">
        <v>778.14399999999989</v>
      </c>
      <c r="Z37" t="s">
        <v>2080</v>
      </c>
      <c r="AA37" t="s">
        <v>2057</v>
      </c>
      <c r="AB37">
        <v>11</v>
      </c>
    </row>
    <row r="38" spans="1:28" x14ac:dyDescent="0.3">
      <c r="A38" t="s">
        <v>65</v>
      </c>
      <c r="B38" t="s">
        <v>66</v>
      </c>
      <c r="C38" t="s">
        <v>67</v>
      </c>
      <c r="D38" t="s">
        <v>2166</v>
      </c>
      <c r="E38">
        <v>49</v>
      </c>
      <c r="F38" t="s">
        <v>52</v>
      </c>
      <c r="G38" t="s">
        <v>30</v>
      </c>
      <c r="H38" t="s">
        <v>68</v>
      </c>
      <c r="I38" t="s">
        <v>69</v>
      </c>
      <c r="J38" t="s">
        <v>313</v>
      </c>
      <c r="K38" s="14">
        <v>45242</v>
      </c>
      <c r="L38" t="s">
        <v>314</v>
      </c>
      <c r="M38" t="s">
        <v>199</v>
      </c>
      <c r="N38">
        <v>20.7</v>
      </c>
      <c r="O38">
        <v>5</v>
      </c>
      <c r="P38" t="s">
        <v>63</v>
      </c>
      <c r="Q38">
        <v>2</v>
      </c>
      <c r="R38">
        <v>64</v>
      </c>
      <c r="S38">
        <v>45248</v>
      </c>
      <c r="T38" t="s">
        <v>315</v>
      </c>
      <c r="U38">
        <v>6</v>
      </c>
      <c r="V38">
        <v>103.5</v>
      </c>
      <c r="W38">
        <v>0</v>
      </c>
      <c r="X38">
        <v>103.5</v>
      </c>
      <c r="Y38">
        <v>103.5</v>
      </c>
      <c r="Z38" t="s">
        <v>2060</v>
      </c>
      <c r="AA38" t="s">
        <v>2061</v>
      </c>
      <c r="AB38">
        <v>11</v>
      </c>
    </row>
    <row r="39" spans="1:28" x14ac:dyDescent="0.3">
      <c r="A39" t="s">
        <v>316</v>
      </c>
      <c r="B39" t="s">
        <v>317</v>
      </c>
      <c r="C39" t="s">
        <v>318</v>
      </c>
      <c r="D39" t="s">
        <v>2191</v>
      </c>
      <c r="E39">
        <v>45</v>
      </c>
      <c r="F39" t="s">
        <v>29</v>
      </c>
      <c r="G39" t="s">
        <v>42</v>
      </c>
      <c r="H39" t="s">
        <v>319</v>
      </c>
      <c r="I39" t="s">
        <v>320</v>
      </c>
      <c r="J39" t="s">
        <v>321</v>
      </c>
      <c r="K39" s="14">
        <v>45193</v>
      </c>
      <c r="L39" t="s">
        <v>322</v>
      </c>
      <c r="M39" t="s">
        <v>323</v>
      </c>
      <c r="N39">
        <v>481.48</v>
      </c>
      <c r="O39">
        <v>2</v>
      </c>
      <c r="P39" t="s">
        <v>58</v>
      </c>
      <c r="Q39">
        <v>3</v>
      </c>
      <c r="R39">
        <v>50</v>
      </c>
      <c r="S39">
        <v>45196</v>
      </c>
      <c r="T39" t="s">
        <v>324</v>
      </c>
      <c r="U39">
        <v>3</v>
      </c>
      <c r="V39">
        <v>962.96</v>
      </c>
      <c r="W39">
        <v>0.15</v>
      </c>
      <c r="X39">
        <v>818.51600000000008</v>
      </c>
      <c r="Y39">
        <v>868.51600000000008</v>
      </c>
      <c r="Z39" t="s">
        <v>2087</v>
      </c>
      <c r="AA39" t="s">
        <v>2066</v>
      </c>
      <c r="AB39">
        <v>9</v>
      </c>
    </row>
    <row r="40" spans="1:28" x14ac:dyDescent="0.3">
      <c r="A40" t="s">
        <v>325</v>
      </c>
      <c r="B40" t="s">
        <v>326</v>
      </c>
      <c r="C40" t="s">
        <v>327</v>
      </c>
      <c r="D40" t="s">
        <v>2192</v>
      </c>
      <c r="E40">
        <v>29</v>
      </c>
      <c r="F40" t="s">
        <v>52</v>
      </c>
      <c r="G40" t="s">
        <v>90</v>
      </c>
      <c r="H40" t="s">
        <v>328</v>
      </c>
      <c r="I40" t="s">
        <v>329</v>
      </c>
      <c r="J40" t="s">
        <v>330</v>
      </c>
      <c r="K40" s="14">
        <v>45656</v>
      </c>
      <c r="L40" t="s">
        <v>331</v>
      </c>
      <c r="M40" t="s">
        <v>62</v>
      </c>
      <c r="N40">
        <v>405</v>
      </c>
      <c r="O40">
        <v>1</v>
      </c>
      <c r="P40" t="s">
        <v>63</v>
      </c>
      <c r="Q40">
        <v>7</v>
      </c>
      <c r="R40">
        <v>36</v>
      </c>
      <c r="S40">
        <v>45661</v>
      </c>
      <c r="T40" t="s">
        <v>332</v>
      </c>
      <c r="U40">
        <v>5</v>
      </c>
      <c r="V40">
        <v>405</v>
      </c>
      <c r="W40">
        <v>0</v>
      </c>
      <c r="X40">
        <v>405</v>
      </c>
      <c r="Y40">
        <v>405</v>
      </c>
      <c r="Z40" t="s">
        <v>2088</v>
      </c>
      <c r="AA40" t="s">
        <v>2057</v>
      </c>
      <c r="AB40">
        <v>12</v>
      </c>
    </row>
    <row r="41" spans="1:28" x14ac:dyDescent="0.3">
      <c r="A41" t="s">
        <v>333</v>
      </c>
      <c r="B41" t="s">
        <v>334</v>
      </c>
      <c r="C41" t="s">
        <v>335</v>
      </c>
      <c r="D41" t="s">
        <v>2193</v>
      </c>
      <c r="E41">
        <v>23</v>
      </c>
      <c r="F41" t="s">
        <v>29</v>
      </c>
      <c r="G41" t="s">
        <v>30</v>
      </c>
      <c r="H41" t="s">
        <v>336</v>
      </c>
      <c r="I41" t="s">
        <v>337</v>
      </c>
      <c r="J41" t="s">
        <v>338</v>
      </c>
      <c r="K41" s="14">
        <v>45574</v>
      </c>
      <c r="L41" t="s">
        <v>339</v>
      </c>
      <c r="M41" t="s">
        <v>340</v>
      </c>
      <c r="N41">
        <v>77.84</v>
      </c>
      <c r="O41">
        <v>5</v>
      </c>
      <c r="P41" t="s">
        <v>63</v>
      </c>
      <c r="Q41">
        <v>4</v>
      </c>
      <c r="R41">
        <v>47</v>
      </c>
      <c r="S41">
        <v>45575</v>
      </c>
      <c r="T41" t="s">
        <v>341</v>
      </c>
      <c r="U41">
        <v>1</v>
      </c>
      <c r="V41">
        <v>389.20000000000005</v>
      </c>
      <c r="W41">
        <v>0</v>
      </c>
      <c r="X41">
        <v>389.20000000000005</v>
      </c>
      <c r="Y41">
        <v>389.20000000000005</v>
      </c>
      <c r="Z41" t="s">
        <v>2089</v>
      </c>
      <c r="AA41" t="s">
        <v>2057</v>
      </c>
      <c r="AB41">
        <v>10</v>
      </c>
    </row>
    <row r="42" spans="1:28" x14ac:dyDescent="0.3">
      <c r="A42" t="s">
        <v>65</v>
      </c>
      <c r="B42" t="s">
        <v>66</v>
      </c>
      <c r="C42" t="s">
        <v>67</v>
      </c>
      <c r="D42" t="s">
        <v>2166</v>
      </c>
      <c r="E42">
        <v>49</v>
      </c>
      <c r="F42" t="s">
        <v>52</v>
      </c>
      <c r="G42" t="s">
        <v>30</v>
      </c>
      <c r="H42" t="s">
        <v>68</v>
      </c>
      <c r="I42" t="s">
        <v>69</v>
      </c>
      <c r="J42" t="s">
        <v>342</v>
      </c>
      <c r="K42" s="14">
        <v>45557</v>
      </c>
      <c r="L42" t="s">
        <v>343</v>
      </c>
      <c r="M42" t="s">
        <v>344</v>
      </c>
      <c r="N42">
        <v>372.62</v>
      </c>
      <c r="O42">
        <v>3</v>
      </c>
      <c r="P42" t="s">
        <v>36</v>
      </c>
      <c r="Q42">
        <v>3</v>
      </c>
      <c r="R42">
        <v>59</v>
      </c>
      <c r="S42">
        <v>45564</v>
      </c>
      <c r="T42" t="s">
        <v>345</v>
      </c>
      <c r="U42">
        <v>7</v>
      </c>
      <c r="V42">
        <v>1117.8600000000001</v>
      </c>
      <c r="W42">
        <v>0.08</v>
      </c>
      <c r="X42">
        <v>1028.4312000000002</v>
      </c>
      <c r="Y42">
        <v>1087.4312000000002</v>
      </c>
      <c r="Z42" t="s">
        <v>2060</v>
      </c>
      <c r="AA42" t="s">
        <v>2061</v>
      </c>
      <c r="AB42">
        <v>9</v>
      </c>
    </row>
    <row r="43" spans="1:28" x14ac:dyDescent="0.3">
      <c r="A43" t="s">
        <v>147</v>
      </c>
      <c r="B43" t="s">
        <v>148</v>
      </c>
      <c r="C43" t="s">
        <v>149</v>
      </c>
      <c r="D43" t="s">
        <v>2174</v>
      </c>
      <c r="E43">
        <v>44</v>
      </c>
      <c r="F43" t="s">
        <v>41</v>
      </c>
      <c r="G43" t="s">
        <v>90</v>
      </c>
      <c r="H43" t="s">
        <v>150</v>
      </c>
      <c r="I43" t="s">
        <v>151</v>
      </c>
      <c r="J43" t="s">
        <v>346</v>
      </c>
      <c r="K43" s="14">
        <v>45568</v>
      </c>
      <c r="L43" t="s">
        <v>347</v>
      </c>
      <c r="M43" t="s">
        <v>344</v>
      </c>
      <c r="N43">
        <v>372.62</v>
      </c>
      <c r="O43">
        <v>3</v>
      </c>
      <c r="P43" t="s">
        <v>36</v>
      </c>
      <c r="Q43">
        <v>1</v>
      </c>
      <c r="R43">
        <v>52</v>
      </c>
      <c r="S43">
        <v>45575</v>
      </c>
      <c r="T43" t="s">
        <v>348</v>
      </c>
      <c r="U43">
        <v>7</v>
      </c>
      <c r="V43">
        <v>1117.8600000000001</v>
      </c>
      <c r="W43">
        <v>0.08</v>
      </c>
      <c r="X43">
        <v>1028.4312000000002</v>
      </c>
      <c r="Y43">
        <v>1080.4312000000002</v>
      </c>
      <c r="Z43" t="s">
        <v>2070</v>
      </c>
      <c r="AA43" t="s">
        <v>2061</v>
      </c>
      <c r="AB43">
        <v>10</v>
      </c>
    </row>
    <row r="44" spans="1:28" x14ac:dyDescent="0.3">
      <c r="A44" t="s">
        <v>349</v>
      </c>
      <c r="B44" t="s">
        <v>350</v>
      </c>
      <c r="C44" t="s">
        <v>351</v>
      </c>
      <c r="D44" t="s">
        <v>2194</v>
      </c>
      <c r="E44">
        <v>70</v>
      </c>
      <c r="F44" t="s">
        <v>29</v>
      </c>
      <c r="G44" t="s">
        <v>168</v>
      </c>
      <c r="H44" t="s">
        <v>352</v>
      </c>
      <c r="I44" t="s">
        <v>353</v>
      </c>
      <c r="J44" t="s">
        <v>354</v>
      </c>
      <c r="K44" s="14">
        <v>45151</v>
      </c>
      <c r="L44" t="s">
        <v>355</v>
      </c>
      <c r="M44" t="s">
        <v>356</v>
      </c>
      <c r="N44">
        <v>496.59</v>
      </c>
      <c r="O44">
        <v>3</v>
      </c>
      <c r="P44" t="s">
        <v>58</v>
      </c>
      <c r="Q44">
        <v>4</v>
      </c>
      <c r="R44">
        <v>49</v>
      </c>
      <c r="S44">
        <v>45152</v>
      </c>
      <c r="T44" t="s">
        <v>357</v>
      </c>
      <c r="U44">
        <v>1</v>
      </c>
      <c r="V44">
        <v>1489.77</v>
      </c>
      <c r="W44">
        <v>0.15</v>
      </c>
      <c r="X44">
        <v>1266.3045</v>
      </c>
      <c r="Y44">
        <v>1315.3045</v>
      </c>
      <c r="Z44" t="s">
        <v>2090</v>
      </c>
      <c r="AA44" t="s">
        <v>2057</v>
      </c>
      <c r="AB44">
        <v>8</v>
      </c>
    </row>
    <row r="45" spans="1:28" x14ac:dyDescent="0.3">
      <c r="A45" t="s">
        <v>358</v>
      </c>
      <c r="B45" t="s">
        <v>359</v>
      </c>
      <c r="C45" t="s">
        <v>360</v>
      </c>
      <c r="D45" t="s">
        <v>2195</v>
      </c>
      <c r="E45">
        <v>32</v>
      </c>
      <c r="F45" t="s">
        <v>41</v>
      </c>
      <c r="G45" t="s">
        <v>168</v>
      </c>
      <c r="H45" t="s">
        <v>361</v>
      </c>
      <c r="I45" t="s">
        <v>362</v>
      </c>
      <c r="J45" t="s">
        <v>363</v>
      </c>
      <c r="K45" s="14">
        <v>45020</v>
      </c>
      <c r="L45" t="s">
        <v>364</v>
      </c>
      <c r="M45" t="s">
        <v>308</v>
      </c>
      <c r="N45">
        <v>129.75</v>
      </c>
      <c r="O45">
        <v>1</v>
      </c>
      <c r="P45" t="s">
        <v>96</v>
      </c>
      <c r="Q45">
        <v>6</v>
      </c>
      <c r="R45">
        <v>43</v>
      </c>
      <c r="S45">
        <v>45026</v>
      </c>
      <c r="T45" t="s">
        <v>365</v>
      </c>
      <c r="U45">
        <v>6</v>
      </c>
      <c r="V45">
        <v>129.75</v>
      </c>
      <c r="W45">
        <v>0.1</v>
      </c>
      <c r="X45">
        <v>116.77500000000001</v>
      </c>
      <c r="Y45">
        <v>159.77500000000001</v>
      </c>
      <c r="Z45" t="s">
        <v>2091</v>
      </c>
      <c r="AA45" t="s">
        <v>2066</v>
      </c>
      <c r="AB45">
        <v>4</v>
      </c>
    </row>
    <row r="46" spans="1:28" x14ac:dyDescent="0.3">
      <c r="A46" t="s">
        <v>366</v>
      </c>
      <c r="B46" t="s">
        <v>367</v>
      </c>
      <c r="C46" t="s">
        <v>368</v>
      </c>
      <c r="D46" t="s">
        <v>2196</v>
      </c>
      <c r="E46">
        <v>31</v>
      </c>
      <c r="F46" t="s">
        <v>52</v>
      </c>
      <c r="G46" t="s">
        <v>140</v>
      </c>
      <c r="H46" t="s">
        <v>369</v>
      </c>
      <c r="I46" t="s">
        <v>370</v>
      </c>
      <c r="J46" t="s">
        <v>371</v>
      </c>
      <c r="K46" s="14">
        <v>45336</v>
      </c>
      <c r="L46" t="s">
        <v>372</v>
      </c>
      <c r="M46" t="s">
        <v>145</v>
      </c>
      <c r="N46">
        <v>190.1</v>
      </c>
      <c r="O46">
        <v>5</v>
      </c>
      <c r="P46" t="s">
        <v>36</v>
      </c>
      <c r="Q46">
        <v>5</v>
      </c>
      <c r="R46">
        <v>35</v>
      </c>
      <c r="S46">
        <v>45341</v>
      </c>
      <c r="T46" t="s">
        <v>373</v>
      </c>
      <c r="U46">
        <v>5</v>
      </c>
      <c r="V46">
        <v>950.5</v>
      </c>
      <c r="W46">
        <v>0.08</v>
      </c>
      <c r="X46">
        <v>874.46</v>
      </c>
      <c r="Y46">
        <v>909.46</v>
      </c>
      <c r="Z46" t="s">
        <v>2092</v>
      </c>
      <c r="AA46" t="s">
        <v>2066</v>
      </c>
      <c r="AB46">
        <v>2</v>
      </c>
    </row>
    <row r="47" spans="1:28" x14ac:dyDescent="0.3">
      <c r="A47" t="s">
        <v>374</v>
      </c>
      <c r="B47" t="s">
        <v>40</v>
      </c>
      <c r="C47" t="s">
        <v>375</v>
      </c>
      <c r="D47" t="s">
        <v>2197</v>
      </c>
      <c r="E47">
        <v>50</v>
      </c>
      <c r="F47" t="s">
        <v>52</v>
      </c>
      <c r="G47" t="s">
        <v>140</v>
      </c>
      <c r="H47" t="s">
        <v>376</v>
      </c>
      <c r="I47" t="s">
        <v>377</v>
      </c>
      <c r="J47" t="s">
        <v>378</v>
      </c>
      <c r="K47" s="14">
        <v>44987</v>
      </c>
      <c r="L47" t="s">
        <v>379</v>
      </c>
      <c r="M47" t="s">
        <v>145</v>
      </c>
      <c r="N47">
        <v>190.1</v>
      </c>
      <c r="O47">
        <v>1</v>
      </c>
      <c r="P47" t="s">
        <v>85</v>
      </c>
      <c r="Q47">
        <v>4</v>
      </c>
      <c r="R47">
        <v>63</v>
      </c>
      <c r="S47">
        <v>44992</v>
      </c>
      <c r="T47" t="s">
        <v>380</v>
      </c>
      <c r="U47">
        <v>5</v>
      </c>
      <c r="V47">
        <v>190.1</v>
      </c>
      <c r="W47">
        <v>0.2</v>
      </c>
      <c r="X47">
        <v>152.07999999999998</v>
      </c>
      <c r="Y47">
        <v>215.07999999999998</v>
      </c>
      <c r="Z47" t="s">
        <v>2093</v>
      </c>
      <c r="AA47" t="s">
        <v>2061</v>
      </c>
      <c r="AB47">
        <v>3</v>
      </c>
    </row>
    <row r="48" spans="1:28" x14ac:dyDescent="0.3">
      <c r="A48" t="s">
        <v>301</v>
      </c>
      <c r="B48" t="s">
        <v>302</v>
      </c>
      <c r="C48" t="s">
        <v>303</v>
      </c>
      <c r="D48" t="s">
        <v>2190</v>
      </c>
      <c r="E48">
        <v>26</v>
      </c>
      <c r="F48" t="s">
        <v>52</v>
      </c>
      <c r="G48" t="s">
        <v>168</v>
      </c>
      <c r="H48" t="s">
        <v>304</v>
      </c>
      <c r="I48" t="s">
        <v>305</v>
      </c>
      <c r="J48" t="s">
        <v>381</v>
      </c>
      <c r="K48" s="14">
        <v>45313</v>
      </c>
      <c r="L48" t="s">
        <v>382</v>
      </c>
      <c r="M48" t="s">
        <v>383</v>
      </c>
      <c r="N48">
        <v>431.44</v>
      </c>
      <c r="O48">
        <v>5</v>
      </c>
      <c r="P48" t="s">
        <v>36</v>
      </c>
      <c r="Q48">
        <v>2</v>
      </c>
      <c r="R48">
        <v>57</v>
      </c>
      <c r="S48">
        <v>45318</v>
      </c>
      <c r="T48" t="s">
        <v>384</v>
      </c>
      <c r="U48">
        <v>5</v>
      </c>
      <c r="V48">
        <v>2157.1999999999998</v>
      </c>
      <c r="W48">
        <v>0.08</v>
      </c>
      <c r="X48">
        <v>1984.6239999999998</v>
      </c>
      <c r="Y48">
        <v>2041.6239999999998</v>
      </c>
      <c r="Z48" t="s">
        <v>2086</v>
      </c>
      <c r="AA48" t="s">
        <v>2061</v>
      </c>
      <c r="AB48">
        <v>1</v>
      </c>
    </row>
    <row r="49" spans="1:28" x14ac:dyDescent="0.3">
      <c r="A49" t="s">
        <v>385</v>
      </c>
      <c r="B49" t="s">
        <v>386</v>
      </c>
      <c r="C49" t="s">
        <v>387</v>
      </c>
      <c r="D49" t="s">
        <v>2198</v>
      </c>
      <c r="E49">
        <v>47</v>
      </c>
      <c r="F49" t="s">
        <v>41</v>
      </c>
      <c r="G49" t="s">
        <v>90</v>
      </c>
      <c r="H49" t="s">
        <v>388</v>
      </c>
      <c r="I49" t="s">
        <v>389</v>
      </c>
      <c r="J49" t="s">
        <v>390</v>
      </c>
      <c r="K49" s="14">
        <v>45054</v>
      </c>
      <c r="L49" t="s">
        <v>391</v>
      </c>
      <c r="M49" t="s">
        <v>287</v>
      </c>
      <c r="N49">
        <v>157.63999999999999</v>
      </c>
      <c r="O49">
        <v>4</v>
      </c>
      <c r="P49" t="s">
        <v>36</v>
      </c>
      <c r="Q49">
        <v>4</v>
      </c>
      <c r="R49">
        <v>44</v>
      </c>
      <c r="S49">
        <v>45061</v>
      </c>
      <c r="T49" t="s">
        <v>392</v>
      </c>
      <c r="U49">
        <v>7</v>
      </c>
      <c r="V49">
        <v>630.55999999999995</v>
      </c>
      <c r="W49">
        <v>0.08</v>
      </c>
      <c r="X49">
        <v>580.11519999999996</v>
      </c>
      <c r="Y49">
        <v>624.11519999999996</v>
      </c>
      <c r="Z49" t="s">
        <v>2094</v>
      </c>
      <c r="AA49" t="s">
        <v>2061</v>
      </c>
      <c r="AB49">
        <v>5</v>
      </c>
    </row>
    <row r="50" spans="1:28" x14ac:dyDescent="0.3">
      <c r="A50" t="s">
        <v>393</v>
      </c>
      <c r="B50" t="s">
        <v>394</v>
      </c>
      <c r="C50" t="s">
        <v>395</v>
      </c>
      <c r="D50" t="s">
        <v>2199</v>
      </c>
      <c r="E50">
        <v>40</v>
      </c>
      <c r="F50" t="s">
        <v>52</v>
      </c>
      <c r="G50" t="s">
        <v>168</v>
      </c>
      <c r="H50" t="s">
        <v>396</v>
      </c>
      <c r="I50" t="s">
        <v>397</v>
      </c>
      <c r="J50" t="s">
        <v>398</v>
      </c>
      <c r="K50" s="14">
        <v>45620</v>
      </c>
      <c r="L50" t="s">
        <v>399</v>
      </c>
      <c r="M50" t="s">
        <v>47</v>
      </c>
      <c r="N50">
        <v>166.28</v>
      </c>
      <c r="O50">
        <v>4</v>
      </c>
      <c r="P50" t="s">
        <v>63</v>
      </c>
      <c r="Q50">
        <v>3</v>
      </c>
      <c r="R50">
        <v>41</v>
      </c>
      <c r="S50">
        <v>45626</v>
      </c>
      <c r="T50" t="s">
        <v>400</v>
      </c>
      <c r="U50">
        <v>6</v>
      </c>
      <c r="V50">
        <v>665.12</v>
      </c>
      <c r="W50">
        <v>0</v>
      </c>
      <c r="X50">
        <v>665.12</v>
      </c>
      <c r="Y50">
        <v>665.12</v>
      </c>
      <c r="Z50" t="s">
        <v>2095</v>
      </c>
      <c r="AA50" t="s">
        <v>2061</v>
      </c>
      <c r="AB50">
        <v>11</v>
      </c>
    </row>
    <row r="51" spans="1:28" x14ac:dyDescent="0.3">
      <c r="A51" t="s">
        <v>401</v>
      </c>
      <c r="B51" t="s">
        <v>402</v>
      </c>
      <c r="C51" t="s">
        <v>403</v>
      </c>
      <c r="D51" t="s">
        <v>2200</v>
      </c>
      <c r="E51">
        <v>70</v>
      </c>
      <c r="F51" t="s">
        <v>29</v>
      </c>
      <c r="G51" t="s">
        <v>30</v>
      </c>
      <c r="H51" t="s">
        <v>404</v>
      </c>
      <c r="I51" t="s">
        <v>405</v>
      </c>
      <c r="J51" t="s">
        <v>406</v>
      </c>
      <c r="K51" s="14">
        <v>45545</v>
      </c>
      <c r="L51" t="s">
        <v>407</v>
      </c>
      <c r="M51" t="s">
        <v>199</v>
      </c>
      <c r="N51">
        <v>20.7</v>
      </c>
      <c r="O51">
        <v>2</v>
      </c>
      <c r="P51" t="s">
        <v>96</v>
      </c>
      <c r="Q51">
        <v>2</v>
      </c>
      <c r="R51">
        <v>50</v>
      </c>
      <c r="S51">
        <v>45547</v>
      </c>
      <c r="T51" t="s">
        <v>408</v>
      </c>
      <c r="U51">
        <v>2</v>
      </c>
      <c r="V51">
        <v>41.4</v>
      </c>
      <c r="W51">
        <v>0.1</v>
      </c>
      <c r="X51">
        <v>37.26</v>
      </c>
      <c r="Y51">
        <v>87.259999999999991</v>
      </c>
      <c r="Z51" t="s">
        <v>2096</v>
      </c>
      <c r="AA51" t="s">
        <v>2066</v>
      </c>
      <c r="AB51">
        <v>9</v>
      </c>
    </row>
    <row r="52" spans="1:28" x14ac:dyDescent="0.3">
      <c r="A52" t="s">
        <v>349</v>
      </c>
      <c r="B52" t="s">
        <v>350</v>
      </c>
      <c r="C52" t="s">
        <v>351</v>
      </c>
      <c r="D52" t="s">
        <v>2194</v>
      </c>
      <c r="E52">
        <v>70</v>
      </c>
      <c r="F52" t="s">
        <v>29</v>
      </c>
      <c r="G52" t="s">
        <v>168</v>
      </c>
      <c r="H52" t="s">
        <v>352</v>
      </c>
      <c r="I52" t="s">
        <v>353</v>
      </c>
      <c r="J52" t="s">
        <v>409</v>
      </c>
      <c r="K52" s="14">
        <v>45224</v>
      </c>
      <c r="L52" t="s">
        <v>410</v>
      </c>
      <c r="M52" t="s">
        <v>308</v>
      </c>
      <c r="N52">
        <v>129.75</v>
      </c>
      <c r="O52">
        <v>2</v>
      </c>
      <c r="P52" t="s">
        <v>85</v>
      </c>
      <c r="Q52">
        <v>5</v>
      </c>
      <c r="R52">
        <v>42</v>
      </c>
      <c r="S52">
        <v>45227</v>
      </c>
      <c r="T52" t="s">
        <v>411</v>
      </c>
      <c r="U52">
        <v>3</v>
      </c>
      <c r="V52">
        <v>259.5</v>
      </c>
      <c r="W52">
        <v>0.2</v>
      </c>
      <c r="X52">
        <v>207.6</v>
      </c>
      <c r="Y52">
        <v>249.6</v>
      </c>
      <c r="Z52" t="s">
        <v>2090</v>
      </c>
      <c r="AA52" t="s">
        <v>2057</v>
      </c>
      <c r="AB52">
        <v>10</v>
      </c>
    </row>
    <row r="53" spans="1:28" x14ac:dyDescent="0.3">
      <c r="A53" t="s">
        <v>412</v>
      </c>
      <c r="B53" t="s">
        <v>228</v>
      </c>
      <c r="C53" t="s">
        <v>413</v>
      </c>
      <c r="D53" t="s">
        <v>2201</v>
      </c>
      <c r="E53">
        <v>28</v>
      </c>
      <c r="F53" t="s">
        <v>52</v>
      </c>
      <c r="G53" t="s">
        <v>140</v>
      </c>
      <c r="H53" t="s">
        <v>414</v>
      </c>
      <c r="I53" t="s">
        <v>415</v>
      </c>
      <c r="J53" t="s">
        <v>416</v>
      </c>
      <c r="K53" s="14">
        <v>45365</v>
      </c>
      <c r="L53" t="s">
        <v>417</v>
      </c>
      <c r="M53" t="s">
        <v>418</v>
      </c>
      <c r="N53">
        <v>44.5</v>
      </c>
      <c r="O53">
        <v>4</v>
      </c>
      <c r="P53" t="s">
        <v>36</v>
      </c>
      <c r="Q53">
        <v>2</v>
      </c>
      <c r="R53">
        <v>40</v>
      </c>
      <c r="S53">
        <v>45368</v>
      </c>
      <c r="T53" t="s">
        <v>419</v>
      </c>
      <c r="U53">
        <v>3</v>
      </c>
      <c r="V53">
        <v>178</v>
      </c>
      <c r="W53">
        <v>0.08</v>
      </c>
      <c r="X53">
        <v>163.76</v>
      </c>
      <c r="Y53">
        <v>203.76</v>
      </c>
      <c r="Z53" t="s">
        <v>2097</v>
      </c>
      <c r="AA53" t="s">
        <v>2061</v>
      </c>
      <c r="AB53">
        <v>3</v>
      </c>
    </row>
    <row r="54" spans="1:28" x14ac:dyDescent="0.3">
      <c r="A54" t="s">
        <v>420</v>
      </c>
      <c r="B54" t="s">
        <v>421</v>
      </c>
      <c r="C54" t="s">
        <v>422</v>
      </c>
      <c r="D54" t="s">
        <v>2202</v>
      </c>
      <c r="E54">
        <v>52</v>
      </c>
      <c r="F54" t="s">
        <v>52</v>
      </c>
      <c r="G54" t="s">
        <v>220</v>
      </c>
      <c r="H54" t="s">
        <v>423</v>
      </c>
      <c r="I54" t="s">
        <v>424</v>
      </c>
      <c r="J54" t="s">
        <v>425</v>
      </c>
      <c r="K54" s="14">
        <v>45145</v>
      </c>
      <c r="L54" t="s">
        <v>426</v>
      </c>
      <c r="M54" t="s">
        <v>250</v>
      </c>
      <c r="N54">
        <v>128.13999999999999</v>
      </c>
      <c r="O54">
        <v>5</v>
      </c>
      <c r="P54" t="s">
        <v>58</v>
      </c>
      <c r="Q54">
        <v>2</v>
      </c>
      <c r="R54">
        <v>57</v>
      </c>
      <c r="S54">
        <v>45147</v>
      </c>
      <c r="T54" t="s">
        <v>427</v>
      </c>
      <c r="U54">
        <v>2</v>
      </c>
      <c r="V54">
        <v>640.69999999999993</v>
      </c>
      <c r="W54">
        <v>0.15</v>
      </c>
      <c r="X54">
        <v>544.59499999999991</v>
      </c>
      <c r="Y54">
        <v>601.59499999999991</v>
      </c>
      <c r="Z54" t="s">
        <v>2098</v>
      </c>
      <c r="AA54" t="s">
        <v>2066</v>
      </c>
      <c r="AB54">
        <v>8</v>
      </c>
    </row>
    <row r="55" spans="1:28" x14ac:dyDescent="0.3">
      <c r="A55" t="s">
        <v>301</v>
      </c>
      <c r="B55" t="s">
        <v>302</v>
      </c>
      <c r="C55" t="s">
        <v>303</v>
      </c>
      <c r="D55" t="s">
        <v>2190</v>
      </c>
      <c r="E55">
        <v>26</v>
      </c>
      <c r="F55" t="s">
        <v>52</v>
      </c>
      <c r="G55" t="s">
        <v>168</v>
      </c>
      <c r="H55" t="s">
        <v>304</v>
      </c>
      <c r="I55" t="s">
        <v>305</v>
      </c>
      <c r="J55" t="s">
        <v>428</v>
      </c>
      <c r="K55" s="14">
        <v>45312</v>
      </c>
      <c r="L55" t="s">
        <v>429</v>
      </c>
      <c r="M55" t="s">
        <v>430</v>
      </c>
      <c r="N55">
        <v>369.03</v>
      </c>
      <c r="O55">
        <v>2</v>
      </c>
      <c r="P55" t="s">
        <v>96</v>
      </c>
      <c r="Q55">
        <v>4</v>
      </c>
      <c r="R55">
        <v>46</v>
      </c>
      <c r="S55">
        <v>45318</v>
      </c>
      <c r="T55" t="s">
        <v>431</v>
      </c>
      <c r="U55">
        <v>6</v>
      </c>
      <c r="V55">
        <v>738.06</v>
      </c>
      <c r="W55">
        <v>0.1</v>
      </c>
      <c r="X55">
        <v>664.25399999999991</v>
      </c>
      <c r="Y55">
        <v>710.25399999999991</v>
      </c>
      <c r="Z55" t="s">
        <v>2086</v>
      </c>
      <c r="AA55" t="s">
        <v>2061</v>
      </c>
      <c r="AB55">
        <v>1</v>
      </c>
    </row>
    <row r="56" spans="1:28" x14ac:dyDescent="0.3">
      <c r="A56" t="s">
        <v>412</v>
      </c>
      <c r="B56" t="s">
        <v>228</v>
      </c>
      <c r="C56" t="s">
        <v>413</v>
      </c>
      <c r="D56" t="s">
        <v>2201</v>
      </c>
      <c r="E56">
        <v>28</v>
      </c>
      <c r="F56" t="s">
        <v>52</v>
      </c>
      <c r="G56" t="s">
        <v>140</v>
      </c>
      <c r="H56" t="s">
        <v>414</v>
      </c>
      <c r="I56" t="s">
        <v>415</v>
      </c>
      <c r="J56" t="s">
        <v>432</v>
      </c>
      <c r="K56" s="14">
        <v>45599</v>
      </c>
      <c r="L56" t="s">
        <v>433</v>
      </c>
      <c r="M56" t="s">
        <v>95</v>
      </c>
      <c r="N56">
        <v>363.64</v>
      </c>
      <c r="O56">
        <v>1</v>
      </c>
      <c r="P56" t="s">
        <v>96</v>
      </c>
      <c r="Q56">
        <v>3</v>
      </c>
      <c r="R56">
        <v>70</v>
      </c>
      <c r="S56">
        <v>45606</v>
      </c>
      <c r="T56" t="s">
        <v>434</v>
      </c>
      <c r="U56">
        <v>7</v>
      </c>
      <c r="V56">
        <v>363.64</v>
      </c>
      <c r="W56">
        <v>0.1</v>
      </c>
      <c r="X56">
        <v>327.27600000000001</v>
      </c>
      <c r="Y56">
        <v>397.27600000000001</v>
      </c>
      <c r="Z56" t="s">
        <v>2097</v>
      </c>
      <c r="AA56" t="s">
        <v>2061</v>
      </c>
      <c r="AB56">
        <v>11</v>
      </c>
    </row>
    <row r="57" spans="1:28" x14ac:dyDescent="0.3">
      <c r="A57" t="s">
        <v>435</v>
      </c>
      <c r="B57" t="s">
        <v>436</v>
      </c>
      <c r="C57" t="s">
        <v>437</v>
      </c>
      <c r="D57" t="s">
        <v>2203</v>
      </c>
      <c r="E57">
        <v>28</v>
      </c>
      <c r="F57" t="s">
        <v>52</v>
      </c>
      <c r="G57" t="s">
        <v>76</v>
      </c>
      <c r="H57" t="s">
        <v>438</v>
      </c>
      <c r="I57" t="s">
        <v>439</v>
      </c>
      <c r="J57" t="s">
        <v>440</v>
      </c>
      <c r="K57" s="14">
        <v>45229</v>
      </c>
      <c r="L57" t="s">
        <v>441</v>
      </c>
      <c r="M57" t="s">
        <v>62</v>
      </c>
      <c r="N57">
        <v>405</v>
      </c>
      <c r="O57">
        <v>1</v>
      </c>
      <c r="P57" t="s">
        <v>63</v>
      </c>
      <c r="Q57">
        <v>5</v>
      </c>
      <c r="R57">
        <v>44</v>
      </c>
      <c r="S57">
        <v>45233</v>
      </c>
      <c r="T57" t="s">
        <v>442</v>
      </c>
      <c r="U57">
        <v>4</v>
      </c>
      <c r="V57">
        <v>405</v>
      </c>
      <c r="W57">
        <v>0</v>
      </c>
      <c r="X57">
        <v>405</v>
      </c>
      <c r="Y57">
        <v>405</v>
      </c>
      <c r="Z57" t="s">
        <v>2099</v>
      </c>
      <c r="AA57" t="s">
        <v>2057</v>
      </c>
      <c r="AB57">
        <v>10</v>
      </c>
    </row>
    <row r="58" spans="1:28" x14ac:dyDescent="0.3">
      <c r="A58" t="s">
        <v>443</v>
      </c>
      <c r="B58" t="s">
        <v>99</v>
      </c>
      <c r="C58" t="s">
        <v>444</v>
      </c>
      <c r="D58" t="s">
        <v>2204</v>
      </c>
      <c r="E58">
        <v>36</v>
      </c>
      <c r="F58" t="s">
        <v>41</v>
      </c>
      <c r="G58" t="s">
        <v>30</v>
      </c>
      <c r="H58" t="s">
        <v>445</v>
      </c>
      <c r="I58" t="s">
        <v>446</v>
      </c>
      <c r="J58" t="s">
        <v>447</v>
      </c>
      <c r="K58" s="14">
        <v>45149</v>
      </c>
      <c r="L58" t="s">
        <v>448</v>
      </c>
      <c r="M58" t="s">
        <v>270</v>
      </c>
      <c r="N58">
        <v>62.42</v>
      </c>
      <c r="O58">
        <v>2</v>
      </c>
      <c r="P58" t="s">
        <v>58</v>
      </c>
      <c r="Q58">
        <v>1</v>
      </c>
      <c r="R58">
        <v>53</v>
      </c>
      <c r="S58">
        <v>45154</v>
      </c>
      <c r="T58" t="s">
        <v>449</v>
      </c>
      <c r="U58">
        <v>5</v>
      </c>
      <c r="V58">
        <v>124.84</v>
      </c>
      <c r="W58">
        <v>0.15</v>
      </c>
      <c r="X58">
        <v>106.114</v>
      </c>
      <c r="Y58">
        <v>159.114</v>
      </c>
      <c r="Z58" t="s">
        <v>2100</v>
      </c>
      <c r="AA58" t="s">
        <v>2061</v>
      </c>
      <c r="AB58">
        <v>8</v>
      </c>
    </row>
    <row r="59" spans="1:28" x14ac:dyDescent="0.3">
      <c r="A59" t="s">
        <v>450</v>
      </c>
      <c r="B59" t="s">
        <v>451</v>
      </c>
      <c r="C59" t="s">
        <v>452</v>
      </c>
      <c r="D59" t="s">
        <v>2205</v>
      </c>
      <c r="E59">
        <v>69</v>
      </c>
      <c r="F59" t="s">
        <v>29</v>
      </c>
      <c r="G59" t="s">
        <v>30</v>
      </c>
      <c r="H59" t="s">
        <v>453</v>
      </c>
      <c r="I59" t="s">
        <v>454</v>
      </c>
      <c r="J59" t="s">
        <v>455</v>
      </c>
      <c r="K59" s="14">
        <v>45213</v>
      </c>
      <c r="L59" t="s">
        <v>456</v>
      </c>
      <c r="M59" t="s">
        <v>199</v>
      </c>
      <c r="N59">
        <v>20.7</v>
      </c>
      <c r="O59">
        <v>5</v>
      </c>
      <c r="P59" t="s">
        <v>58</v>
      </c>
      <c r="Q59">
        <v>7</v>
      </c>
      <c r="R59">
        <v>57</v>
      </c>
      <c r="S59">
        <v>45218</v>
      </c>
      <c r="T59" t="s">
        <v>457</v>
      </c>
      <c r="U59">
        <v>5</v>
      </c>
      <c r="V59">
        <v>103.5</v>
      </c>
      <c r="W59">
        <v>0.15</v>
      </c>
      <c r="X59">
        <v>87.974999999999994</v>
      </c>
      <c r="Y59">
        <v>144.97499999999999</v>
      </c>
      <c r="Z59" t="s">
        <v>2101</v>
      </c>
      <c r="AA59" t="s">
        <v>2057</v>
      </c>
      <c r="AB59">
        <v>10</v>
      </c>
    </row>
    <row r="60" spans="1:28" x14ac:dyDescent="0.3">
      <c r="A60" t="s">
        <v>458</v>
      </c>
      <c r="B60" t="s">
        <v>459</v>
      </c>
      <c r="C60" t="s">
        <v>460</v>
      </c>
      <c r="D60" t="s">
        <v>2206</v>
      </c>
      <c r="E60">
        <v>63</v>
      </c>
      <c r="F60" t="s">
        <v>29</v>
      </c>
      <c r="G60" t="s">
        <v>140</v>
      </c>
      <c r="H60" t="s">
        <v>461</v>
      </c>
      <c r="I60" t="s">
        <v>462</v>
      </c>
      <c r="J60" t="s">
        <v>463</v>
      </c>
      <c r="K60" s="14">
        <v>45655</v>
      </c>
      <c r="L60" t="s">
        <v>464</v>
      </c>
      <c r="M60" t="s">
        <v>95</v>
      </c>
      <c r="N60">
        <v>363.64</v>
      </c>
      <c r="O60">
        <v>3</v>
      </c>
      <c r="P60" t="s">
        <v>96</v>
      </c>
      <c r="Q60">
        <v>6</v>
      </c>
      <c r="R60">
        <v>69</v>
      </c>
      <c r="S60">
        <v>45662</v>
      </c>
      <c r="T60" t="s">
        <v>465</v>
      </c>
      <c r="U60">
        <v>7</v>
      </c>
      <c r="V60">
        <v>1090.92</v>
      </c>
      <c r="W60">
        <v>0.1</v>
      </c>
      <c r="X60">
        <v>981.82800000000009</v>
      </c>
      <c r="Y60">
        <v>1050.828</v>
      </c>
      <c r="Z60" t="s">
        <v>2102</v>
      </c>
      <c r="AA60" t="s">
        <v>2061</v>
      </c>
      <c r="AB60">
        <v>12</v>
      </c>
    </row>
    <row r="61" spans="1:28" x14ac:dyDescent="0.3">
      <c r="A61" t="s">
        <v>466</v>
      </c>
      <c r="B61" t="s">
        <v>467</v>
      </c>
      <c r="C61" t="s">
        <v>468</v>
      </c>
      <c r="D61" t="s">
        <v>2207</v>
      </c>
      <c r="E61">
        <v>18</v>
      </c>
      <c r="F61" t="s">
        <v>41</v>
      </c>
      <c r="G61" t="s">
        <v>42</v>
      </c>
      <c r="H61" t="s">
        <v>469</v>
      </c>
      <c r="I61" t="s">
        <v>470</v>
      </c>
      <c r="J61" t="s">
        <v>471</v>
      </c>
      <c r="K61" s="14">
        <v>44972</v>
      </c>
      <c r="L61" t="s">
        <v>472</v>
      </c>
      <c r="M61" t="s">
        <v>473</v>
      </c>
      <c r="N61">
        <v>286.07</v>
      </c>
      <c r="O61">
        <v>3</v>
      </c>
      <c r="P61" t="s">
        <v>85</v>
      </c>
      <c r="Q61">
        <v>2</v>
      </c>
      <c r="R61">
        <v>54</v>
      </c>
      <c r="S61">
        <v>44977</v>
      </c>
      <c r="T61" t="s">
        <v>474</v>
      </c>
      <c r="U61">
        <v>5</v>
      </c>
      <c r="V61">
        <v>858.21</v>
      </c>
      <c r="W61">
        <v>0.2</v>
      </c>
      <c r="X61">
        <v>686.56799999999998</v>
      </c>
      <c r="Y61">
        <v>740.56799999999998</v>
      </c>
      <c r="Z61" t="s">
        <v>2103</v>
      </c>
      <c r="AA61" t="s">
        <v>2061</v>
      </c>
      <c r="AB61">
        <v>2</v>
      </c>
    </row>
    <row r="62" spans="1:28" x14ac:dyDescent="0.3">
      <c r="A62" t="s">
        <v>475</v>
      </c>
      <c r="B62" t="s">
        <v>108</v>
      </c>
      <c r="C62" t="s">
        <v>476</v>
      </c>
      <c r="D62" t="s">
        <v>2208</v>
      </c>
      <c r="E62">
        <v>33</v>
      </c>
      <c r="F62" t="s">
        <v>29</v>
      </c>
      <c r="G62" t="s">
        <v>168</v>
      </c>
      <c r="H62" t="s">
        <v>477</v>
      </c>
      <c r="I62" t="s">
        <v>478</v>
      </c>
      <c r="J62" t="s">
        <v>479</v>
      </c>
      <c r="K62" s="14">
        <v>45435</v>
      </c>
      <c r="L62" t="s">
        <v>480</v>
      </c>
      <c r="M62" t="s">
        <v>481</v>
      </c>
      <c r="N62">
        <v>87.09</v>
      </c>
      <c r="O62">
        <v>4</v>
      </c>
      <c r="P62" t="s">
        <v>63</v>
      </c>
      <c r="Q62">
        <v>6</v>
      </c>
      <c r="R62">
        <v>63</v>
      </c>
      <c r="S62">
        <v>45439</v>
      </c>
      <c r="T62" t="s">
        <v>482</v>
      </c>
      <c r="U62">
        <v>4</v>
      </c>
      <c r="V62">
        <v>348.36</v>
      </c>
      <c r="W62">
        <v>0</v>
      </c>
      <c r="X62">
        <v>348.36</v>
      </c>
      <c r="Y62">
        <v>348.36</v>
      </c>
      <c r="Z62" t="s">
        <v>2104</v>
      </c>
      <c r="AA62" t="s">
        <v>2057</v>
      </c>
      <c r="AB62">
        <v>5</v>
      </c>
    </row>
    <row r="63" spans="1:28" x14ac:dyDescent="0.3">
      <c r="A63" t="s">
        <v>483</v>
      </c>
      <c r="B63" t="s">
        <v>484</v>
      </c>
      <c r="C63" t="s">
        <v>130</v>
      </c>
      <c r="D63" t="s">
        <v>2209</v>
      </c>
      <c r="E63">
        <v>68</v>
      </c>
      <c r="F63" t="s">
        <v>52</v>
      </c>
      <c r="G63" t="s">
        <v>220</v>
      </c>
      <c r="H63" t="s">
        <v>485</v>
      </c>
      <c r="I63" t="s">
        <v>486</v>
      </c>
      <c r="J63" t="s">
        <v>487</v>
      </c>
      <c r="K63" s="14">
        <v>45002</v>
      </c>
      <c r="L63" t="s">
        <v>488</v>
      </c>
      <c r="M63" t="s">
        <v>105</v>
      </c>
      <c r="N63">
        <v>275.44</v>
      </c>
      <c r="O63">
        <v>4</v>
      </c>
      <c r="P63" t="s">
        <v>36</v>
      </c>
      <c r="Q63">
        <v>4</v>
      </c>
      <c r="R63">
        <v>40</v>
      </c>
      <c r="S63">
        <v>45007</v>
      </c>
      <c r="T63" t="s">
        <v>489</v>
      </c>
      <c r="U63">
        <v>5</v>
      </c>
      <c r="V63">
        <v>1101.76</v>
      </c>
      <c r="W63">
        <v>0.08</v>
      </c>
      <c r="X63">
        <v>1013.6192</v>
      </c>
      <c r="Y63">
        <v>1053.6192000000001</v>
      </c>
      <c r="Z63" t="s">
        <v>2105</v>
      </c>
      <c r="AA63" t="s">
        <v>2061</v>
      </c>
      <c r="AB63">
        <v>3</v>
      </c>
    </row>
    <row r="64" spans="1:28" x14ac:dyDescent="0.3">
      <c r="A64" t="s">
        <v>490</v>
      </c>
      <c r="B64" t="s">
        <v>186</v>
      </c>
      <c r="C64" t="s">
        <v>327</v>
      </c>
      <c r="D64" t="s">
        <v>2210</v>
      </c>
      <c r="E64">
        <v>39</v>
      </c>
      <c r="F64" t="s">
        <v>52</v>
      </c>
      <c r="G64" t="s">
        <v>42</v>
      </c>
      <c r="H64" t="s">
        <v>491</v>
      </c>
      <c r="I64" t="s">
        <v>492</v>
      </c>
      <c r="J64" t="s">
        <v>493</v>
      </c>
      <c r="K64" s="14">
        <v>45680</v>
      </c>
      <c r="L64" t="s">
        <v>494</v>
      </c>
      <c r="M64" t="s">
        <v>495</v>
      </c>
      <c r="N64">
        <v>421.7</v>
      </c>
      <c r="O64">
        <v>1</v>
      </c>
      <c r="P64" t="s">
        <v>96</v>
      </c>
      <c r="Q64">
        <v>3</v>
      </c>
      <c r="R64">
        <v>59</v>
      </c>
      <c r="S64">
        <v>45684</v>
      </c>
      <c r="T64" t="s">
        <v>496</v>
      </c>
      <c r="U64">
        <v>4</v>
      </c>
      <c r="V64">
        <v>421.7</v>
      </c>
      <c r="W64">
        <v>0.1</v>
      </c>
      <c r="X64">
        <v>379.53</v>
      </c>
      <c r="Y64">
        <v>438.53</v>
      </c>
      <c r="Z64" t="s">
        <v>2106</v>
      </c>
      <c r="AA64" t="s">
        <v>2061</v>
      </c>
      <c r="AB64">
        <v>1</v>
      </c>
    </row>
    <row r="65" spans="1:28" x14ac:dyDescent="0.3">
      <c r="A65" t="s">
        <v>227</v>
      </c>
      <c r="B65" t="s">
        <v>228</v>
      </c>
      <c r="C65" t="s">
        <v>229</v>
      </c>
      <c r="D65" t="s">
        <v>2183</v>
      </c>
      <c r="E65">
        <v>64</v>
      </c>
      <c r="F65" t="s">
        <v>41</v>
      </c>
      <c r="G65" t="s">
        <v>42</v>
      </c>
      <c r="H65" t="s">
        <v>230</v>
      </c>
      <c r="I65" t="s">
        <v>231</v>
      </c>
      <c r="J65" t="s">
        <v>497</v>
      </c>
      <c r="K65" s="14">
        <v>45629</v>
      </c>
      <c r="L65" t="s">
        <v>498</v>
      </c>
      <c r="M65" t="s">
        <v>173</v>
      </c>
      <c r="N65">
        <v>272.51</v>
      </c>
      <c r="O65">
        <v>1</v>
      </c>
      <c r="P65" t="s">
        <v>85</v>
      </c>
      <c r="Q65">
        <v>4</v>
      </c>
      <c r="R65">
        <v>43</v>
      </c>
      <c r="S65">
        <v>45630</v>
      </c>
      <c r="T65" t="s">
        <v>499</v>
      </c>
      <c r="U65">
        <v>1</v>
      </c>
      <c r="V65">
        <v>272.51</v>
      </c>
      <c r="W65">
        <v>0.2</v>
      </c>
      <c r="X65">
        <v>218.00799999999998</v>
      </c>
      <c r="Y65">
        <v>261.00799999999998</v>
      </c>
      <c r="Z65" t="s">
        <v>2079</v>
      </c>
      <c r="AA65" t="s">
        <v>2057</v>
      </c>
      <c r="AB65">
        <v>12</v>
      </c>
    </row>
    <row r="66" spans="1:28" x14ac:dyDescent="0.3">
      <c r="A66" t="s">
        <v>500</v>
      </c>
      <c r="B66" t="s">
        <v>501</v>
      </c>
      <c r="C66" t="s">
        <v>387</v>
      </c>
      <c r="D66" t="s">
        <v>2211</v>
      </c>
      <c r="E66">
        <v>57</v>
      </c>
      <c r="F66" t="s">
        <v>41</v>
      </c>
      <c r="G66" t="s">
        <v>220</v>
      </c>
      <c r="H66" t="s">
        <v>502</v>
      </c>
      <c r="I66" t="s">
        <v>503</v>
      </c>
      <c r="J66" t="s">
        <v>504</v>
      </c>
      <c r="K66" s="14">
        <v>45346</v>
      </c>
      <c r="L66" t="s">
        <v>505</v>
      </c>
      <c r="M66" t="s">
        <v>135</v>
      </c>
      <c r="N66">
        <v>175.93</v>
      </c>
      <c r="O66">
        <v>3</v>
      </c>
      <c r="P66" t="s">
        <v>36</v>
      </c>
      <c r="Q66">
        <v>4</v>
      </c>
      <c r="R66">
        <v>46</v>
      </c>
      <c r="S66">
        <v>45351</v>
      </c>
      <c r="T66" t="s">
        <v>506</v>
      </c>
      <c r="U66">
        <v>5</v>
      </c>
      <c r="V66">
        <v>527.79</v>
      </c>
      <c r="W66">
        <v>0.08</v>
      </c>
      <c r="X66">
        <v>485.56679999999994</v>
      </c>
      <c r="Y66">
        <v>531.56679999999994</v>
      </c>
      <c r="Z66" t="s">
        <v>2107</v>
      </c>
      <c r="AA66" t="s">
        <v>2061</v>
      </c>
      <c r="AB66">
        <v>2</v>
      </c>
    </row>
    <row r="67" spans="1:28" x14ac:dyDescent="0.3">
      <c r="A67" t="s">
        <v>507</v>
      </c>
      <c r="B67" t="s">
        <v>508</v>
      </c>
      <c r="C67" t="s">
        <v>509</v>
      </c>
      <c r="D67" t="s">
        <v>2212</v>
      </c>
      <c r="E67">
        <v>64</v>
      </c>
      <c r="F67" t="s">
        <v>29</v>
      </c>
      <c r="G67" t="s">
        <v>30</v>
      </c>
      <c r="H67" t="s">
        <v>510</v>
      </c>
      <c r="I67" t="s">
        <v>511</v>
      </c>
      <c r="J67" t="s">
        <v>512</v>
      </c>
      <c r="K67" s="14">
        <v>45503</v>
      </c>
      <c r="L67" t="s">
        <v>513</v>
      </c>
      <c r="M67" t="s">
        <v>514</v>
      </c>
      <c r="N67">
        <v>136.30000000000001</v>
      </c>
      <c r="O67">
        <v>5</v>
      </c>
      <c r="P67" t="s">
        <v>58</v>
      </c>
      <c r="Q67">
        <v>6</v>
      </c>
      <c r="R67">
        <v>39</v>
      </c>
      <c r="S67">
        <v>45510</v>
      </c>
      <c r="T67" t="s">
        <v>515</v>
      </c>
      <c r="U67">
        <v>7</v>
      </c>
      <c r="V67">
        <v>681.5</v>
      </c>
      <c r="W67">
        <v>0.15</v>
      </c>
      <c r="X67">
        <v>579.27499999999998</v>
      </c>
      <c r="Y67">
        <v>618.27499999999998</v>
      </c>
      <c r="Z67" t="s">
        <v>2108</v>
      </c>
      <c r="AA67" t="s">
        <v>2061</v>
      </c>
      <c r="AB67">
        <v>7</v>
      </c>
    </row>
    <row r="68" spans="1:28" x14ac:dyDescent="0.3">
      <c r="A68" t="s">
        <v>255</v>
      </c>
      <c r="B68" t="s">
        <v>256</v>
      </c>
      <c r="C68" t="s">
        <v>257</v>
      </c>
      <c r="D68" t="s">
        <v>2185</v>
      </c>
      <c r="E68">
        <v>60</v>
      </c>
      <c r="F68" t="s">
        <v>52</v>
      </c>
      <c r="G68" t="s">
        <v>30</v>
      </c>
      <c r="H68" t="s">
        <v>258</v>
      </c>
      <c r="I68" t="s">
        <v>259</v>
      </c>
      <c r="J68" t="s">
        <v>516</v>
      </c>
      <c r="K68" s="14">
        <v>45451</v>
      </c>
      <c r="L68" t="s">
        <v>517</v>
      </c>
      <c r="M68" t="s">
        <v>518</v>
      </c>
      <c r="N68">
        <v>441.03</v>
      </c>
      <c r="O68">
        <v>2</v>
      </c>
      <c r="P68" t="s">
        <v>96</v>
      </c>
      <c r="Q68">
        <v>3</v>
      </c>
      <c r="R68">
        <v>49</v>
      </c>
      <c r="S68">
        <v>45458</v>
      </c>
      <c r="T68" t="s">
        <v>519</v>
      </c>
      <c r="U68">
        <v>7</v>
      </c>
      <c r="V68">
        <v>882.06</v>
      </c>
      <c r="W68">
        <v>0.1</v>
      </c>
      <c r="X68">
        <v>793.85399999999993</v>
      </c>
      <c r="Y68">
        <v>842.85399999999993</v>
      </c>
      <c r="Z68" t="s">
        <v>2081</v>
      </c>
      <c r="AA68" t="s">
        <v>2061</v>
      </c>
      <c r="AB68">
        <v>6</v>
      </c>
    </row>
    <row r="69" spans="1:28" x14ac:dyDescent="0.3">
      <c r="A69" t="s">
        <v>520</v>
      </c>
      <c r="B69" t="s">
        <v>521</v>
      </c>
      <c r="C69" t="s">
        <v>522</v>
      </c>
      <c r="D69" t="s">
        <v>2213</v>
      </c>
      <c r="E69">
        <v>42</v>
      </c>
      <c r="F69" t="s">
        <v>52</v>
      </c>
      <c r="G69" t="s">
        <v>76</v>
      </c>
      <c r="H69" t="s">
        <v>523</v>
      </c>
      <c r="I69" t="s">
        <v>524</v>
      </c>
      <c r="J69" t="s">
        <v>525</v>
      </c>
      <c r="K69" s="14">
        <v>45322</v>
      </c>
      <c r="L69" t="s">
        <v>526</v>
      </c>
      <c r="M69" t="s">
        <v>430</v>
      </c>
      <c r="N69">
        <v>369.03</v>
      </c>
      <c r="O69">
        <v>4</v>
      </c>
      <c r="P69" t="s">
        <v>85</v>
      </c>
      <c r="Q69">
        <v>7</v>
      </c>
      <c r="R69">
        <v>52</v>
      </c>
      <c r="S69">
        <v>45327</v>
      </c>
      <c r="T69" t="s">
        <v>527</v>
      </c>
      <c r="U69">
        <v>5</v>
      </c>
      <c r="V69">
        <v>1476.12</v>
      </c>
      <c r="W69">
        <v>0.2</v>
      </c>
      <c r="X69">
        <v>1180.896</v>
      </c>
      <c r="Y69">
        <v>1232.896</v>
      </c>
      <c r="Z69" t="s">
        <v>2109</v>
      </c>
      <c r="AA69" t="s">
        <v>2057</v>
      </c>
      <c r="AB69">
        <v>1</v>
      </c>
    </row>
    <row r="70" spans="1:28" x14ac:dyDescent="0.3">
      <c r="A70" t="s">
        <v>528</v>
      </c>
      <c r="B70" t="s">
        <v>394</v>
      </c>
      <c r="C70" t="s">
        <v>529</v>
      </c>
      <c r="D70" t="s">
        <v>2214</v>
      </c>
      <c r="E70">
        <v>51</v>
      </c>
      <c r="F70" t="s">
        <v>52</v>
      </c>
      <c r="G70" t="s">
        <v>140</v>
      </c>
      <c r="H70" t="s">
        <v>530</v>
      </c>
      <c r="I70" t="s">
        <v>531</v>
      </c>
      <c r="J70" t="s">
        <v>532</v>
      </c>
      <c r="K70" s="14">
        <v>45277</v>
      </c>
      <c r="L70" t="s">
        <v>533</v>
      </c>
      <c r="M70" t="s">
        <v>356</v>
      </c>
      <c r="N70">
        <v>496.59</v>
      </c>
      <c r="O70">
        <v>4</v>
      </c>
      <c r="P70" t="s">
        <v>58</v>
      </c>
      <c r="Q70">
        <v>7</v>
      </c>
      <c r="R70">
        <v>36</v>
      </c>
      <c r="S70">
        <v>45280</v>
      </c>
      <c r="T70" t="s">
        <v>534</v>
      </c>
      <c r="U70">
        <v>3</v>
      </c>
      <c r="V70">
        <v>1986.36</v>
      </c>
      <c r="W70">
        <v>0.15</v>
      </c>
      <c r="X70">
        <v>1688.4059999999999</v>
      </c>
      <c r="Y70">
        <v>1724.4059999999999</v>
      </c>
      <c r="Z70" t="s">
        <v>2110</v>
      </c>
      <c r="AA70" t="s">
        <v>2057</v>
      </c>
      <c r="AB70">
        <v>12</v>
      </c>
    </row>
    <row r="71" spans="1:28" x14ac:dyDescent="0.3">
      <c r="A71" t="s">
        <v>535</v>
      </c>
      <c r="B71" t="s">
        <v>536</v>
      </c>
      <c r="C71" t="s">
        <v>537</v>
      </c>
      <c r="D71" t="s">
        <v>2215</v>
      </c>
      <c r="E71">
        <v>32</v>
      </c>
      <c r="F71" t="s">
        <v>52</v>
      </c>
      <c r="G71" t="s">
        <v>90</v>
      </c>
      <c r="H71" t="s">
        <v>538</v>
      </c>
      <c r="I71" t="s">
        <v>539</v>
      </c>
      <c r="J71" t="s">
        <v>540</v>
      </c>
      <c r="K71" s="14">
        <v>45586</v>
      </c>
      <c r="L71" t="s">
        <v>541</v>
      </c>
      <c r="M71" t="s">
        <v>356</v>
      </c>
      <c r="N71">
        <v>496.59</v>
      </c>
      <c r="O71">
        <v>2</v>
      </c>
      <c r="P71" t="s">
        <v>36</v>
      </c>
      <c r="Q71">
        <v>5</v>
      </c>
      <c r="R71">
        <v>41</v>
      </c>
      <c r="S71">
        <v>45588</v>
      </c>
      <c r="T71" t="s">
        <v>542</v>
      </c>
      <c r="U71">
        <v>2</v>
      </c>
      <c r="V71">
        <v>993.18</v>
      </c>
      <c r="W71">
        <v>0.08</v>
      </c>
      <c r="X71">
        <v>913.72559999999999</v>
      </c>
      <c r="Y71">
        <v>954.72559999999999</v>
      </c>
      <c r="Z71" t="s">
        <v>2111</v>
      </c>
      <c r="AA71" t="s">
        <v>2057</v>
      </c>
      <c r="AB71">
        <v>10</v>
      </c>
    </row>
    <row r="72" spans="1:28" x14ac:dyDescent="0.3">
      <c r="A72" t="s">
        <v>26</v>
      </c>
      <c r="B72" t="s">
        <v>27</v>
      </c>
      <c r="C72" t="s">
        <v>28</v>
      </c>
      <c r="D72" t="s">
        <v>2163</v>
      </c>
      <c r="E72">
        <v>37</v>
      </c>
      <c r="F72" t="s">
        <v>29</v>
      </c>
      <c r="G72" t="s">
        <v>30</v>
      </c>
      <c r="H72" t="s">
        <v>31</v>
      </c>
      <c r="I72" t="s">
        <v>32</v>
      </c>
      <c r="J72" t="s">
        <v>543</v>
      </c>
      <c r="K72" s="14">
        <v>45567</v>
      </c>
      <c r="L72" t="s">
        <v>544</v>
      </c>
      <c r="M72" t="s">
        <v>35</v>
      </c>
      <c r="N72">
        <v>308.88</v>
      </c>
      <c r="O72">
        <v>1</v>
      </c>
      <c r="P72" t="s">
        <v>63</v>
      </c>
      <c r="Q72">
        <v>6</v>
      </c>
      <c r="R72">
        <v>62</v>
      </c>
      <c r="S72">
        <v>45569</v>
      </c>
      <c r="T72" t="s">
        <v>545</v>
      </c>
      <c r="U72">
        <v>2</v>
      </c>
      <c r="V72">
        <v>308.88</v>
      </c>
      <c r="W72">
        <v>0</v>
      </c>
      <c r="X72">
        <v>308.88</v>
      </c>
      <c r="Y72">
        <v>308.88</v>
      </c>
      <c r="Z72" t="s">
        <v>2056</v>
      </c>
      <c r="AA72" t="s">
        <v>2057</v>
      </c>
      <c r="AB72">
        <v>10</v>
      </c>
    </row>
    <row r="73" spans="1:28" x14ac:dyDescent="0.3">
      <c r="A73" t="s">
        <v>546</v>
      </c>
      <c r="B73" t="s">
        <v>547</v>
      </c>
      <c r="C73" t="s">
        <v>548</v>
      </c>
      <c r="D73" t="s">
        <v>2216</v>
      </c>
      <c r="E73">
        <v>33</v>
      </c>
      <c r="F73" t="s">
        <v>52</v>
      </c>
      <c r="G73" t="s">
        <v>168</v>
      </c>
      <c r="H73" t="s">
        <v>549</v>
      </c>
      <c r="I73" t="s">
        <v>550</v>
      </c>
      <c r="J73" t="s">
        <v>551</v>
      </c>
      <c r="K73" s="14">
        <v>45495</v>
      </c>
      <c r="L73" t="s">
        <v>552</v>
      </c>
      <c r="M73" t="s">
        <v>553</v>
      </c>
      <c r="N73">
        <v>425.59</v>
      </c>
      <c r="O73">
        <v>4</v>
      </c>
      <c r="P73" t="s">
        <v>63</v>
      </c>
      <c r="Q73">
        <v>6</v>
      </c>
      <c r="R73">
        <v>53</v>
      </c>
      <c r="S73">
        <v>45496</v>
      </c>
      <c r="T73" t="s">
        <v>554</v>
      </c>
      <c r="U73">
        <v>1</v>
      </c>
      <c r="V73">
        <v>1702.36</v>
      </c>
      <c r="W73">
        <v>0</v>
      </c>
      <c r="X73">
        <v>1702.36</v>
      </c>
      <c r="Y73">
        <v>1702.36</v>
      </c>
      <c r="Z73" t="s">
        <v>2112</v>
      </c>
      <c r="AA73" t="s">
        <v>2057</v>
      </c>
      <c r="AB73">
        <v>7</v>
      </c>
    </row>
    <row r="74" spans="1:28" x14ac:dyDescent="0.3">
      <c r="A74" t="s">
        <v>217</v>
      </c>
      <c r="B74" t="s">
        <v>218</v>
      </c>
      <c r="C74" t="s">
        <v>219</v>
      </c>
      <c r="D74" t="s">
        <v>2182</v>
      </c>
      <c r="E74">
        <v>33</v>
      </c>
      <c r="F74" t="s">
        <v>52</v>
      </c>
      <c r="G74" t="s">
        <v>220</v>
      </c>
      <c r="H74" t="s">
        <v>221</v>
      </c>
      <c r="I74" t="s">
        <v>222</v>
      </c>
      <c r="J74" t="s">
        <v>555</v>
      </c>
      <c r="K74" s="14">
        <v>45355</v>
      </c>
      <c r="L74" t="s">
        <v>556</v>
      </c>
      <c r="M74" t="s">
        <v>35</v>
      </c>
      <c r="N74">
        <v>308.88</v>
      </c>
      <c r="O74">
        <v>1</v>
      </c>
      <c r="P74" t="s">
        <v>96</v>
      </c>
      <c r="Q74">
        <v>1</v>
      </c>
      <c r="R74">
        <v>56</v>
      </c>
      <c r="S74">
        <v>45360</v>
      </c>
      <c r="T74" t="s">
        <v>557</v>
      </c>
      <c r="U74">
        <v>5</v>
      </c>
      <c r="V74">
        <v>308.88</v>
      </c>
      <c r="W74">
        <v>0.1</v>
      </c>
      <c r="X74">
        <v>277.99200000000002</v>
      </c>
      <c r="Y74">
        <v>333.99200000000002</v>
      </c>
      <c r="Z74" t="s">
        <v>2078</v>
      </c>
      <c r="AA74" t="s">
        <v>2061</v>
      </c>
      <c r="AB74">
        <v>3</v>
      </c>
    </row>
    <row r="75" spans="1:28" x14ac:dyDescent="0.3">
      <c r="A75" t="s">
        <v>450</v>
      </c>
      <c r="B75" t="s">
        <v>451</v>
      </c>
      <c r="C75" t="s">
        <v>452</v>
      </c>
      <c r="D75" t="s">
        <v>2205</v>
      </c>
      <c r="E75">
        <v>69</v>
      </c>
      <c r="F75" t="s">
        <v>29</v>
      </c>
      <c r="G75" t="s">
        <v>30</v>
      </c>
      <c r="H75" t="s">
        <v>453</v>
      </c>
      <c r="I75" t="s">
        <v>454</v>
      </c>
      <c r="J75" t="s">
        <v>558</v>
      </c>
      <c r="K75" s="14">
        <v>45132</v>
      </c>
      <c r="L75" t="s">
        <v>559</v>
      </c>
      <c r="M75" t="s">
        <v>383</v>
      </c>
      <c r="N75">
        <v>431.44</v>
      </c>
      <c r="O75">
        <v>5</v>
      </c>
      <c r="P75" t="s">
        <v>58</v>
      </c>
      <c r="Q75">
        <v>6</v>
      </c>
      <c r="R75">
        <v>59</v>
      </c>
      <c r="S75">
        <v>45139</v>
      </c>
      <c r="T75" t="s">
        <v>560</v>
      </c>
      <c r="U75">
        <v>7</v>
      </c>
      <c r="V75">
        <v>2157.1999999999998</v>
      </c>
      <c r="W75">
        <v>0.15</v>
      </c>
      <c r="X75">
        <v>1833.62</v>
      </c>
      <c r="Y75">
        <v>1892.62</v>
      </c>
      <c r="Z75" t="s">
        <v>2101</v>
      </c>
      <c r="AA75" t="s">
        <v>2061</v>
      </c>
      <c r="AB75">
        <v>7</v>
      </c>
    </row>
    <row r="76" spans="1:28" x14ac:dyDescent="0.3">
      <c r="A76" t="s">
        <v>450</v>
      </c>
      <c r="B76" t="s">
        <v>451</v>
      </c>
      <c r="C76" t="s">
        <v>452</v>
      </c>
      <c r="D76" t="s">
        <v>2205</v>
      </c>
      <c r="E76">
        <v>69</v>
      </c>
      <c r="F76" t="s">
        <v>29</v>
      </c>
      <c r="G76" t="s">
        <v>30</v>
      </c>
      <c r="H76" t="s">
        <v>453</v>
      </c>
      <c r="I76" t="s">
        <v>454</v>
      </c>
      <c r="J76" t="s">
        <v>561</v>
      </c>
      <c r="K76" s="14">
        <v>45650</v>
      </c>
      <c r="L76" t="s">
        <v>562</v>
      </c>
      <c r="M76" t="s">
        <v>563</v>
      </c>
      <c r="N76">
        <v>133.62</v>
      </c>
      <c r="O76">
        <v>2</v>
      </c>
      <c r="P76" t="s">
        <v>96</v>
      </c>
      <c r="Q76">
        <v>4</v>
      </c>
      <c r="R76">
        <v>50</v>
      </c>
      <c r="S76">
        <v>45651</v>
      </c>
      <c r="T76" t="s">
        <v>564</v>
      </c>
      <c r="U76">
        <v>1</v>
      </c>
      <c r="V76">
        <v>267.24</v>
      </c>
      <c r="W76">
        <v>0.1</v>
      </c>
      <c r="X76">
        <v>240.51600000000002</v>
      </c>
      <c r="Y76">
        <v>290.51600000000002</v>
      </c>
      <c r="Z76" t="s">
        <v>2101</v>
      </c>
      <c r="AA76" t="s">
        <v>2057</v>
      </c>
      <c r="AB76">
        <v>12</v>
      </c>
    </row>
    <row r="77" spans="1:28" x14ac:dyDescent="0.3">
      <c r="A77" t="s">
        <v>280</v>
      </c>
      <c r="B77" t="s">
        <v>281</v>
      </c>
      <c r="C77" t="s">
        <v>282</v>
      </c>
      <c r="D77" t="s">
        <v>2188</v>
      </c>
      <c r="E77">
        <v>64</v>
      </c>
      <c r="F77" t="s">
        <v>52</v>
      </c>
      <c r="G77" t="s">
        <v>30</v>
      </c>
      <c r="H77" t="s">
        <v>283</v>
      </c>
      <c r="I77" t="s">
        <v>284</v>
      </c>
      <c r="J77" t="s">
        <v>565</v>
      </c>
      <c r="K77" s="14">
        <v>45459</v>
      </c>
      <c r="L77" t="s">
        <v>566</v>
      </c>
      <c r="M77" t="s">
        <v>95</v>
      </c>
      <c r="N77">
        <v>363.64</v>
      </c>
      <c r="O77">
        <v>3</v>
      </c>
      <c r="P77" t="s">
        <v>63</v>
      </c>
      <c r="Q77">
        <v>7</v>
      </c>
      <c r="R77">
        <v>41</v>
      </c>
      <c r="S77">
        <v>45461</v>
      </c>
      <c r="T77" t="s">
        <v>567</v>
      </c>
      <c r="U77">
        <v>2</v>
      </c>
      <c r="V77">
        <v>1090.92</v>
      </c>
      <c r="W77">
        <v>0</v>
      </c>
      <c r="X77">
        <v>1090.92</v>
      </c>
      <c r="Y77">
        <v>1090.92</v>
      </c>
      <c r="Z77" t="s">
        <v>2084</v>
      </c>
      <c r="AA77" t="s">
        <v>2057</v>
      </c>
      <c r="AB77">
        <v>6</v>
      </c>
    </row>
    <row r="78" spans="1:28" x14ac:dyDescent="0.3">
      <c r="A78" t="s">
        <v>38</v>
      </c>
      <c r="B78" t="s">
        <v>39</v>
      </c>
      <c r="C78" t="s">
        <v>40</v>
      </c>
      <c r="D78" t="s">
        <v>2164</v>
      </c>
      <c r="E78">
        <v>53</v>
      </c>
      <c r="F78" t="s">
        <v>41</v>
      </c>
      <c r="G78" t="s">
        <v>42</v>
      </c>
      <c r="H78" t="s">
        <v>43</v>
      </c>
      <c r="I78" t="s">
        <v>44</v>
      </c>
      <c r="J78" t="s">
        <v>568</v>
      </c>
      <c r="K78" s="14">
        <v>45041</v>
      </c>
      <c r="L78" t="s">
        <v>569</v>
      </c>
      <c r="M78" t="s">
        <v>250</v>
      </c>
      <c r="N78">
        <v>128.13999999999999</v>
      </c>
      <c r="O78">
        <v>1</v>
      </c>
      <c r="P78" t="s">
        <v>36</v>
      </c>
      <c r="Q78">
        <v>7</v>
      </c>
      <c r="R78">
        <v>70</v>
      </c>
      <c r="S78">
        <v>45045</v>
      </c>
      <c r="T78" t="s">
        <v>570</v>
      </c>
      <c r="U78">
        <v>4</v>
      </c>
      <c r="V78">
        <v>128.13999999999999</v>
      </c>
      <c r="W78">
        <v>0.08</v>
      </c>
      <c r="X78">
        <v>117.88879999999999</v>
      </c>
      <c r="Y78">
        <v>187.8888</v>
      </c>
      <c r="Z78" t="s">
        <v>2058</v>
      </c>
      <c r="AA78" t="s">
        <v>2057</v>
      </c>
      <c r="AB78">
        <v>4</v>
      </c>
    </row>
    <row r="79" spans="1:28" x14ac:dyDescent="0.3">
      <c r="A79" t="s">
        <v>385</v>
      </c>
      <c r="B79" t="s">
        <v>386</v>
      </c>
      <c r="C79" t="s">
        <v>387</v>
      </c>
      <c r="D79" t="s">
        <v>2198</v>
      </c>
      <c r="E79">
        <v>47</v>
      </c>
      <c r="F79" t="s">
        <v>41</v>
      </c>
      <c r="G79" t="s">
        <v>90</v>
      </c>
      <c r="H79" t="s">
        <v>388</v>
      </c>
      <c r="I79" t="s">
        <v>389</v>
      </c>
      <c r="J79" t="s">
        <v>571</v>
      </c>
      <c r="K79" s="14">
        <v>45683</v>
      </c>
      <c r="L79" t="s">
        <v>572</v>
      </c>
      <c r="M79" t="s">
        <v>573</v>
      </c>
      <c r="N79">
        <v>477.52</v>
      </c>
      <c r="O79">
        <v>2</v>
      </c>
      <c r="P79" t="s">
        <v>36</v>
      </c>
      <c r="Q79">
        <v>6</v>
      </c>
      <c r="R79">
        <v>55</v>
      </c>
      <c r="S79">
        <v>45685</v>
      </c>
      <c r="T79" t="s">
        <v>574</v>
      </c>
      <c r="U79">
        <v>2</v>
      </c>
      <c r="V79">
        <v>955.04</v>
      </c>
      <c r="W79">
        <v>0.08</v>
      </c>
      <c r="X79">
        <v>878.63679999999999</v>
      </c>
      <c r="Y79">
        <v>933.63679999999999</v>
      </c>
      <c r="Z79" t="s">
        <v>2094</v>
      </c>
      <c r="AA79" t="s">
        <v>2057</v>
      </c>
      <c r="AB79">
        <v>1</v>
      </c>
    </row>
    <row r="80" spans="1:28" x14ac:dyDescent="0.3">
      <c r="A80" t="s">
        <v>575</v>
      </c>
      <c r="B80" t="s">
        <v>256</v>
      </c>
      <c r="C80" t="s">
        <v>576</v>
      </c>
      <c r="D80" t="s">
        <v>2217</v>
      </c>
      <c r="E80">
        <v>35</v>
      </c>
      <c r="F80" t="s">
        <v>29</v>
      </c>
      <c r="G80" t="s">
        <v>30</v>
      </c>
      <c r="H80" t="s">
        <v>577</v>
      </c>
      <c r="I80" t="s">
        <v>578</v>
      </c>
      <c r="J80" t="s">
        <v>579</v>
      </c>
      <c r="K80" s="14">
        <v>45054</v>
      </c>
      <c r="L80" t="s">
        <v>580</v>
      </c>
      <c r="M80" t="s">
        <v>242</v>
      </c>
      <c r="N80">
        <v>126.19</v>
      </c>
      <c r="O80">
        <v>3</v>
      </c>
      <c r="P80" t="s">
        <v>63</v>
      </c>
      <c r="Q80">
        <v>5</v>
      </c>
      <c r="R80">
        <v>40</v>
      </c>
      <c r="S80">
        <v>45058</v>
      </c>
      <c r="T80" t="s">
        <v>581</v>
      </c>
      <c r="U80">
        <v>4</v>
      </c>
      <c r="V80">
        <v>378.57</v>
      </c>
      <c r="W80">
        <v>0</v>
      </c>
      <c r="X80">
        <v>378.57</v>
      </c>
      <c r="Y80">
        <v>378.57</v>
      </c>
      <c r="Z80" t="s">
        <v>2113</v>
      </c>
      <c r="AA80" t="s">
        <v>2057</v>
      </c>
      <c r="AB80">
        <v>5</v>
      </c>
    </row>
    <row r="81" spans="1:28" x14ac:dyDescent="0.3">
      <c r="A81" t="s">
        <v>412</v>
      </c>
      <c r="B81" t="s">
        <v>228</v>
      </c>
      <c r="C81" t="s">
        <v>413</v>
      </c>
      <c r="D81" t="s">
        <v>2201</v>
      </c>
      <c r="E81">
        <v>28</v>
      </c>
      <c r="F81" t="s">
        <v>52</v>
      </c>
      <c r="G81" t="s">
        <v>140</v>
      </c>
      <c r="H81" t="s">
        <v>414</v>
      </c>
      <c r="I81" t="s">
        <v>415</v>
      </c>
      <c r="J81" t="s">
        <v>582</v>
      </c>
      <c r="K81" s="14">
        <v>45443</v>
      </c>
      <c r="L81" t="s">
        <v>583</v>
      </c>
      <c r="M81" t="s">
        <v>323</v>
      </c>
      <c r="N81">
        <v>481.48</v>
      </c>
      <c r="O81">
        <v>4</v>
      </c>
      <c r="P81" t="s">
        <v>96</v>
      </c>
      <c r="Q81">
        <v>1</v>
      </c>
      <c r="R81">
        <v>36</v>
      </c>
      <c r="S81">
        <v>45447</v>
      </c>
      <c r="T81" t="s">
        <v>584</v>
      </c>
      <c r="U81">
        <v>4</v>
      </c>
      <c r="V81">
        <v>1925.92</v>
      </c>
      <c r="W81">
        <v>0.1</v>
      </c>
      <c r="X81">
        <v>1733.328</v>
      </c>
      <c r="Y81">
        <v>1769.328</v>
      </c>
      <c r="Z81" t="s">
        <v>2097</v>
      </c>
      <c r="AA81" t="s">
        <v>2061</v>
      </c>
      <c r="AB81">
        <v>5</v>
      </c>
    </row>
    <row r="82" spans="1:28" x14ac:dyDescent="0.3">
      <c r="A82" t="s">
        <v>475</v>
      </c>
      <c r="B82" t="s">
        <v>108</v>
      </c>
      <c r="C82" t="s">
        <v>476</v>
      </c>
      <c r="D82" t="s">
        <v>2208</v>
      </c>
      <c r="E82">
        <v>33</v>
      </c>
      <c r="F82" t="s">
        <v>29</v>
      </c>
      <c r="G82" t="s">
        <v>168</v>
      </c>
      <c r="H82" t="s">
        <v>477</v>
      </c>
      <c r="I82" t="s">
        <v>478</v>
      </c>
      <c r="J82" t="s">
        <v>585</v>
      </c>
      <c r="K82" s="14">
        <v>45675</v>
      </c>
      <c r="L82" t="s">
        <v>586</v>
      </c>
      <c r="M82" t="s">
        <v>35</v>
      </c>
      <c r="N82">
        <v>308.88</v>
      </c>
      <c r="O82">
        <v>3</v>
      </c>
      <c r="P82" t="s">
        <v>58</v>
      </c>
      <c r="Q82">
        <v>4</v>
      </c>
      <c r="R82">
        <v>48</v>
      </c>
      <c r="S82">
        <v>45678</v>
      </c>
      <c r="T82" t="s">
        <v>587</v>
      </c>
      <c r="U82">
        <v>3</v>
      </c>
      <c r="V82">
        <v>926.64</v>
      </c>
      <c r="W82">
        <v>0.15</v>
      </c>
      <c r="X82">
        <v>787.64400000000001</v>
      </c>
      <c r="Y82">
        <v>835.64400000000001</v>
      </c>
      <c r="Z82" t="s">
        <v>2104</v>
      </c>
      <c r="AA82" t="s">
        <v>2057</v>
      </c>
      <c r="AB82">
        <v>1</v>
      </c>
    </row>
    <row r="83" spans="1:28" x14ac:dyDescent="0.3">
      <c r="A83" t="s">
        <v>209</v>
      </c>
      <c r="B83" t="s">
        <v>210</v>
      </c>
      <c r="C83" t="s">
        <v>211</v>
      </c>
      <c r="D83" t="s">
        <v>2181</v>
      </c>
      <c r="E83">
        <v>39</v>
      </c>
      <c r="F83" t="s">
        <v>41</v>
      </c>
      <c r="G83" t="s">
        <v>159</v>
      </c>
      <c r="H83" t="s">
        <v>212</v>
      </c>
      <c r="I83" t="s">
        <v>213</v>
      </c>
      <c r="J83" t="s">
        <v>588</v>
      </c>
      <c r="K83" s="14">
        <v>45525</v>
      </c>
      <c r="L83" t="s">
        <v>589</v>
      </c>
      <c r="M83" t="s">
        <v>590</v>
      </c>
      <c r="N83">
        <v>403.03</v>
      </c>
      <c r="O83">
        <v>1</v>
      </c>
      <c r="P83" t="s">
        <v>85</v>
      </c>
      <c r="Q83">
        <v>3</v>
      </c>
      <c r="R83">
        <v>52</v>
      </c>
      <c r="S83">
        <v>45526</v>
      </c>
      <c r="T83" t="s">
        <v>591</v>
      </c>
      <c r="U83">
        <v>1</v>
      </c>
      <c r="V83">
        <v>403.03</v>
      </c>
      <c r="W83">
        <v>0.2</v>
      </c>
      <c r="X83">
        <v>322.42399999999998</v>
      </c>
      <c r="Y83">
        <v>374.42399999999998</v>
      </c>
      <c r="Z83" t="s">
        <v>2077</v>
      </c>
      <c r="AA83" t="s">
        <v>2057</v>
      </c>
      <c r="AB83">
        <v>8</v>
      </c>
    </row>
    <row r="84" spans="1:28" x14ac:dyDescent="0.3">
      <c r="A84" t="s">
        <v>592</v>
      </c>
      <c r="B84" t="s">
        <v>593</v>
      </c>
      <c r="C84" t="s">
        <v>594</v>
      </c>
      <c r="D84" t="s">
        <v>2218</v>
      </c>
      <c r="E84">
        <v>21</v>
      </c>
      <c r="F84" t="s">
        <v>29</v>
      </c>
      <c r="G84" t="s">
        <v>42</v>
      </c>
      <c r="H84" t="s">
        <v>595</v>
      </c>
      <c r="I84" t="s">
        <v>596</v>
      </c>
      <c r="J84" t="s">
        <v>597</v>
      </c>
      <c r="K84" s="14">
        <v>45041</v>
      </c>
      <c r="L84" t="s">
        <v>598</v>
      </c>
      <c r="M84" t="s">
        <v>81</v>
      </c>
      <c r="N84">
        <v>330.11</v>
      </c>
      <c r="O84">
        <v>2</v>
      </c>
      <c r="P84" t="s">
        <v>36</v>
      </c>
      <c r="Q84">
        <v>3</v>
      </c>
      <c r="R84">
        <v>64</v>
      </c>
      <c r="S84">
        <v>45046</v>
      </c>
      <c r="T84" t="s">
        <v>599</v>
      </c>
      <c r="U84">
        <v>5</v>
      </c>
      <c r="V84">
        <v>660.22</v>
      </c>
      <c r="W84">
        <v>0.08</v>
      </c>
      <c r="X84">
        <v>607.40240000000006</v>
      </c>
      <c r="Y84">
        <v>671.40240000000006</v>
      </c>
      <c r="Z84" t="s">
        <v>2114</v>
      </c>
      <c r="AA84" t="s">
        <v>2061</v>
      </c>
      <c r="AB84">
        <v>4</v>
      </c>
    </row>
    <row r="85" spans="1:28" x14ac:dyDescent="0.3">
      <c r="A85" t="s">
        <v>412</v>
      </c>
      <c r="B85" t="s">
        <v>228</v>
      </c>
      <c r="C85" t="s">
        <v>413</v>
      </c>
      <c r="D85" t="s">
        <v>2201</v>
      </c>
      <c r="E85">
        <v>28</v>
      </c>
      <c r="F85" t="s">
        <v>52</v>
      </c>
      <c r="G85" t="s">
        <v>140</v>
      </c>
      <c r="H85" t="s">
        <v>414</v>
      </c>
      <c r="I85" t="s">
        <v>415</v>
      </c>
      <c r="J85" t="s">
        <v>600</v>
      </c>
      <c r="K85" s="14">
        <v>45322</v>
      </c>
      <c r="L85" t="s">
        <v>601</v>
      </c>
      <c r="M85" t="s">
        <v>270</v>
      </c>
      <c r="N85">
        <v>62.42</v>
      </c>
      <c r="O85">
        <v>1</v>
      </c>
      <c r="P85" t="s">
        <v>85</v>
      </c>
      <c r="Q85">
        <v>6</v>
      </c>
      <c r="R85">
        <v>53</v>
      </c>
      <c r="S85">
        <v>45329</v>
      </c>
      <c r="T85" t="s">
        <v>602</v>
      </c>
      <c r="U85">
        <v>7</v>
      </c>
      <c r="V85">
        <v>62.42</v>
      </c>
      <c r="W85">
        <v>0.2</v>
      </c>
      <c r="X85">
        <v>49.936</v>
      </c>
      <c r="Y85">
        <v>102.93600000000001</v>
      </c>
      <c r="Z85" t="s">
        <v>2097</v>
      </c>
      <c r="AA85" t="s">
        <v>2061</v>
      </c>
      <c r="AB85">
        <v>1</v>
      </c>
    </row>
    <row r="86" spans="1:28" x14ac:dyDescent="0.3">
      <c r="A86" t="s">
        <v>603</v>
      </c>
      <c r="B86" t="s">
        <v>604</v>
      </c>
      <c r="C86" t="s">
        <v>403</v>
      </c>
      <c r="D86" t="s">
        <v>2219</v>
      </c>
      <c r="E86">
        <v>18</v>
      </c>
      <c r="F86" t="s">
        <v>41</v>
      </c>
      <c r="G86" t="s">
        <v>42</v>
      </c>
      <c r="H86" t="s">
        <v>605</v>
      </c>
      <c r="I86" t="s">
        <v>606</v>
      </c>
      <c r="J86" t="s">
        <v>607</v>
      </c>
      <c r="K86" s="14">
        <v>45625</v>
      </c>
      <c r="L86" t="s">
        <v>608</v>
      </c>
      <c r="M86" t="s">
        <v>81</v>
      </c>
      <c r="N86">
        <v>330.11</v>
      </c>
      <c r="O86">
        <v>1</v>
      </c>
      <c r="P86" t="s">
        <v>85</v>
      </c>
      <c r="Q86">
        <v>4</v>
      </c>
      <c r="R86">
        <v>67</v>
      </c>
      <c r="S86">
        <v>45627</v>
      </c>
      <c r="T86" t="s">
        <v>609</v>
      </c>
      <c r="U86">
        <v>2</v>
      </c>
      <c r="V86">
        <v>330.11</v>
      </c>
      <c r="W86">
        <v>0.2</v>
      </c>
      <c r="X86">
        <v>264.08800000000002</v>
      </c>
      <c r="Y86">
        <v>331.08800000000002</v>
      </c>
      <c r="Z86" t="s">
        <v>2115</v>
      </c>
      <c r="AA86" t="s">
        <v>2057</v>
      </c>
      <c r="AB86">
        <v>11</v>
      </c>
    </row>
    <row r="87" spans="1:28" x14ac:dyDescent="0.3">
      <c r="A87" t="s">
        <v>293</v>
      </c>
      <c r="B87" t="s">
        <v>294</v>
      </c>
      <c r="C87" t="s">
        <v>295</v>
      </c>
      <c r="D87" t="s">
        <v>2189</v>
      </c>
      <c r="E87">
        <v>48</v>
      </c>
      <c r="F87" t="s">
        <v>41</v>
      </c>
      <c r="G87" t="s">
        <v>90</v>
      </c>
      <c r="H87" t="s">
        <v>296</v>
      </c>
      <c r="I87" t="s">
        <v>297</v>
      </c>
      <c r="J87" t="s">
        <v>610</v>
      </c>
      <c r="K87" s="14">
        <v>45505</v>
      </c>
      <c r="L87" t="s">
        <v>611</v>
      </c>
      <c r="M87" t="s">
        <v>114</v>
      </c>
      <c r="N87">
        <v>48.45</v>
      </c>
      <c r="O87">
        <v>1</v>
      </c>
      <c r="P87" t="s">
        <v>58</v>
      </c>
      <c r="Q87">
        <v>6</v>
      </c>
      <c r="R87">
        <v>66</v>
      </c>
      <c r="S87">
        <v>45512</v>
      </c>
      <c r="T87" t="s">
        <v>612</v>
      </c>
      <c r="U87">
        <v>7</v>
      </c>
      <c r="V87">
        <v>48.45</v>
      </c>
      <c r="W87">
        <v>0.15</v>
      </c>
      <c r="X87">
        <v>41.182500000000005</v>
      </c>
      <c r="Y87">
        <v>107.1825</v>
      </c>
      <c r="Z87" t="s">
        <v>2085</v>
      </c>
      <c r="AA87" t="s">
        <v>2061</v>
      </c>
      <c r="AB87">
        <v>8</v>
      </c>
    </row>
    <row r="88" spans="1:28" x14ac:dyDescent="0.3">
      <c r="A88" t="s">
        <v>500</v>
      </c>
      <c r="B88" t="s">
        <v>501</v>
      </c>
      <c r="C88" t="s">
        <v>387</v>
      </c>
      <c r="D88" t="s">
        <v>2211</v>
      </c>
      <c r="E88">
        <v>57</v>
      </c>
      <c r="F88" t="s">
        <v>41</v>
      </c>
      <c r="G88" t="s">
        <v>220</v>
      </c>
      <c r="H88" t="s">
        <v>502</v>
      </c>
      <c r="I88" t="s">
        <v>503</v>
      </c>
      <c r="J88" t="s">
        <v>613</v>
      </c>
      <c r="K88" s="14">
        <v>45252</v>
      </c>
      <c r="L88" t="s">
        <v>614</v>
      </c>
      <c r="M88" t="s">
        <v>62</v>
      </c>
      <c r="N88">
        <v>405</v>
      </c>
      <c r="O88">
        <v>2</v>
      </c>
      <c r="P88" t="s">
        <v>63</v>
      </c>
      <c r="Q88">
        <v>4</v>
      </c>
      <c r="R88">
        <v>70</v>
      </c>
      <c r="S88">
        <v>45257</v>
      </c>
      <c r="T88" t="s">
        <v>615</v>
      </c>
      <c r="U88">
        <v>5</v>
      </c>
      <c r="V88">
        <v>810</v>
      </c>
      <c r="W88">
        <v>0</v>
      </c>
      <c r="X88">
        <v>810</v>
      </c>
      <c r="Y88">
        <v>810</v>
      </c>
      <c r="Z88" t="s">
        <v>2107</v>
      </c>
      <c r="AA88" t="s">
        <v>2061</v>
      </c>
      <c r="AB88">
        <v>11</v>
      </c>
    </row>
    <row r="89" spans="1:28" x14ac:dyDescent="0.3">
      <c r="A89" t="s">
        <v>500</v>
      </c>
      <c r="B89" t="s">
        <v>501</v>
      </c>
      <c r="C89" t="s">
        <v>387</v>
      </c>
      <c r="D89" t="s">
        <v>2211</v>
      </c>
      <c r="E89">
        <v>57</v>
      </c>
      <c r="F89" t="s">
        <v>41</v>
      </c>
      <c r="G89" t="s">
        <v>220</v>
      </c>
      <c r="H89" t="s">
        <v>502</v>
      </c>
      <c r="I89" t="s">
        <v>503</v>
      </c>
      <c r="J89" t="s">
        <v>616</v>
      </c>
      <c r="K89" s="14">
        <v>45595</v>
      </c>
      <c r="L89" t="s">
        <v>617</v>
      </c>
      <c r="M89" t="s">
        <v>356</v>
      </c>
      <c r="N89">
        <v>496.59</v>
      </c>
      <c r="O89">
        <v>2</v>
      </c>
      <c r="P89" t="s">
        <v>96</v>
      </c>
      <c r="Q89">
        <v>1</v>
      </c>
      <c r="R89">
        <v>46</v>
      </c>
      <c r="S89">
        <v>45598</v>
      </c>
      <c r="T89" t="s">
        <v>618</v>
      </c>
      <c r="U89">
        <v>3</v>
      </c>
      <c r="V89">
        <v>993.18</v>
      </c>
      <c r="W89">
        <v>0.1</v>
      </c>
      <c r="X89">
        <v>893.86199999999997</v>
      </c>
      <c r="Y89">
        <v>939.86199999999997</v>
      </c>
      <c r="Z89" t="s">
        <v>2107</v>
      </c>
      <c r="AA89" t="s">
        <v>2061</v>
      </c>
      <c r="AB89">
        <v>10</v>
      </c>
    </row>
    <row r="90" spans="1:28" x14ac:dyDescent="0.3">
      <c r="A90" t="s">
        <v>98</v>
      </c>
      <c r="B90" t="s">
        <v>99</v>
      </c>
      <c r="C90" t="s">
        <v>100</v>
      </c>
      <c r="D90" t="s">
        <v>2169</v>
      </c>
      <c r="E90">
        <v>39</v>
      </c>
      <c r="F90" t="s">
        <v>29</v>
      </c>
      <c r="G90" t="s">
        <v>30</v>
      </c>
      <c r="H90" t="s">
        <v>101</v>
      </c>
      <c r="I90" t="s">
        <v>102</v>
      </c>
      <c r="J90" t="s">
        <v>619</v>
      </c>
      <c r="K90" s="14">
        <v>45227</v>
      </c>
      <c r="L90" t="s">
        <v>620</v>
      </c>
      <c r="M90" t="s">
        <v>114</v>
      </c>
      <c r="N90">
        <v>48.45</v>
      </c>
      <c r="O90">
        <v>1</v>
      </c>
      <c r="P90" t="s">
        <v>85</v>
      </c>
      <c r="Q90">
        <v>4</v>
      </c>
      <c r="R90">
        <v>66</v>
      </c>
      <c r="S90">
        <v>45228</v>
      </c>
      <c r="T90" t="s">
        <v>621</v>
      </c>
      <c r="U90">
        <v>1</v>
      </c>
      <c r="V90">
        <v>48.45</v>
      </c>
      <c r="W90">
        <v>0.2</v>
      </c>
      <c r="X90">
        <v>38.760000000000005</v>
      </c>
      <c r="Y90">
        <v>104.76</v>
      </c>
      <c r="Z90" t="s">
        <v>2064</v>
      </c>
      <c r="AA90" t="s">
        <v>2057</v>
      </c>
      <c r="AB90">
        <v>10</v>
      </c>
    </row>
    <row r="91" spans="1:28" x14ac:dyDescent="0.3">
      <c r="A91" t="s">
        <v>622</v>
      </c>
      <c r="B91" t="s">
        <v>129</v>
      </c>
      <c r="C91" t="s">
        <v>623</v>
      </c>
      <c r="D91" t="s">
        <v>2220</v>
      </c>
      <c r="E91">
        <v>47</v>
      </c>
      <c r="F91" t="s">
        <v>52</v>
      </c>
      <c r="G91" t="s">
        <v>76</v>
      </c>
      <c r="H91" t="s">
        <v>624</v>
      </c>
      <c r="I91" t="s">
        <v>625</v>
      </c>
      <c r="J91" t="s">
        <v>626</v>
      </c>
      <c r="K91" s="14">
        <v>45076</v>
      </c>
      <c r="L91" t="s">
        <v>627</v>
      </c>
      <c r="M91" t="s">
        <v>383</v>
      </c>
      <c r="N91">
        <v>431.44</v>
      </c>
      <c r="O91">
        <v>1</v>
      </c>
      <c r="P91" t="s">
        <v>63</v>
      </c>
      <c r="Q91">
        <v>7</v>
      </c>
      <c r="R91">
        <v>35</v>
      </c>
      <c r="S91">
        <v>45080</v>
      </c>
      <c r="T91" t="s">
        <v>628</v>
      </c>
      <c r="U91">
        <v>4</v>
      </c>
      <c r="V91">
        <v>431.44</v>
      </c>
      <c r="W91">
        <v>0</v>
      </c>
      <c r="X91">
        <v>431.44</v>
      </c>
      <c r="Y91">
        <v>431.44</v>
      </c>
      <c r="Z91" t="s">
        <v>2116</v>
      </c>
      <c r="AA91" t="s">
        <v>2057</v>
      </c>
      <c r="AB91">
        <v>5</v>
      </c>
    </row>
    <row r="92" spans="1:28" x14ac:dyDescent="0.3">
      <c r="A92" t="s">
        <v>156</v>
      </c>
      <c r="B92" t="s">
        <v>157</v>
      </c>
      <c r="C92" t="s">
        <v>158</v>
      </c>
      <c r="D92" t="s">
        <v>2175</v>
      </c>
      <c r="E92">
        <v>24</v>
      </c>
      <c r="F92" t="s">
        <v>29</v>
      </c>
      <c r="G92" t="s">
        <v>159</v>
      </c>
      <c r="H92" t="s">
        <v>160</v>
      </c>
      <c r="I92" t="s">
        <v>161</v>
      </c>
      <c r="J92" t="s">
        <v>629</v>
      </c>
      <c r="K92" s="14">
        <v>45555</v>
      </c>
      <c r="L92" t="s">
        <v>630</v>
      </c>
      <c r="M92" t="s">
        <v>473</v>
      </c>
      <c r="N92">
        <v>286.07</v>
      </c>
      <c r="O92">
        <v>5</v>
      </c>
      <c r="P92" t="s">
        <v>58</v>
      </c>
      <c r="Q92">
        <v>5</v>
      </c>
      <c r="R92">
        <v>65</v>
      </c>
      <c r="S92">
        <v>45558</v>
      </c>
      <c r="T92" t="s">
        <v>631</v>
      </c>
      <c r="U92">
        <v>3</v>
      </c>
      <c r="V92">
        <v>1430.35</v>
      </c>
      <c r="W92">
        <v>0.15</v>
      </c>
      <c r="X92">
        <v>1215.7974999999999</v>
      </c>
      <c r="Y92">
        <v>1280.7974999999999</v>
      </c>
      <c r="Z92" t="s">
        <v>2071</v>
      </c>
      <c r="AA92" t="s">
        <v>2057</v>
      </c>
      <c r="AB92">
        <v>9</v>
      </c>
    </row>
    <row r="93" spans="1:28" x14ac:dyDescent="0.3">
      <c r="A93" t="s">
        <v>412</v>
      </c>
      <c r="B93" t="s">
        <v>228</v>
      </c>
      <c r="C93" t="s">
        <v>413</v>
      </c>
      <c r="D93" t="s">
        <v>2201</v>
      </c>
      <c r="E93">
        <v>28</v>
      </c>
      <c r="F93" t="s">
        <v>52</v>
      </c>
      <c r="G93" t="s">
        <v>140</v>
      </c>
      <c r="H93" t="s">
        <v>414</v>
      </c>
      <c r="I93" t="s">
        <v>415</v>
      </c>
      <c r="J93" t="s">
        <v>632</v>
      </c>
      <c r="K93" s="14">
        <v>45495</v>
      </c>
      <c r="L93" t="s">
        <v>633</v>
      </c>
      <c r="M93" t="s">
        <v>242</v>
      </c>
      <c r="N93">
        <v>126.19</v>
      </c>
      <c r="O93">
        <v>2</v>
      </c>
      <c r="P93" t="s">
        <v>36</v>
      </c>
      <c r="Q93">
        <v>7</v>
      </c>
      <c r="R93">
        <v>48</v>
      </c>
      <c r="S93">
        <v>45496</v>
      </c>
      <c r="T93" t="s">
        <v>634</v>
      </c>
      <c r="U93">
        <v>1</v>
      </c>
      <c r="V93">
        <v>252.38</v>
      </c>
      <c r="W93">
        <v>0.08</v>
      </c>
      <c r="X93">
        <v>232.18959999999998</v>
      </c>
      <c r="Y93">
        <v>280.18959999999998</v>
      </c>
      <c r="Z93" t="s">
        <v>2097</v>
      </c>
      <c r="AA93" t="s">
        <v>2057</v>
      </c>
      <c r="AB93">
        <v>7</v>
      </c>
    </row>
    <row r="94" spans="1:28" x14ac:dyDescent="0.3">
      <c r="A94" t="s">
        <v>272</v>
      </c>
      <c r="B94" t="s">
        <v>273</v>
      </c>
      <c r="C94" t="s">
        <v>274</v>
      </c>
      <c r="D94" t="s">
        <v>2187</v>
      </c>
      <c r="E94">
        <v>44</v>
      </c>
      <c r="F94" t="s">
        <v>29</v>
      </c>
      <c r="G94" t="s">
        <v>220</v>
      </c>
      <c r="H94" t="s">
        <v>275</v>
      </c>
      <c r="I94" t="s">
        <v>276</v>
      </c>
      <c r="J94" t="s">
        <v>635</v>
      </c>
      <c r="K94" s="14">
        <v>45307</v>
      </c>
      <c r="L94" t="s">
        <v>636</v>
      </c>
      <c r="M94" t="s">
        <v>637</v>
      </c>
      <c r="N94">
        <v>445.81</v>
      </c>
      <c r="O94">
        <v>5</v>
      </c>
      <c r="P94" t="s">
        <v>58</v>
      </c>
      <c r="Q94">
        <v>1</v>
      </c>
      <c r="R94">
        <v>56</v>
      </c>
      <c r="S94">
        <v>45313</v>
      </c>
      <c r="T94" t="s">
        <v>638</v>
      </c>
      <c r="U94">
        <v>6</v>
      </c>
      <c r="V94">
        <v>2229.0500000000002</v>
      </c>
      <c r="W94">
        <v>0.15</v>
      </c>
      <c r="X94">
        <v>1894.6925000000001</v>
      </c>
      <c r="Y94">
        <v>1950.6925000000001</v>
      </c>
      <c r="Z94" t="s">
        <v>2083</v>
      </c>
      <c r="AA94" t="s">
        <v>2061</v>
      </c>
      <c r="AB94">
        <v>1</v>
      </c>
    </row>
    <row r="95" spans="1:28" x14ac:dyDescent="0.3">
      <c r="A95" t="s">
        <v>639</v>
      </c>
      <c r="B95" t="s">
        <v>148</v>
      </c>
      <c r="C95" t="s">
        <v>640</v>
      </c>
      <c r="D95" t="s">
        <v>2221</v>
      </c>
      <c r="E95">
        <v>44</v>
      </c>
      <c r="F95" t="s">
        <v>52</v>
      </c>
      <c r="G95" t="s">
        <v>90</v>
      </c>
      <c r="H95" t="s">
        <v>641</v>
      </c>
      <c r="I95" t="s">
        <v>642</v>
      </c>
      <c r="J95" t="s">
        <v>643</v>
      </c>
      <c r="K95" s="14">
        <v>45625</v>
      </c>
      <c r="L95" t="s">
        <v>644</v>
      </c>
      <c r="M95" t="s">
        <v>430</v>
      </c>
      <c r="N95">
        <v>369.03</v>
      </c>
      <c r="O95">
        <v>4</v>
      </c>
      <c r="P95" t="s">
        <v>85</v>
      </c>
      <c r="Q95">
        <v>4</v>
      </c>
      <c r="R95">
        <v>56</v>
      </c>
      <c r="S95">
        <v>45630</v>
      </c>
      <c r="T95" t="s">
        <v>645</v>
      </c>
      <c r="U95">
        <v>5</v>
      </c>
      <c r="V95">
        <v>1476.12</v>
      </c>
      <c r="W95">
        <v>0.2</v>
      </c>
      <c r="X95">
        <v>1180.896</v>
      </c>
      <c r="Y95">
        <v>1236.896</v>
      </c>
      <c r="Z95" t="s">
        <v>2117</v>
      </c>
      <c r="AA95" t="s">
        <v>2061</v>
      </c>
      <c r="AB95">
        <v>11</v>
      </c>
    </row>
    <row r="96" spans="1:28" x14ac:dyDescent="0.3">
      <c r="A96" t="s">
        <v>646</v>
      </c>
      <c r="B96" t="s">
        <v>647</v>
      </c>
      <c r="C96" t="s">
        <v>648</v>
      </c>
      <c r="D96" t="s">
        <v>2222</v>
      </c>
      <c r="E96">
        <v>45</v>
      </c>
      <c r="F96" t="s">
        <v>52</v>
      </c>
      <c r="G96" t="s">
        <v>90</v>
      </c>
      <c r="H96" t="s">
        <v>649</v>
      </c>
      <c r="I96" t="s">
        <v>650</v>
      </c>
      <c r="J96" t="s">
        <v>651</v>
      </c>
      <c r="K96" s="14">
        <v>45504</v>
      </c>
      <c r="L96" t="s">
        <v>652</v>
      </c>
      <c r="M96" t="s">
        <v>653</v>
      </c>
      <c r="N96">
        <v>433.62</v>
      </c>
      <c r="O96">
        <v>2</v>
      </c>
      <c r="P96" t="s">
        <v>85</v>
      </c>
      <c r="Q96">
        <v>1</v>
      </c>
      <c r="R96">
        <v>41</v>
      </c>
      <c r="S96">
        <v>45510</v>
      </c>
      <c r="T96" t="s">
        <v>654</v>
      </c>
      <c r="U96">
        <v>6</v>
      </c>
      <c r="V96">
        <v>867.24</v>
      </c>
      <c r="W96">
        <v>0.2</v>
      </c>
      <c r="X96">
        <v>693.79200000000003</v>
      </c>
      <c r="Y96">
        <v>734.79200000000003</v>
      </c>
      <c r="Z96" t="s">
        <v>2118</v>
      </c>
      <c r="AA96" t="s">
        <v>2061</v>
      </c>
      <c r="AB96">
        <v>7</v>
      </c>
    </row>
    <row r="97" spans="1:28" x14ac:dyDescent="0.3">
      <c r="A97" t="s">
        <v>507</v>
      </c>
      <c r="B97" t="s">
        <v>508</v>
      </c>
      <c r="C97" t="s">
        <v>509</v>
      </c>
      <c r="D97" t="s">
        <v>2212</v>
      </c>
      <c r="E97">
        <v>64</v>
      </c>
      <c r="F97" t="s">
        <v>29</v>
      </c>
      <c r="G97" t="s">
        <v>30</v>
      </c>
      <c r="H97" t="s">
        <v>510</v>
      </c>
      <c r="I97" t="s">
        <v>511</v>
      </c>
      <c r="J97" t="s">
        <v>655</v>
      </c>
      <c r="K97" s="14">
        <v>45488</v>
      </c>
      <c r="L97" t="s">
        <v>656</v>
      </c>
      <c r="M97" t="s">
        <v>657</v>
      </c>
      <c r="N97">
        <v>235.63</v>
      </c>
      <c r="O97">
        <v>4</v>
      </c>
      <c r="P97" t="s">
        <v>85</v>
      </c>
      <c r="Q97">
        <v>2</v>
      </c>
      <c r="R97">
        <v>60</v>
      </c>
      <c r="S97">
        <v>45495</v>
      </c>
      <c r="T97" t="s">
        <v>658</v>
      </c>
      <c r="U97">
        <v>7</v>
      </c>
      <c r="V97">
        <v>942.52</v>
      </c>
      <c r="W97">
        <v>0.2</v>
      </c>
      <c r="X97">
        <v>754.01599999999996</v>
      </c>
      <c r="Y97">
        <v>814.01599999999996</v>
      </c>
      <c r="Z97" t="s">
        <v>2108</v>
      </c>
      <c r="AA97" t="s">
        <v>2061</v>
      </c>
      <c r="AB97">
        <v>7</v>
      </c>
    </row>
    <row r="98" spans="1:28" x14ac:dyDescent="0.3">
      <c r="A98" t="s">
        <v>227</v>
      </c>
      <c r="B98" t="s">
        <v>228</v>
      </c>
      <c r="C98" t="s">
        <v>229</v>
      </c>
      <c r="D98" t="s">
        <v>2183</v>
      </c>
      <c r="E98">
        <v>64</v>
      </c>
      <c r="F98" t="s">
        <v>41</v>
      </c>
      <c r="G98" t="s">
        <v>42</v>
      </c>
      <c r="H98" t="s">
        <v>230</v>
      </c>
      <c r="I98" t="s">
        <v>231</v>
      </c>
      <c r="J98" t="s">
        <v>659</v>
      </c>
      <c r="K98" s="14">
        <v>45118</v>
      </c>
      <c r="L98" t="s">
        <v>660</v>
      </c>
      <c r="M98" t="s">
        <v>291</v>
      </c>
      <c r="N98">
        <v>158.53</v>
      </c>
      <c r="O98">
        <v>5</v>
      </c>
      <c r="P98" t="s">
        <v>85</v>
      </c>
      <c r="Q98">
        <v>1</v>
      </c>
      <c r="R98">
        <v>57</v>
      </c>
      <c r="S98">
        <v>45125</v>
      </c>
      <c r="T98" t="s">
        <v>661</v>
      </c>
      <c r="U98">
        <v>7</v>
      </c>
      <c r="V98">
        <v>792.65</v>
      </c>
      <c r="W98">
        <v>0.2</v>
      </c>
      <c r="X98">
        <v>634.12</v>
      </c>
      <c r="Y98">
        <v>691.12</v>
      </c>
      <c r="Z98" t="s">
        <v>2079</v>
      </c>
      <c r="AA98" t="s">
        <v>2061</v>
      </c>
      <c r="AB98">
        <v>7</v>
      </c>
    </row>
    <row r="99" spans="1:28" x14ac:dyDescent="0.3">
      <c r="A99" t="s">
        <v>227</v>
      </c>
      <c r="B99" t="s">
        <v>228</v>
      </c>
      <c r="C99" t="s">
        <v>229</v>
      </c>
      <c r="D99" t="s">
        <v>2183</v>
      </c>
      <c r="E99">
        <v>64</v>
      </c>
      <c r="F99" t="s">
        <v>41</v>
      </c>
      <c r="G99" t="s">
        <v>42</v>
      </c>
      <c r="H99" t="s">
        <v>230</v>
      </c>
      <c r="I99" t="s">
        <v>231</v>
      </c>
      <c r="J99" t="s">
        <v>662</v>
      </c>
      <c r="K99" s="14">
        <v>45183</v>
      </c>
      <c r="L99" t="s">
        <v>663</v>
      </c>
      <c r="M99" t="s">
        <v>81</v>
      </c>
      <c r="N99">
        <v>330.11</v>
      </c>
      <c r="O99">
        <v>3</v>
      </c>
      <c r="P99" t="s">
        <v>58</v>
      </c>
      <c r="Q99">
        <v>3</v>
      </c>
      <c r="R99">
        <v>65</v>
      </c>
      <c r="S99">
        <v>45186</v>
      </c>
      <c r="T99" t="s">
        <v>664</v>
      </c>
      <c r="U99">
        <v>3</v>
      </c>
      <c r="V99">
        <v>990.33</v>
      </c>
      <c r="W99">
        <v>0.15</v>
      </c>
      <c r="X99">
        <v>841.78050000000007</v>
      </c>
      <c r="Y99">
        <v>906.78050000000007</v>
      </c>
      <c r="Z99" t="s">
        <v>2079</v>
      </c>
      <c r="AA99" t="s">
        <v>2066</v>
      </c>
      <c r="AB99">
        <v>9</v>
      </c>
    </row>
    <row r="100" spans="1:28" x14ac:dyDescent="0.3">
      <c r="A100" t="s">
        <v>646</v>
      </c>
      <c r="B100" t="s">
        <v>647</v>
      </c>
      <c r="C100" t="s">
        <v>648</v>
      </c>
      <c r="D100" t="s">
        <v>2222</v>
      </c>
      <c r="E100">
        <v>45</v>
      </c>
      <c r="F100" t="s">
        <v>52</v>
      </c>
      <c r="G100" t="s">
        <v>90</v>
      </c>
      <c r="H100" t="s">
        <v>649</v>
      </c>
      <c r="I100" t="s">
        <v>650</v>
      </c>
      <c r="J100" t="s">
        <v>665</v>
      </c>
      <c r="K100" s="14">
        <v>45673</v>
      </c>
      <c r="L100" t="s">
        <v>666</v>
      </c>
      <c r="M100" t="s">
        <v>154</v>
      </c>
      <c r="N100">
        <v>220.27</v>
      </c>
      <c r="O100">
        <v>2</v>
      </c>
      <c r="P100" t="s">
        <v>85</v>
      </c>
      <c r="Q100">
        <v>1</v>
      </c>
      <c r="R100">
        <v>63</v>
      </c>
      <c r="S100">
        <v>45675</v>
      </c>
      <c r="T100" t="s">
        <v>667</v>
      </c>
      <c r="U100">
        <v>2</v>
      </c>
      <c r="V100">
        <v>440.54</v>
      </c>
      <c r="W100">
        <v>0.2</v>
      </c>
      <c r="X100">
        <v>352.43200000000002</v>
      </c>
      <c r="Y100">
        <v>415.43200000000002</v>
      </c>
      <c r="Z100" t="s">
        <v>2118</v>
      </c>
      <c r="AA100" t="s">
        <v>2061</v>
      </c>
      <c r="AB100">
        <v>1</v>
      </c>
    </row>
    <row r="101" spans="1:28" x14ac:dyDescent="0.3">
      <c r="A101" t="s">
        <v>592</v>
      </c>
      <c r="B101" t="s">
        <v>593</v>
      </c>
      <c r="C101" t="s">
        <v>594</v>
      </c>
      <c r="D101" t="s">
        <v>2218</v>
      </c>
      <c r="E101">
        <v>21</v>
      </c>
      <c r="F101" t="s">
        <v>29</v>
      </c>
      <c r="G101" t="s">
        <v>42</v>
      </c>
      <c r="H101" t="s">
        <v>595</v>
      </c>
      <c r="I101" t="s">
        <v>596</v>
      </c>
      <c r="J101" t="s">
        <v>668</v>
      </c>
      <c r="K101" s="14">
        <v>45321</v>
      </c>
      <c r="L101" t="s">
        <v>669</v>
      </c>
      <c r="M101" t="s">
        <v>105</v>
      </c>
      <c r="N101">
        <v>275.44</v>
      </c>
      <c r="O101">
        <v>3</v>
      </c>
      <c r="P101" t="s">
        <v>58</v>
      </c>
      <c r="Q101">
        <v>7</v>
      </c>
      <c r="R101">
        <v>47</v>
      </c>
      <c r="S101">
        <v>45322</v>
      </c>
      <c r="T101" t="s">
        <v>670</v>
      </c>
      <c r="U101">
        <v>1</v>
      </c>
      <c r="V101">
        <v>826.31999999999994</v>
      </c>
      <c r="W101">
        <v>0.15</v>
      </c>
      <c r="X101">
        <v>702.37199999999996</v>
      </c>
      <c r="Y101">
        <v>749.37199999999996</v>
      </c>
      <c r="Z101" t="s">
        <v>2114</v>
      </c>
      <c r="AA101" t="s">
        <v>2057</v>
      </c>
      <c r="AB101">
        <v>1</v>
      </c>
    </row>
    <row r="102" spans="1:28" x14ac:dyDescent="0.3">
      <c r="A102" t="s">
        <v>671</v>
      </c>
      <c r="B102" t="s">
        <v>672</v>
      </c>
      <c r="C102" t="s">
        <v>673</v>
      </c>
      <c r="D102" t="s">
        <v>2223</v>
      </c>
      <c r="E102">
        <v>38</v>
      </c>
      <c r="F102" t="s">
        <v>41</v>
      </c>
      <c r="G102" t="s">
        <v>220</v>
      </c>
      <c r="H102" t="s">
        <v>674</v>
      </c>
      <c r="I102" t="s">
        <v>675</v>
      </c>
      <c r="J102" t="s">
        <v>676</v>
      </c>
      <c r="K102" s="14">
        <v>45203</v>
      </c>
      <c r="L102" t="s">
        <v>677</v>
      </c>
      <c r="M102" t="s">
        <v>573</v>
      </c>
      <c r="N102">
        <v>477.52</v>
      </c>
      <c r="O102">
        <v>3</v>
      </c>
      <c r="P102" t="s">
        <v>36</v>
      </c>
      <c r="Q102">
        <v>7</v>
      </c>
      <c r="R102">
        <v>66</v>
      </c>
      <c r="S102">
        <v>45208</v>
      </c>
      <c r="T102" t="s">
        <v>678</v>
      </c>
      <c r="U102">
        <v>5</v>
      </c>
      <c r="V102">
        <v>1432.56</v>
      </c>
      <c r="W102">
        <v>0.08</v>
      </c>
      <c r="X102">
        <v>1317.9551999999999</v>
      </c>
      <c r="Y102">
        <v>1383.9551999999999</v>
      </c>
      <c r="Z102" t="s">
        <v>2119</v>
      </c>
      <c r="AA102" t="s">
        <v>2057</v>
      </c>
      <c r="AB102">
        <v>10</v>
      </c>
    </row>
    <row r="103" spans="1:28" x14ac:dyDescent="0.3">
      <c r="A103" t="s">
        <v>679</v>
      </c>
      <c r="B103" t="s">
        <v>680</v>
      </c>
      <c r="C103" t="s">
        <v>681</v>
      </c>
      <c r="D103" t="s">
        <v>2224</v>
      </c>
      <c r="E103">
        <v>68</v>
      </c>
      <c r="F103" t="s">
        <v>29</v>
      </c>
      <c r="G103" t="s">
        <v>220</v>
      </c>
      <c r="H103" t="s">
        <v>682</v>
      </c>
      <c r="I103" t="s">
        <v>683</v>
      </c>
      <c r="J103" t="s">
        <v>684</v>
      </c>
      <c r="K103" s="14">
        <v>45636</v>
      </c>
      <c r="L103" t="s">
        <v>685</v>
      </c>
      <c r="M103" t="s">
        <v>686</v>
      </c>
      <c r="N103">
        <v>424.82</v>
      </c>
      <c r="O103">
        <v>1</v>
      </c>
      <c r="P103" t="s">
        <v>63</v>
      </c>
      <c r="Q103">
        <v>6</v>
      </c>
      <c r="R103">
        <v>44</v>
      </c>
      <c r="S103">
        <v>45638</v>
      </c>
      <c r="T103" t="s">
        <v>687</v>
      </c>
      <c r="U103">
        <v>2</v>
      </c>
      <c r="V103">
        <v>424.82</v>
      </c>
      <c r="W103">
        <v>0</v>
      </c>
      <c r="X103">
        <v>424.82</v>
      </c>
      <c r="Y103">
        <v>424.82</v>
      </c>
      <c r="Z103" t="s">
        <v>2120</v>
      </c>
      <c r="AA103" t="s">
        <v>2057</v>
      </c>
      <c r="AB103">
        <v>12</v>
      </c>
    </row>
    <row r="104" spans="1:28" x14ac:dyDescent="0.3">
      <c r="A104" t="s">
        <v>688</v>
      </c>
      <c r="B104" t="s">
        <v>689</v>
      </c>
      <c r="C104" t="s">
        <v>690</v>
      </c>
      <c r="D104" t="s">
        <v>2225</v>
      </c>
      <c r="E104">
        <v>65</v>
      </c>
      <c r="F104" t="s">
        <v>41</v>
      </c>
      <c r="G104" t="s">
        <v>90</v>
      </c>
      <c r="H104" t="s">
        <v>691</v>
      </c>
      <c r="I104" t="s">
        <v>692</v>
      </c>
      <c r="J104" t="s">
        <v>693</v>
      </c>
      <c r="K104" s="14">
        <v>45165</v>
      </c>
      <c r="L104" t="s">
        <v>694</v>
      </c>
      <c r="M104" t="s">
        <v>430</v>
      </c>
      <c r="N104">
        <v>369.03</v>
      </c>
      <c r="O104">
        <v>4</v>
      </c>
      <c r="P104" t="s">
        <v>36</v>
      </c>
      <c r="Q104">
        <v>3</v>
      </c>
      <c r="R104">
        <v>56</v>
      </c>
      <c r="S104">
        <v>45169</v>
      </c>
      <c r="T104" t="s">
        <v>695</v>
      </c>
      <c r="U104">
        <v>4</v>
      </c>
      <c r="V104">
        <v>1476.12</v>
      </c>
      <c r="W104">
        <v>0.08</v>
      </c>
      <c r="X104">
        <v>1358.0303999999999</v>
      </c>
      <c r="Y104">
        <v>1414.0303999999999</v>
      </c>
      <c r="Z104" t="s">
        <v>2121</v>
      </c>
      <c r="AA104" t="s">
        <v>2061</v>
      </c>
      <c r="AB104">
        <v>8</v>
      </c>
    </row>
    <row r="105" spans="1:28" x14ac:dyDescent="0.3">
      <c r="A105" t="s">
        <v>450</v>
      </c>
      <c r="B105" t="s">
        <v>451</v>
      </c>
      <c r="C105" t="s">
        <v>452</v>
      </c>
      <c r="D105" t="s">
        <v>2205</v>
      </c>
      <c r="E105">
        <v>69</v>
      </c>
      <c r="F105" t="s">
        <v>29</v>
      </c>
      <c r="G105" t="s">
        <v>30</v>
      </c>
      <c r="H105" t="s">
        <v>453</v>
      </c>
      <c r="I105" t="s">
        <v>454</v>
      </c>
      <c r="J105" t="s">
        <v>696</v>
      </c>
      <c r="K105" s="14">
        <v>45484</v>
      </c>
      <c r="L105" t="s">
        <v>697</v>
      </c>
      <c r="M105" t="s">
        <v>514</v>
      </c>
      <c r="N105">
        <v>136.30000000000001</v>
      </c>
      <c r="O105">
        <v>2</v>
      </c>
      <c r="P105" t="s">
        <v>96</v>
      </c>
      <c r="Q105">
        <v>1</v>
      </c>
      <c r="R105">
        <v>54</v>
      </c>
      <c r="S105">
        <v>45485</v>
      </c>
      <c r="T105" t="s">
        <v>698</v>
      </c>
      <c r="U105">
        <v>1</v>
      </c>
      <c r="V105">
        <v>272.60000000000002</v>
      </c>
      <c r="W105">
        <v>0.1</v>
      </c>
      <c r="X105">
        <v>245.34000000000003</v>
      </c>
      <c r="Y105">
        <v>299.34000000000003</v>
      </c>
      <c r="Z105" t="s">
        <v>2101</v>
      </c>
      <c r="AA105" t="s">
        <v>2066</v>
      </c>
      <c r="AB105">
        <v>7</v>
      </c>
    </row>
    <row r="106" spans="1:28" x14ac:dyDescent="0.3">
      <c r="A106" t="s">
        <v>412</v>
      </c>
      <c r="B106" t="s">
        <v>228</v>
      </c>
      <c r="C106" t="s">
        <v>413</v>
      </c>
      <c r="D106" t="s">
        <v>2201</v>
      </c>
      <c r="E106">
        <v>28</v>
      </c>
      <c r="F106" t="s">
        <v>52</v>
      </c>
      <c r="G106" t="s">
        <v>140</v>
      </c>
      <c r="H106" t="s">
        <v>414</v>
      </c>
      <c r="I106" t="s">
        <v>415</v>
      </c>
      <c r="J106" t="s">
        <v>699</v>
      </c>
      <c r="K106" s="14">
        <v>45113</v>
      </c>
      <c r="L106" t="s">
        <v>700</v>
      </c>
      <c r="M106" t="s">
        <v>154</v>
      </c>
      <c r="N106">
        <v>220.27</v>
      </c>
      <c r="O106">
        <v>4</v>
      </c>
      <c r="P106" t="s">
        <v>85</v>
      </c>
      <c r="Q106">
        <v>4</v>
      </c>
      <c r="R106">
        <v>65</v>
      </c>
      <c r="S106">
        <v>45117</v>
      </c>
      <c r="T106" t="s">
        <v>701</v>
      </c>
      <c r="U106">
        <v>4</v>
      </c>
      <c r="V106">
        <v>881.08</v>
      </c>
      <c r="W106">
        <v>0.2</v>
      </c>
      <c r="X106">
        <v>704.86400000000003</v>
      </c>
      <c r="Y106">
        <v>769.86400000000003</v>
      </c>
      <c r="Z106" t="s">
        <v>2097</v>
      </c>
      <c r="AA106" t="s">
        <v>2066</v>
      </c>
      <c r="AB106">
        <v>7</v>
      </c>
    </row>
    <row r="107" spans="1:28" x14ac:dyDescent="0.3">
      <c r="A107" t="s">
        <v>592</v>
      </c>
      <c r="B107" t="s">
        <v>593</v>
      </c>
      <c r="C107" t="s">
        <v>594</v>
      </c>
      <c r="D107" t="s">
        <v>2218</v>
      </c>
      <c r="E107">
        <v>21</v>
      </c>
      <c r="F107" t="s">
        <v>29</v>
      </c>
      <c r="G107" t="s">
        <v>42</v>
      </c>
      <c r="H107" t="s">
        <v>595</v>
      </c>
      <c r="I107" t="s">
        <v>596</v>
      </c>
      <c r="J107" t="s">
        <v>702</v>
      </c>
      <c r="K107" s="14">
        <v>45530</v>
      </c>
      <c r="L107" t="s">
        <v>703</v>
      </c>
      <c r="M107" t="s">
        <v>563</v>
      </c>
      <c r="N107">
        <v>133.62</v>
      </c>
      <c r="O107">
        <v>5</v>
      </c>
      <c r="P107" t="s">
        <v>58</v>
      </c>
      <c r="Q107">
        <v>6</v>
      </c>
      <c r="R107">
        <v>64</v>
      </c>
      <c r="S107">
        <v>45532</v>
      </c>
      <c r="T107" t="s">
        <v>704</v>
      </c>
      <c r="U107">
        <v>2</v>
      </c>
      <c r="V107">
        <v>668.1</v>
      </c>
      <c r="W107">
        <v>0.15</v>
      </c>
      <c r="X107">
        <v>567.88499999999999</v>
      </c>
      <c r="Y107">
        <v>631.88499999999999</v>
      </c>
      <c r="Z107" t="s">
        <v>2114</v>
      </c>
      <c r="AA107" t="s">
        <v>2057</v>
      </c>
      <c r="AB107">
        <v>8</v>
      </c>
    </row>
    <row r="108" spans="1:28" x14ac:dyDescent="0.3">
      <c r="A108" t="s">
        <v>705</v>
      </c>
      <c r="B108" t="s">
        <v>706</v>
      </c>
      <c r="C108" t="s">
        <v>707</v>
      </c>
      <c r="D108" t="s">
        <v>2226</v>
      </c>
      <c r="E108">
        <v>26</v>
      </c>
      <c r="F108" t="s">
        <v>52</v>
      </c>
      <c r="G108" t="s">
        <v>76</v>
      </c>
      <c r="H108" t="s">
        <v>708</v>
      </c>
      <c r="I108" t="s">
        <v>709</v>
      </c>
      <c r="J108" t="s">
        <v>710</v>
      </c>
      <c r="K108" s="14">
        <v>45432</v>
      </c>
      <c r="L108" t="s">
        <v>711</v>
      </c>
      <c r="M108" t="s">
        <v>35</v>
      </c>
      <c r="N108">
        <v>308.88</v>
      </c>
      <c r="O108">
        <v>2</v>
      </c>
      <c r="P108" t="s">
        <v>85</v>
      </c>
      <c r="Q108">
        <v>4</v>
      </c>
      <c r="R108">
        <v>61</v>
      </c>
      <c r="S108">
        <v>45436</v>
      </c>
      <c r="T108" t="s">
        <v>712</v>
      </c>
      <c r="U108">
        <v>4</v>
      </c>
      <c r="V108">
        <v>617.76</v>
      </c>
      <c r="W108">
        <v>0.2</v>
      </c>
      <c r="X108">
        <v>494.20799999999997</v>
      </c>
      <c r="Y108">
        <v>555.20799999999997</v>
      </c>
      <c r="Z108" t="s">
        <v>2122</v>
      </c>
      <c r="AA108" t="s">
        <v>2066</v>
      </c>
      <c r="AB108">
        <v>5</v>
      </c>
    </row>
    <row r="109" spans="1:28" x14ac:dyDescent="0.3">
      <c r="A109" t="s">
        <v>236</v>
      </c>
      <c r="B109" t="s">
        <v>66</v>
      </c>
      <c r="C109" t="s">
        <v>237</v>
      </c>
      <c r="D109" t="s">
        <v>2184</v>
      </c>
      <c r="E109">
        <v>52</v>
      </c>
      <c r="F109" t="s">
        <v>52</v>
      </c>
      <c r="G109" t="s">
        <v>42</v>
      </c>
      <c r="H109" t="s">
        <v>238</v>
      </c>
      <c r="I109" t="s">
        <v>239</v>
      </c>
      <c r="J109" t="s">
        <v>713</v>
      </c>
      <c r="K109" s="14">
        <v>45427</v>
      </c>
      <c r="L109" t="s">
        <v>714</v>
      </c>
      <c r="M109" t="s">
        <v>225</v>
      </c>
      <c r="N109">
        <v>461.07</v>
      </c>
      <c r="O109">
        <v>1</v>
      </c>
      <c r="P109" t="s">
        <v>85</v>
      </c>
      <c r="Q109">
        <v>7</v>
      </c>
      <c r="R109">
        <v>57</v>
      </c>
      <c r="S109">
        <v>45434</v>
      </c>
      <c r="T109" t="s">
        <v>715</v>
      </c>
      <c r="U109">
        <v>7</v>
      </c>
      <c r="V109">
        <v>461.07</v>
      </c>
      <c r="W109">
        <v>0.2</v>
      </c>
      <c r="X109">
        <v>368.85599999999999</v>
      </c>
      <c r="Y109">
        <v>425.85599999999999</v>
      </c>
      <c r="Z109" t="s">
        <v>2080</v>
      </c>
      <c r="AA109" t="s">
        <v>2066</v>
      </c>
      <c r="AB109">
        <v>5</v>
      </c>
    </row>
    <row r="110" spans="1:28" x14ac:dyDescent="0.3">
      <c r="A110" t="s">
        <v>716</v>
      </c>
      <c r="B110" t="s">
        <v>717</v>
      </c>
      <c r="C110" t="s">
        <v>718</v>
      </c>
      <c r="D110" t="s">
        <v>2227</v>
      </c>
      <c r="E110">
        <v>32</v>
      </c>
      <c r="F110" t="s">
        <v>41</v>
      </c>
      <c r="G110" t="s">
        <v>30</v>
      </c>
      <c r="H110" t="s">
        <v>719</v>
      </c>
      <c r="I110" t="s">
        <v>720</v>
      </c>
      <c r="J110" t="s">
        <v>721</v>
      </c>
      <c r="K110" s="14">
        <v>45021</v>
      </c>
      <c r="L110" t="s">
        <v>722</v>
      </c>
      <c r="M110" t="s">
        <v>356</v>
      </c>
      <c r="N110">
        <v>496.59</v>
      </c>
      <c r="O110">
        <v>5</v>
      </c>
      <c r="P110" t="s">
        <v>85</v>
      </c>
      <c r="Q110">
        <v>1</v>
      </c>
      <c r="R110">
        <v>40</v>
      </c>
      <c r="S110">
        <v>45025</v>
      </c>
      <c r="T110" t="s">
        <v>723</v>
      </c>
      <c r="U110">
        <v>4</v>
      </c>
      <c r="V110">
        <v>2482.9499999999998</v>
      </c>
      <c r="W110">
        <v>0.2</v>
      </c>
      <c r="X110">
        <v>1986.36</v>
      </c>
      <c r="Y110">
        <v>2026.36</v>
      </c>
      <c r="Z110" t="s">
        <v>2123</v>
      </c>
      <c r="AA110" t="s">
        <v>2061</v>
      </c>
      <c r="AB110">
        <v>4</v>
      </c>
    </row>
    <row r="111" spans="1:28" x14ac:dyDescent="0.3">
      <c r="A111" t="s">
        <v>724</v>
      </c>
      <c r="B111" t="s">
        <v>725</v>
      </c>
      <c r="C111" t="s">
        <v>167</v>
      </c>
      <c r="D111" t="s">
        <v>2228</v>
      </c>
      <c r="E111">
        <v>70</v>
      </c>
      <c r="F111" t="s">
        <v>41</v>
      </c>
      <c r="G111" t="s">
        <v>90</v>
      </c>
      <c r="H111" t="s">
        <v>726</v>
      </c>
      <c r="I111" t="s">
        <v>727</v>
      </c>
      <c r="J111" t="s">
        <v>728</v>
      </c>
      <c r="K111" s="14">
        <v>45005</v>
      </c>
      <c r="L111" t="s">
        <v>729</v>
      </c>
      <c r="M111" t="s">
        <v>182</v>
      </c>
      <c r="N111">
        <v>104.18</v>
      </c>
      <c r="O111">
        <v>2</v>
      </c>
      <c r="P111" t="s">
        <v>36</v>
      </c>
      <c r="Q111">
        <v>2</v>
      </c>
      <c r="R111">
        <v>40</v>
      </c>
      <c r="S111">
        <v>45010</v>
      </c>
      <c r="T111" t="s">
        <v>730</v>
      </c>
      <c r="U111">
        <v>5</v>
      </c>
      <c r="V111">
        <v>208.36</v>
      </c>
      <c r="W111">
        <v>0.08</v>
      </c>
      <c r="X111">
        <v>191.69120000000001</v>
      </c>
      <c r="Y111">
        <v>231.69120000000001</v>
      </c>
      <c r="Z111" t="s">
        <v>2124</v>
      </c>
      <c r="AA111" t="s">
        <v>2061</v>
      </c>
      <c r="AB111">
        <v>3</v>
      </c>
    </row>
    <row r="112" spans="1:28" x14ac:dyDescent="0.3">
      <c r="A112" t="s">
        <v>731</v>
      </c>
      <c r="B112" t="s">
        <v>732</v>
      </c>
      <c r="C112" t="s">
        <v>733</v>
      </c>
      <c r="D112" t="s">
        <v>2229</v>
      </c>
      <c r="E112">
        <v>30</v>
      </c>
      <c r="F112" t="s">
        <v>29</v>
      </c>
      <c r="G112" t="s">
        <v>159</v>
      </c>
      <c r="H112" t="s">
        <v>734</v>
      </c>
      <c r="I112" t="s">
        <v>735</v>
      </c>
      <c r="J112" t="s">
        <v>736</v>
      </c>
      <c r="K112" s="14">
        <v>45406</v>
      </c>
      <c r="L112" t="s">
        <v>737</v>
      </c>
      <c r="M112" t="s">
        <v>738</v>
      </c>
      <c r="N112">
        <v>110.95</v>
      </c>
      <c r="O112">
        <v>2</v>
      </c>
      <c r="P112" t="s">
        <v>36</v>
      </c>
      <c r="Q112">
        <v>4</v>
      </c>
      <c r="R112">
        <v>68</v>
      </c>
      <c r="S112">
        <v>45408</v>
      </c>
      <c r="T112" t="s">
        <v>739</v>
      </c>
      <c r="U112">
        <v>2</v>
      </c>
      <c r="V112">
        <v>221.9</v>
      </c>
      <c r="W112">
        <v>0.08</v>
      </c>
      <c r="X112">
        <v>204.148</v>
      </c>
      <c r="Y112">
        <v>272.14800000000002</v>
      </c>
      <c r="Z112" t="s">
        <v>2125</v>
      </c>
      <c r="AA112" t="s">
        <v>2057</v>
      </c>
      <c r="AB112">
        <v>4</v>
      </c>
    </row>
    <row r="113" spans="1:28" x14ac:dyDescent="0.3">
      <c r="A113" t="s">
        <v>646</v>
      </c>
      <c r="B113" t="s">
        <v>647</v>
      </c>
      <c r="C113" t="s">
        <v>648</v>
      </c>
      <c r="D113" t="s">
        <v>2222</v>
      </c>
      <c r="E113">
        <v>45</v>
      </c>
      <c r="F113" t="s">
        <v>52</v>
      </c>
      <c r="G113" t="s">
        <v>90</v>
      </c>
      <c r="H113" t="s">
        <v>649</v>
      </c>
      <c r="I113" t="s">
        <v>650</v>
      </c>
      <c r="J113" t="s">
        <v>740</v>
      </c>
      <c r="K113" s="14">
        <v>45665</v>
      </c>
      <c r="L113" t="s">
        <v>741</v>
      </c>
      <c r="M113" t="s">
        <v>356</v>
      </c>
      <c r="N113">
        <v>496.59</v>
      </c>
      <c r="O113">
        <v>2</v>
      </c>
      <c r="P113" t="s">
        <v>63</v>
      </c>
      <c r="Q113">
        <v>5</v>
      </c>
      <c r="R113">
        <v>40</v>
      </c>
      <c r="S113">
        <v>45667</v>
      </c>
      <c r="T113" t="s">
        <v>742</v>
      </c>
      <c r="U113">
        <v>2</v>
      </c>
      <c r="V113">
        <v>993.18</v>
      </c>
      <c r="W113">
        <v>0</v>
      </c>
      <c r="X113">
        <v>993.18</v>
      </c>
      <c r="Y113">
        <v>993.18</v>
      </c>
      <c r="Z113" t="s">
        <v>2118</v>
      </c>
      <c r="AA113" t="s">
        <v>2057</v>
      </c>
      <c r="AB113">
        <v>1</v>
      </c>
    </row>
    <row r="114" spans="1:28" x14ac:dyDescent="0.3">
      <c r="A114" t="s">
        <v>490</v>
      </c>
      <c r="B114" t="s">
        <v>186</v>
      </c>
      <c r="C114" t="s">
        <v>327</v>
      </c>
      <c r="D114" t="s">
        <v>2210</v>
      </c>
      <c r="E114">
        <v>39</v>
      </c>
      <c r="F114" t="s">
        <v>52</v>
      </c>
      <c r="G114" t="s">
        <v>42</v>
      </c>
      <c r="H114" t="s">
        <v>491</v>
      </c>
      <c r="I114" t="s">
        <v>492</v>
      </c>
      <c r="J114" t="s">
        <v>743</v>
      </c>
      <c r="K114" s="14">
        <v>45397</v>
      </c>
      <c r="L114" t="s">
        <v>744</v>
      </c>
      <c r="M114" t="s">
        <v>126</v>
      </c>
      <c r="N114">
        <v>257.06</v>
      </c>
      <c r="O114">
        <v>4</v>
      </c>
      <c r="P114" t="s">
        <v>85</v>
      </c>
      <c r="Q114">
        <v>3</v>
      </c>
      <c r="R114">
        <v>50</v>
      </c>
      <c r="S114">
        <v>45401</v>
      </c>
      <c r="T114" t="s">
        <v>745</v>
      </c>
      <c r="U114">
        <v>4</v>
      </c>
      <c r="V114">
        <v>1028.24</v>
      </c>
      <c r="W114">
        <v>0.2</v>
      </c>
      <c r="X114">
        <v>822.59199999999998</v>
      </c>
      <c r="Y114">
        <v>872.59199999999998</v>
      </c>
      <c r="Z114" t="s">
        <v>2106</v>
      </c>
      <c r="AA114" t="s">
        <v>2061</v>
      </c>
      <c r="AB114">
        <v>4</v>
      </c>
    </row>
    <row r="115" spans="1:28" x14ac:dyDescent="0.3">
      <c r="A115" t="s">
        <v>622</v>
      </c>
      <c r="B115" t="s">
        <v>129</v>
      </c>
      <c r="C115" t="s">
        <v>623</v>
      </c>
      <c r="D115" t="s">
        <v>2220</v>
      </c>
      <c r="E115">
        <v>47</v>
      </c>
      <c r="F115" t="s">
        <v>52</v>
      </c>
      <c r="G115" t="s">
        <v>76</v>
      </c>
      <c r="H115" t="s">
        <v>624</v>
      </c>
      <c r="I115" t="s">
        <v>625</v>
      </c>
      <c r="J115" t="s">
        <v>746</v>
      </c>
      <c r="K115" s="14">
        <v>45397</v>
      </c>
      <c r="L115" t="s">
        <v>747</v>
      </c>
      <c r="M115" t="s">
        <v>748</v>
      </c>
      <c r="N115">
        <v>381.73</v>
      </c>
      <c r="O115">
        <v>4</v>
      </c>
      <c r="P115" t="s">
        <v>96</v>
      </c>
      <c r="Q115">
        <v>1</v>
      </c>
      <c r="R115">
        <v>66</v>
      </c>
      <c r="S115">
        <v>45400</v>
      </c>
      <c r="T115" t="s">
        <v>749</v>
      </c>
      <c r="U115">
        <v>3</v>
      </c>
      <c r="V115">
        <v>1526.92</v>
      </c>
      <c r="W115">
        <v>0.1</v>
      </c>
      <c r="X115">
        <v>1374.2280000000001</v>
      </c>
      <c r="Y115">
        <v>1440.2280000000001</v>
      </c>
      <c r="Z115" t="s">
        <v>2116</v>
      </c>
      <c r="AA115" t="s">
        <v>2061</v>
      </c>
      <c r="AB115">
        <v>4</v>
      </c>
    </row>
    <row r="116" spans="1:28" x14ac:dyDescent="0.3">
      <c r="A116" t="s">
        <v>750</v>
      </c>
      <c r="B116" t="s">
        <v>751</v>
      </c>
      <c r="C116" t="s">
        <v>752</v>
      </c>
      <c r="D116" t="s">
        <v>2230</v>
      </c>
      <c r="E116">
        <v>43</v>
      </c>
      <c r="F116" t="s">
        <v>52</v>
      </c>
      <c r="G116" t="s">
        <v>159</v>
      </c>
      <c r="H116" t="s">
        <v>753</v>
      </c>
      <c r="I116" t="s">
        <v>754</v>
      </c>
      <c r="J116" t="s">
        <v>755</v>
      </c>
      <c r="K116" s="14">
        <v>45276</v>
      </c>
      <c r="L116" t="s">
        <v>756</v>
      </c>
      <c r="M116" t="s">
        <v>383</v>
      </c>
      <c r="N116">
        <v>431.44</v>
      </c>
      <c r="O116">
        <v>5</v>
      </c>
      <c r="P116" t="s">
        <v>58</v>
      </c>
      <c r="Q116">
        <v>4</v>
      </c>
      <c r="R116">
        <v>42</v>
      </c>
      <c r="S116">
        <v>45280</v>
      </c>
      <c r="T116" t="s">
        <v>757</v>
      </c>
      <c r="U116">
        <v>4</v>
      </c>
      <c r="V116">
        <v>2157.1999999999998</v>
      </c>
      <c r="W116">
        <v>0.15</v>
      </c>
      <c r="X116">
        <v>1833.62</v>
      </c>
      <c r="Y116">
        <v>1875.62</v>
      </c>
      <c r="Z116" t="s">
        <v>2126</v>
      </c>
      <c r="AA116" t="s">
        <v>2066</v>
      </c>
      <c r="AB116">
        <v>12</v>
      </c>
    </row>
    <row r="117" spans="1:28" x14ac:dyDescent="0.3">
      <c r="A117" t="s">
        <v>535</v>
      </c>
      <c r="B117" t="s">
        <v>536</v>
      </c>
      <c r="C117" t="s">
        <v>537</v>
      </c>
      <c r="D117" t="s">
        <v>2215</v>
      </c>
      <c r="E117">
        <v>32</v>
      </c>
      <c r="F117" t="s">
        <v>52</v>
      </c>
      <c r="G117" t="s">
        <v>90</v>
      </c>
      <c r="H117" t="s">
        <v>538</v>
      </c>
      <c r="I117" t="s">
        <v>539</v>
      </c>
      <c r="J117" t="s">
        <v>758</v>
      </c>
      <c r="K117" s="14">
        <v>45131</v>
      </c>
      <c r="L117" t="s">
        <v>759</v>
      </c>
      <c r="M117" t="s">
        <v>135</v>
      </c>
      <c r="N117">
        <v>175.93</v>
      </c>
      <c r="O117">
        <v>5</v>
      </c>
      <c r="P117" t="s">
        <v>63</v>
      </c>
      <c r="Q117">
        <v>5</v>
      </c>
      <c r="R117">
        <v>63</v>
      </c>
      <c r="S117">
        <v>45138</v>
      </c>
      <c r="T117" t="s">
        <v>760</v>
      </c>
      <c r="U117">
        <v>7</v>
      </c>
      <c r="V117">
        <v>879.65000000000009</v>
      </c>
      <c r="W117">
        <v>0</v>
      </c>
      <c r="X117">
        <v>879.65000000000009</v>
      </c>
      <c r="Y117">
        <v>879.65000000000009</v>
      </c>
      <c r="Z117" t="s">
        <v>2111</v>
      </c>
      <c r="AA117" t="s">
        <v>2061</v>
      </c>
      <c r="AB117">
        <v>7</v>
      </c>
    </row>
    <row r="118" spans="1:28" x14ac:dyDescent="0.3">
      <c r="A118" t="s">
        <v>119</v>
      </c>
      <c r="B118" t="s">
        <v>120</v>
      </c>
      <c r="C118" t="s">
        <v>121</v>
      </c>
      <c r="D118" t="s">
        <v>2171</v>
      </c>
      <c r="E118">
        <v>20</v>
      </c>
      <c r="F118" t="s">
        <v>29</v>
      </c>
      <c r="G118" t="s">
        <v>90</v>
      </c>
      <c r="H118" t="s">
        <v>122</v>
      </c>
      <c r="I118" t="s">
        <v>123</v>
      </c>
      <c r="J118" t="s">
        <v>761</v>
      </c>
      <c r="K118" s="14">
        <v>45156</v>
      </c>
      <c r="L118" t="s">
        <v>762</v>
      </c>
      <c r="M118" t="s">
        <v>57</v>
      </c>
      <c r="N118">
        <v>202.54</v>
      </c>
      <c r="O118">
        <v>5</v>
      </c>
      <c r="P118" t="s">
        <v>36</v>
      </c>
      <c r="Q118">
        <v>2</v>
      </c>
      <c r="R118">
        <v>68</v>
      </c>
      <c r="S118">
        <v>45159</v>
      </c>
      <c r="T118" t="s">
        <v>763</v>
      </c>
      <c r="U118">
        <v>3</v>
      </c>
      <c r="V118">
        <v>1012.6999999999999</v>
      </c>
      <c r="W118">
        <v>0.08</v>
      </c>
      <c r="X118">
        <v>931.68399999999997</v>
      </c>
      <c r="Y118">
        <v>999.68399999999997</v>
      </c>
      <c r="Z118" t="s">
        <v>2067</v>
      </c>
      <c r="AA118" t="s">
        <v>2061</v>
      </c>
      <c r="AB118">
        <v>8</v>
      </c>
    </row>
    <row r="119" spans="1:28" x14ac:dyDescent="0.3">
      <c r="A119" t="s">
        <v>603</v>
      </c>
      <c r="B119" t="s">
        <v>604</v>
      </c>
      <c r="C119" t="s">
        <v>403</v>
      </c>
      <c r="D119" t="s">
        <v>2219</v>
      </c>
      <c r="E119">
        <v>18</v>
      </c>
      <c r="F119" t="s">
        <v>41</v>
      </c>
      <c r="G119" t="s">
        <v>42</v>
      </c>
      <c r="H119" t="s">
        <v>605</v>
      </c>
      <c r="I119" t="s">
        <v>606</v>
      </c>
      <c r="J119" t="s">
        <v>764</v>
      </c>
      <c r="K119" s="14">
        <v>45023</v>
      </c>
      <c r="L119" t="s">
        <v>765</v>
      </c>
      <c r="M119" t="s">
        <v>126</v>
      </c>
      <c r="N119">
        <v>257.06</v>
      </c>
      <c r="O119">
        <v>4</v>
      </c>
      <c r="P119" t="s">
        <v>96</v>
      </c>
      <c r="Q119">
        <v>1</v>
      </c>
      <c r="R119">
        <v>65</v>
      </c>
      <c r="S119">
        <v>45025</v>
      </c>
      <c r="T119" t="s">
        <v>766</v>
      </c>
      <c r="U119">
        <v>2</v>
      </c>
      <c r="V119">
        <v>1028.24</v>
      </c>
      <c r="W119">
        <v>0.1</v>
      </c>
      <c r="X119">
        <v>925.41599999999994</v>
      </c>
      <c r="Y119">
        <v>990.41599999999994</v>
      </c>
      <c r="Z119" t="s">
        <v>2115</v>
      </c>
      <c r="AA119" t="s">
        <v>2061</v>
      </c>
      <c r="AB119">
        <v>4</v>
      </c>
    </row>
    <row r="120" spans="1:28" x14ac:dyDescent="0.3">
      <c r="A120" t="s">
        <v>767</v>
      </c>
      <c r="B120" t="s">
        <v>768</v>
      </c>
      <c r="C120" t="s">
        <v>769</v>
      </c>
      <c r="D120" t="s">
        <v>2231</v>
      </c>
      <c r="E120">
        <v>27</v>
      </c>
      <c r="F120" t="s">
        <v>29</v>
      </c>
      <c r="G120" t="s">
        <v>42</v>
      </c>
      <c r="H120" t="s">
        <v>770</v>
      </c>
      <c r="I120" t="s">
        <v>771</v>
      </c>
      <c r="J120" t="s">
        <v>772</v>
      </c>
      <c r="K120" s="14">
        <v>45183</v>
      </c>
      <c r="L120" t="s">
        <v>773</v>
      </c>
      <c r="M120" t="s">
        <v>774</v>
      </c>
      <c r="N120">
        <v>20</v>
      </c>
      <c r="O120">
        <v>1</v>
      </c>
      <c r="P120" t="s">
        <v>96</v>
      </c>
      <c r="Q120">
        <v>4</v>
      </c>
      <c r="R120">
        <v>68</v>
      </c>
      <c r="S120">
        <v>45185</v>
      </c>
      <c r="T120" t="s">
        <v>775</v>
      </c>
      <c r="U120">
        <v>2</v>
      </c>
      <c r="V120">
        <v>20</v>
      </c>
      <c r="W120">
        <v>0.1</v>
      </c>
      <c r="X120">
        <v>18</v>
      </c>
      <c r="Y120">
        <v>86</v>
      </c>
      <c r="Z120" t="s">
        <v>2127</v>
      </c>
      <c r="AA120" t="s">
        <v>2057</v>
      </c>
      <c r="AB120">
        <v>9</v>
      </c>
    </row>
    <row r="121" spans="1:28" x14ac:dyDescent="0.3">
      <c r="A121" t="s">
        <v>776</v>
      </c>
      <c r="B121" t="s">
        <v>777</v>
      </c>
      <c r="C121" t="s">
        <v>778</v>
      </c>
      <c r="D121" t="s">
        <v>2232</v>
      </c>
      <c r="E121">
        <v>32</v>
      </c>
      <c r="F121" t="s">
        <v>29</v>
      </c>
      <c r="G121" t="s">
        <v>159</v>
      </c>
      <c r="H121" t="s">
        <v>779</v>
      </c>
      <c r="I121" t="s">
        <v>780</v>
      </c>
      <c r="J121" t="s">
        <v>781</v>
      </c>
      <c r="K121" s="14">
        <v>45106</v>
      </c>
      <c r="L121" t="s">
        <v>782</v>
      </c>
      <c r="M121" t="s">
        <v>199</v>
      </c>
      <c r="N121">
        <v>20.7</v>
      </c>
      <c r="O121">
        <v>2</v>
      </c>
      <c r="P121" t="s">
        <v>63</v>
      </c>
      <c r="Q121">
        <v>7</v>
      </c>
      <c r="R121">
        <v>43</v>
      </c>
      <c r="S121">
        <v>45107</v>
      </c>
      <c r="T121" t="s">
        <v>783</v>
      </c>
      <c r="U121">
        <v>1</v>
      </c>
      <c r="V121">
        <v>41.4</v>
      </c>
      <c r="W121">
        <v>0</v>
      </c>
      <c r="X121">
        <v>41.4</v>
      </c>
      <c r="Y121">
        <v>41.4</v>
      </c>
      <c r="Z121" t="s">
        <v>2128</v>
      </c>
      <c r="AA121" t="s">
        <v>2057</v>
      </c>
      <c r="AB121">
        <v>6</v>
      </c>
    </row>
    <row r="122" spans="1:28" x14ac:dyDescent="0.3">
      <c r="A122" t="s">
        <v>156</v>
      </c>
      <c r="B122" t="s">
        <v>157</v>
      </c>
      <c r="C122" t="s">
        <v>158</v>
      </c>
      <c r="D122" t="s">
        <v>2175</v>
      </c>
      <c r="E122">
        <v>24</v>
      </c>
      <c r="F122" t="s">
        <v>29</v>
      </c>
      <c r="G122" t="s">
        <v>159</v>
      </c>
      <c r="H122" t="s">
        <v>160</v>
      </c>
      <c r="I122" t="s">
        <v>161</v>
      </c>
      <c r="J122" t="s">
        <v>784</v>
      </c>
      <c r="K122" s="14">
        <v>45003</v>
      </c>
      <c r="L122" t="s">
        <v>785</v>
      </c>
      <c r="M122" t="s">
        <v>748</v>
      </c>
      <c r="N122">
        <v>381.73</v>
      </c>
      <c r="O122">
        <v>2</v>
      </c>
      <c r="P122" t="s">
        <v>63</v>
      </c>
      <c r="Q122">
        <v>6</v>
      </c>
      <c r="R122">
        <v>41</v>
      </c>
      <c r="S122">
        <v>45008</v>
      </c>
      <c r="T122" t="s">
        <v>786</v>
      </c>
      <c r="U122">
        <v>5</v>
      </c>
      <c r="V122">
        <v>763.46</v>
      </c>
      <c r="W122">
        <v>0</v>
      </c>
      <c r="X122">
        <v>763.46</v>
      </c>
      <c r="Y122">
        <v>763.46</v>
      </c>
      <c r="Z122" t="s">
        <v>2071</v>
      </c>
      <c r="AA122" t="s">
        <v>2057</v>
      </c>
      <c r="AB122">
        <v>3</v>
      </c>
    </row>
    <row r="123" spans="1:28" x14ac:dyDescent="0.3">
      <c r="A123" t="s">
        <v>293</v>
      </c>
      <c r="B123" t="s">
        <v>294</v>
      </c>
      <c r="C123" t="s">
        <v>295</v>
      </c>
      <c r="D123" t="s">
        <v>2189</v>
      </c>
      <c r="E123">
        <v>48</v>
      </c>
      <c r="F123" t="s">
        <v>41</v>
      </c>
      <c r="G123" t="s">
        <v>90</v>
      </c>
      <c r="H123" t="s">
        <v>296</v>
      </c>
      <c r="I123" t="s">
        <v>297</v>
      </c>
      <c r="J123" t="s">
        <v>787</v>
      </c>
      <c r="K123" s="14">
        <v>45499</v>
      </c>
      <c r="L123" t="s">
        <v>788</v>
      </c>
      <c r="M123" t="s">
        <v>323</v>
      </c>
      <c r="N123">
        <v>481.48</v>
      </c>
      <c r="O123">
        <v>1</v>
      </c>
      <c r="P123" t="s">
        <v>36</v>
      </c>
      <c r="Q123">
        <v>1</v>
      </c>
      <c r="R123">
        <v>69</v>
      </c>
      <c r="S123">
        <v>45503</v>
      </c>
      <c r="T123" t="s">
        <v>789</v>
      </c>
      <c r="U123">
        <v>4</v>
      </c>
      <c r="V123">
        <v>481.48</v>
      </c>
      <c r="W123">
        <v>0.08</v>
      </c>
      <c r="X123">
        <v>442.96160000000003</v>
      </c>
      <c r="Y123">
        <v>511.96160000000003</v>
      </c>
      <c r="Z123" t="s">
        <v>2085</v>
      </c>
      <c r="AA123" t="s">
        <v>2061</v>
      </c>
      <c r="AB123">
        <v>7</v>
      </c>
    </row>
    <row r="124" spans="1:28" x14ac:dyDescent="0.3">
      <c r="A124" t="s">
        <v>528</v>
      </c>
      <c r="B124" t="s">
        <v>394</v>
      </c>
      <c r="C124" t="s">
        <v>529</v>
      </c>
      <c r="D124" t="s">
        <v>2214</v>
      </c>
      <c r="E124">
        <v>51</v>
      </c>
      <c r="F124" t="s">
        <v>52</v>
      </c>
      <c r="G124" t="s">
        <v>140</v>
      </c>
      <c r="H124" t="s">
        <v>530</v>
      </c>
      <c r="I124" t="s">
        <v>531</v>
      </c>
      <c r="J124" t="s">
        <v>790</v>
      </c>
      <c r="K124" s="14">
        <v>45335</v>
      </c>
      <c r="L124" t="s">
        <v>791</v>
      </c>
      <c r="M124" t="s">
        <v>340</v>
      </c>
      <c r="N124">
        <v>77.84</v>
      </c>
      <c r="O124">
        <v>2</v>
      </c>
      <c r="P124" t="s">
        <v>36</v>
      </c>
      <c r="Q124">
        <v>6</v>
      </c>
      <c r="R124">
        <v>36</v>
      </c>
      <c r="S124">
        <v>45341</v>
      </c>
      <c r="T124" t="s">
        <v>792</v>
      </c>
      <c r="U124">
        <v>6</v>
      </c>
      <c r="V124">
        <v>155.68</v>
      </c>
      <c r="W124">
        <v>0.08</v>
      </c>
      <c r="X124">
        <v>143.22560000000001</v>
      </c>
      <c r="Y124">
        <v>179.22560000000001</v>
      </c>
      <c r="Z124" t="s">
        <v>2110</v>
      </c>
      <c r="AA124" t="s">
        <v>2066</v>
      </c>
      <c r="AB124">
        <v>2</v>
      </c>
    </row>
    <row r="125" spans="1:28" x14ac:dyDescent="0.3">
      <c r="A125" t="s">
        <v>393</v>
      </c>
      <c r="B125" t="s">
        <v>394</v>
      </c>
      <c r="C125" t="s">
        <v>395</v>
      </c>
      <c r="D125" t="s">
        <v>2199</v>
      </c>
      <c r="E125">
        <v>40</v>
      </c>
      <c r="F125" t="s">
        <v>52</v>
      </c>
      <c r="G125" t="s">
        <v>168</v>
      </c>
      <c r="H125" t="s">
        <v>396</v>
      </c>
      <c r="I125" t="s">
        <v>397</v>
      </c>
      <c r="J125" t="s">
        <v>793</v>
      </c>
      <c r="K125" s="14">
        <v>45186</v>
      </c>
      <c r="L125" t="s">
        <v>794</v>
      </c>
      <c r="M125" t="s">
        <v>514</v>
      </c>
      <c r="N125">
        <v>136.30000000000001</v>
      </c>
      <c r="O125">
        <v>1</v>
      </c>
      <c r="P125" t="s">
        <v>85</v>
      </c>
      <c r="Q125">
        <v>4</v>
      </c>
      <c r="R125">
        <v>41</v>
      </c>
      <c r="S125">
        <v>45189</v>
      </c>
      <c r="T125" t="s">
        <v>795</v>
      </c>
      <c r="U125">
        <v>3</v>
      </c>
      <c r="V125">
        <v>136.30000000000001</v>
      </c>
      <c r="W125">
        <v>0.2</v>
      </c>
      <c r="X125">
        <v>109.04</v>
      </c>
      <c r="Y125">
        <v>150.04000000000002</v>
      </c>
      <c r="Z125" t="s">
        <v>2095</v>
      </c>
      <c r="AA125" t="s">
        <v>2057</v>
      </c>
      <c r="AB125">
        <v>9</v>
      </c>
    </row>
    <row r="126" spans="1:28" x14ac:dyDescent="0.3">
      <c r="A126" t="s">
        <v>412</v>
      </c>
      <c r="B126" t="s">
        <v>228</v>
      </c>
      <c r="C126" t="s">
        <v>413</v>
      </c>
      <c r="D126" t="s">
        <v>2201</v>
      </c>
      <c r="E126">
        <v>28</v>
      </c>
      <c r="F126" t="s">
        <v>52</v>
      </c>
      <c r="G126" t="s">
        <v>140</v>
      </c>
      <c r="H126" t="s">
        <v>414</v>
      </c>
      <c r="I126" t="s">
        <v>415</v>
      </c>
      <c r="J126" t="s">
        <v>796</v>
      </c>
      <c r="K126" s="14">
        <v>45213</v>
      </c>
      <c r="L126" t="s">
        <v>797</v>
      </c>
      <c r="M126" t="s">
        <v>686</v>
      </c>
      <c r="N126">
        <v>424.82</v>
      </c>
      <c r="O126">
        <v>3</v>
      </c>
      <c r="P126" t="s">
        <v>36</v>
      </c>
      <c r="Q126">
        <v>2</v>
      </c>
      <c r="R126">
        <v>67</v>
      </c>
      <c r="S126">
        <v>45215</v>
      </c>
      <c r="T126" t="s">
        <v>798</v>
      </c>
      <c r="U126">
        <v>2</v>
      </c>
      <c r="V126">
        <v>1274.46</v>
      </c>
      <c r="W126">
        <v>0.08</v>
      </c>
      <c r="X126">
        <v>1172.5032000000001</v>
      </c>
      <c r="Y126">
        <v>1239.5032000000001</v>
      </c>
      <c r="Z126" t="s">
        <v>2097</v>
      </c>
      <c r="AA126" t="s">
        <v>2066</v>
      </c>
      <c r="AB126">
        <v>10</v>
      </c>
    </row>
    <row r="127" spans="1:28" x14ac:dyDescent="0.3">
      <c r="A127" t="s">
        <v>192</v>
      </c>
      <c r="B127" t="s">
        <v>193</v>
      </c>
      <c r="C127" t="s">
        <v>194</v>
      </c>
      <c r="D127" t="s">
        <v>2179</v>
      </c>
      <c r="E127">
        <v>34</v>
      </c>
      <c r="F127" t="s">
        <v>29</v>
      </c>
      <c r="G127" t="s">
        <v>90</v>
      </c>
      <c r="H127" t="s">
        <v>195</v>
      </c>
      <c r="I127" t="s">
        <v>196</v>
      </c>
      <c r="J127" t="s">
        <v>799</v>
      </c>
      <c r="K127" s="14">
        <v>45667</v>
      </c>
      <c r="L127" t="s">
        <v>800</v>
      </c>
      <c r="M127" t="s">
        <v>514</v>
      </c>
      <c r="N127">
        <v>136.30000000000001</v>
      </c>
      <c r="O127">
        <v>2</v>
      </c>
      <c r="P127" t="s">
        <v>96</v>
      </c>
      <c r="Q127">
        <v>3</v>
      </c>
      <c r="R127">
        <v>68</v>
      </c>
      <c r="S127">
        <v>45674</v>
      </c>
      <c r="T127" t="s">
        <v>801</v>
      </c>
      <c r="U127">
        <v>7</v>
      </c>
      <c r="V127">
        <v>272.60000000000002</v>
      </c>
      <c r="W127">
        <v>0.1</v>
      </c>
      <c r="X127">
        <v>245.34000000000003</v>
      </c>
      <c r="Y127">
        <v>313.34000000000003</v>
      </c>
      <c r="Z127" t="s">
        <v>2075</v>
      </c>
      <c r="AA127" t="s">
        <v>2061</v>
      </c>
      <c r="AB127">
        <v>1</v>
      </c>
    </row>
    <row r="128" spans="1:28" x14ac:dyDescent="0.3">
      <c r="A128" t="s">
        <v>147</v>
      </c>
      <c r="B128" t="s">
        <v>148</v>
      </c>
      <c r="C128" t="s">
        <v>149</v>
      </c>
      <c r="D128" t="s">
        <v>2174</v>
      </c>
      <c r="E128">
        <v>44</v>
      </c>
      <c r="F128" t="s">
        <v>41</v>
      </c>
      <c r="G128" t="s">
        <v>90</v>
      </c>
      <c r="H128" t="s">
        <v>150</v>
      </c>
      <c r="I128" t="s">
        <v>151</v>
      </c>
      <c r="J128" t="s">
        <v>802</v>
      </c>
      <c r="K128" s="14">
        <v>45636</v>
      </c>
      <c r="L128" t="s">
        <v>803</v>
      </c>
      <c r="M128" t="s">
        <v>383</v>
      </c>
      <c r="N128">
        <v>431.44</v>
      </c>
      <c r="O128">
        <v>4</v>
      </c>
      <c r="P128" t="s">
        <v>58</v>
      </c>
      <c r="Q128">
        <v>2</v>
      </c>
      <c r="R128">
        <v>66</v>
      </c>
      <c r="S128">
        <v>45637</v>
      </c>
      <c r="T128" t="s">
        <v>804</v>
      </c>
      <c r="U128">
        <v>1</v>
      </c>
      <c r="V128">
        <v>1725.76</v>
      </c>
      <c r="W128">
        <v>0.15</v>
      </c>
      <c r="X128">
        <v>1466.896</v>
      </c>
      <c r="Y128">
        <v>1532.896</v>
      </c>
      <c r="Z128" t="s">
        <v>2070</v>
      </c>
      <c r="AA128" t="s">
        <v>2057</v>
      </c>
      <c r="AB128">
        <v>12</v>
      </c>
    </row>
    <row r="129" spans="1:28" x14ac:dyDescent="0.3">
      <c r="A129" t="s">
        <v>705</v>
      </c>
      <c r="B129" t="s">
        <v>706</v>
      </c>
      <c r="C129" t="s">
        <v>707</v>
      </c>
      <c r="D129" t="s">
        <v>2226</v>
      </c>
      <c r="E129">
        <v>26</v>
      </c>
      <c r="F129" t="s">
        <v>52</v>
      </c>
      <c r="G129" t="s">
        <v>76</v>
      </c>
      <c r="H129" t="s">
        <v>708</v>
      </c>
      <c r="I129" t="s">
        <v>709</v>
      </c>
      <c r="J129" t="s">
        <v>805</v>
      </c>
      <c r="K129" s="14">
        <v>45450</v>
      </c>
      <c r="L129" t="s">
        <v>806</v>
      </c>
      <c r="M129" t="s">
        <v>234</v>
      </c>
      <c r="N129">
        <v>132.97</v>
      </c>
      <c r="O129">
        <v>5</v>
      </c>
      <c r="P129" t="s">
        <v>85</v>
      </c>
      <c r="Q129">
        <v>3</v>
      </c>
      <c r="R129">
        <v>45</v>
      </c>
      <c r="S129">
        <v>45452</v>
      </c>
      <c r="T129" t="s">
        <v>807</v>
      </c>
      <c r="U129">
        <v>2</v>
      </c>
      <c r="V129">
        <v>664.85</v>
      </c>
      <c r="W129">
        <v>0.2</v>
      </c>
      <c r="X129">
        <v>531.88</v>
      </c>
      <c r="Y129">
        <v>576.88</v>
      </c>
      <c r="Z129" t="s">
        <v>2122</v>
      </c>
      <c r="AA129" t="s">
        <v>2057</v>
      </c>
      <c r="AB129">
        <v>6</v>
      </c>
    </row>
    <row r="130" spans="1:28" x14ac:dyDescent="0.3">
      <c r="A130" t="s">
        <v>528</v>
      </c>
      <c r="B130" t="s">
        <v>394</v>
      </c>
      <c r="C130" t="s">
        <v>529</v>
      </c>
      <c r="D130" t="s">
        <v>2214</v>
      </c>
      <c r="E130">
        <v>51</v>
      </c>
      <c r="F130" t="s">
        <v>52</v>
      </c>
      <c r="G130" t="s">
        <v>140</v>
      </c>
      <c r="H130" t="s">
        <v>530</v>
      </c>
      <c r="I130" t="s">
        <v>531</v>
      </c>
      <c r="J130" t="s">
        <v>808</v>
      </c>
      <c r="K130" s="14">
        <v>45598</v>
      </c>
      <c r="L130" t="s">
        <v>809</v>
      </c>
      <c r="M130" t="s">
        <v>173</v>
      </c>
      <c r="N130">
        <v>272.51</v>
      </c>
      <c r="O130">
        <v>4</v>
      </c>
      <c r="P130" t="s">
        <v>63</v>
      </c>
      <c r="Q130">
        <v>2</v>
      </c>
      <c r="R130">
        <v>42</v>
      </c>
      <c r="S130">
        <v>45599</v>
      </c>
      <c r="T130" t="s">
        <v>810</v>
      </c>
      <c r="U130">
        <v>1</v>
      </c>
      <c r="V130">
        <v>1090.04</v>
      </c>
      <c r="W130">
        <v>0</v>
      </c>
      <c r="X130">
        <v>1090.04</v>
      </c>
      <c r="Y130">
        <v>1090.04</v>
      </c>
      <c r="Z130" t="s">
        <v>2110</v>
      </c>
      <c r="AA130" t="s">
        <v>2057</v>
      </c>
      <c r="AB130">
        <v>11</v>
      </c>
    </row>
    <row r="131" spans="1:28" x14ac:dyDescent="0.3">
      <c r="A131" t="s">
        <v>38</v>
      </c>
      <c r="B131" t="s">
        <v>39</v>
      </c>
      <c r="C131" t="s">
        <v>40</v>
      </c>
      <c r="D131" t="s">
        <v>2164</v>
      </c>
      <c r="E131">
        <v>53</v>
      </c>
      <c r="F131" t="s">
        <v>41</v>
      </c>
      <c r="G131" t="s">
        <v>42</v>
      </c>
      <c r="H131" t="s">
        <v>43</v>
      </c>
      <c r="I131" t="s">
        <v>44</v>
      </c>
      <c r="J131" t="s">
        <v>811</v>
      </c>
      <c r="K131" s="14">
        <v>45589</v>
      </c>
      <c r="L131" t="s">
        <v>812</v>
      </c>
      <c r="M131" t="s">
        <v>57</v>
      </c>
      <c r="N131">
        <v>202.54</v>
      </c>
      <c r="O131">
        <v>2</v>
      </c>
      <c r="P131" t="s">
        <v>85</v>
      </c>
      <c r="Q131">
        <v>6</v>
      </c>
      <c r="R131">
        <v>70</v>
      </c>
      <c r="S131">
        <v>45594</v>
      </c>
      <c r="T131" t="s">
        <v>813</v>
      </c>
      <c r="U131">
        <v>5</v>
      </c>
      <c r="V131">
        <v>405.08</v>
      </c>
      <c r="W131">
        <v>0.2</v>
      </c>
      <c r="X131">
        <v>324.06399999999996</v>
      </c>
      <c r="Y131">
        <v>394.06399999999996</v>
      </c>
      <c r="Z131" t="s">
        <v>2058</v>
      </c>
      <c r="AA131" t="s">
        <v>2057</v>
      </c>
      <c r="AB131">
        <v>10</v>
      </c>
    </row>
    <row r="132" spans="1:28" x14ac:dyDescent="0.3">
      <c r="A132" t="s">
        <v>98</v>
      </c>
      <c r="B132" t="s">
        <v>99</v>
      </c>
      <c r="C132" t="s">
        <v>100</v>
      </c>
      <c r="D132" t="s">
        <v>2169</v>
      </c>
      <c r="E132">
        <v>39</v>
      </c>
      <c r="F132" t="s">
        <v>29</v>
      </c>
      <c r="G132" t="s">
        <v>30</v>
      </c>
      <c r="H132" t="s">
        <v>101</v>
      </c>
      <c r="I132" t="s">
        <v>102</v>
      </c>
      <c r="J132" t="s">
        <v>814</v>
      </c>
      <c r="K132" s="14">
        <v>45689</v>
      </c>
      <c r="L132" t="s">
        <v>815</v>
      </c>
      <c r="M132" t="s">
        <v>514</v>
      </c>
      <c r="N132">
        <v>136.30000000000001</v>
      </c>
      <c r="O132">
        <v>2</v>
      </c>
      <c r="P132" t="s">
        <v>96</v>
      </c>
      <c r="Q132">
        <v>2</v>
      </c>
      <c r="R132">
        <v>51</v>
      </c>
      <c r="S132">
        <v>45694</v>
      </c>
      <c r="T132" t="s">
        <v>816</v>
      </c>
      <c r="U132">
        <v>5</v>
      </c>
      <c r="V132">
        <v>272.60000000000002</v>
      </c>
      <c r="W132">
        <v>0.1</v>
      </c>
      <c r="X132">
        <v>245.34000000000003</v>
      </c>
      <c r="Y132">
        <v>296.34000000000003</v>
      </c>
      <c r="Z132" t="s">
        <v>2064</v>
      </c>
      <c r="AA132" t="s">
        <v>2061</v>
      </c>
      <c r="AB132">
        <v>2</v>
      </c>
    </row>
    <row r="133" spans="1:28" x14ac:dyDescent="0.3">
      <c r="A133" t="s">
        <v>227</v>
      </c>
      <c r="B133" t="s">
        <v>228</v>
      </c>
      <c r="C133" t="s">
        <v>229</v>
      </c>
      <c r="D133" t="s">
        <v>2183</v>
      </c>
      <c r="E133">
        <v>64</v>
      </c>
      <c r="F133" t="s">
        <v>41</v>
      </c>
      <c r="G133" t="s">
        <v>42</v>
      </c>
      <c r="H133" t="s">
        <v>230</v>
      </c>
      <c r="I133" t="s">
        <v>231</v>
      </c>
      <c r="J133" t="s">
        <v>817</v>
      </c>
      <c r="K133" s="14">
        <v>45094</v>
      </c>
      <c r="L133" t="s">
        <v>818</v>
      </c>
      <c r="M133" t="s">
        <v>590</v>
      </c>
      <c r="N133">
        <v>403.03</v>
      </c>
      <c r="O133">
        <v>5</v>
      </c>
      <c r="P133" t="s">
        <v>63</v>
      </c>
      <c r="Q133">
        <v>7</v>
      </c>
      <c r="R133">
        <v>52</v>
      </c>
      <c r="S133">
        <v>45097</v>
      </c>
      <c r="T133" t="s">
        <v>819</v>
      </c>
      <c r="U133">
        <v>3</v>
      </c>
      <c r="V133">
        <v>2015.1499999999999</v>
      </c>
      <c r="W133">
        <v>0</v>
      </c>
      <c r="X133">
        <v>2015.1499999999999</v>
      </c>
      <c r="Y133">
        <v>2015.1499999999999</v>
      </c>
      <c r="Z133" t="s">
        <v>2079</v>
      </c>
      <c r="AA133" t="s">
        <v>2057</v>
      </c>
      <c r="AB133">
        <v>6</v>
      </c>
    </row>
    <row r="134" spans="1:28" x14ac:dyDescent="0.3">
      <c r="A134" t="s">
        <v>349</v>
      </c>
      <c r="B134" t="s">
        <v>350</v>
      </c>
      <c r="C134" t="s">
        <v>351</v>
      </c>
      <c r="D134" t="s">
        <v>2194</v>
      </c>
      <c r="E134">
        <v>70</v>
      </c>
      <c r="F134" t="s">
        <v>29</v>
      </c>
      <c r="G134" t="s">
        <v>168</v>
      </c>
      <c r="H134" t="s">
        <v>352</v>
      </c>
      <c r="I134" t="s">
        <v>353</v>
      </c>
      <c r="J134" t="s">
        <v>820</v>
      </c>
      <c r="K134" s="14">
        <v>45281</v>
      </c>
      <c r="L134" t="s">
        <v>821</v>
      </c>
      <c r="M134" t="s">
        <v>590</v>
      </c>
      <c r="N134">
        <v>403.03</v>
      </c>
      <c r="O134">
        <v>4</v>
      </c>
      <c r="P134" t="s">
        <v>96</v>
      </c>
      <c r="Q134">
        <v>6</v>
      </c>
      <c r="R134">
        <v>47</v>
      </c>
      <c r="S134">
        <v>45283</v>
      </c>
      <c r="T134" t="s">
        <v>822</v>
      </c>
      <c r="U134">
        <v>2</v>
      </c>
      <c r="V134">
        <v>1612.12</v>
      </c>
      <c r="W134">
        <v>0.1</v>
      </c>
      <c r="X134">
        <v>1450.9079999999999</v>
      </c>
      <c r="Y134">
        <v>1497.9079999999999</v>
      </c>
      <c r="Z134" t="s">
        <v>2090</v>
      </c>
      <c r="AA134" t="s">
        <v>2057</v>
      </c>
      <c r="AB134">
        <v>12</v>
      </c>
    </row>
    <row r="135" spans="1:28" x14ac:dyDescent="0.3">
      <c r="A135" t="s">
        <v>823</v>
      </c>
      <c r="B135" t="s">
        <v>824</v>
      </c>
      <c r="C135" t="s">
        <v>825</v>
      </c>
      <c r="D135" t="s">
        <v>2233</v>
      </c>
      <c r="E135">
        <v>42</v>
      </c>
      <c r="F135" t="s">
        <v>29</v>
      </c>
      <c r="G135" t="s">
        <v>76</v>
      </c>
      <c r="H135" t="s">
        <v>826</v>
      </c>
      <c r="I135" t="s">
        <v>827</v>
      </c>
      <c r="J135" t="s">
        <v>828</v>
      </c>
      <c r="K135" s="14">
        <v>44979</v>
      </c>
      <c r="L135" t="s">
        <v>829</v>
      </c>
      <c r="M135" t="s">
        <v>145</v>
      </c>
      <c r="N135">
        <v>190.1</v>
      </c>
      <c r="O135">
        <v>5</v>
      </c>
      <c r="P135" t="s">
        <v>85</v>
      </c>
      <c r="Q135">
        <v>4</v>
      </c>
      <c r="R135">
        <v>37</v>
      </c>
      <c r="S135">
        <v>44984</v>
      </c>
      <c r="T135" t="s">
        <v>830</v>
      </c>
      <c r="U135">
        <v>5</v>
      </c>
      <c r="V135">
        <v>950.5</v>
      </c>
      <c r="W135">
        <v>0.2</v>
      </c>
      <c r="X135">
        <v>760.4</v>
      </c>
      <c r="Y135">
        <v>797.4</v>
      </c>
      <c r="Z135" t="s">
        <v>2129</v>
      </c>
      <c r="AA135" t="s">
        <v>2061</v>
      </c>
      <c r="AB135">
        <v>2</v>
      </c>
    </row>
    <row r="136" spans="1:28" x14ac:dyDescent="0.3">
      <c r="A136" t="s">
        <v>831</v>
      </c>
      <c r="B136" t="s">
        <v>832</v>
      </c>
      <c r="C136" t="s">
        <v>833</v>
      </c>
      <c r="D136" t="s">
        <v>2234</v>
      </c>
      <c r="E136">
        <v>60</v>
      </c>
      <c r="F136" t="s">
        <v>29</v>
      </c>
      <c r="G136" t="s">
        <v>140</v>
      </c>
      <c r="H136" t="s">
        <v>834</v>
      </c>
      <c r="I136" t="s">
        <v>835</v>
      </c>
      <c r="J136" t="s">
        <v>836</v>
      </c>
      <c r="K136" s="14">
        <v>45663</v>
      </c>
      <c r="L136" t="s">
        <v>837</v>
      </c>
      <c r="M136" t="s">
        <v>514</v>
      </c>
      <c r="N136">
        <v>136.30000000000001</v>
      </c>
      <c r="O136">
        <v>4</v>
      </c>
      <c r="P136" t="s">
        <v>63</v>
      </c>
      <c r="Q136">
        <v>5</v>
      </c>
      <c r="R136">
        <v>61</v>
      </c>
      <c r="S136">
        <v>45668</v>
      </c>
      <c r="T136" t="s">
        <v>838</v>
      </c>
      <c r="U136">
        <v>5</v>
      </c>
      <c r="V136">
        <v>545.20000000000005</v>
      </c>
      <c r="W136">
        <v>0</v>
      </c>
      <c r="X136">
        <v>545.20000000000005</v>
      </c>
      <c r="Y136">
        <v>545.20000000000005</v>
      </c>
      <c r="Z136" t="s">
        <v>2130</v>
      </c>
      <c r="AA136" t="s">
        <v>2066</v>
      </c>
      <c r="AB136">
        <v>1</v>
      </c>
    </row>
    <row r="137" spans="1:28" x14ac:dyDescent="0.3">
      <c r="A137" t="s">
        <v>839</v>
      </c>
      <c r="B137" t="s">
        <v>840</v>
      </c>
      <c r="C137" t="s">
        <v>841</v>
      </c>
      <c r="D137" t="s">
        <v>2235</v>
      </c>
      <c r="E137">
        <v>26</v>
      </c>
      <c r="F137" t="s">
        <v>41</v>
      </c>
      <c r="G137" t="s">
        <v>159</v>
      </c>
      <c r="H137" t="s">
        <v>842</v>
      </c>
      <c r="I137" t="s">
        <v>843</v>
      </c>
      <c r="J137" t="s">
        <v>844</v>
      </c>
      <c r="K137" s="14">
        <v>45226</v>
      </c>
      <c r="L137" t="s">
        <v>845</v>
      </c>
      <c r="M137" t="s">
        <v>657</v>
      </c>
      <c r="N137">
        <v>235.63</v>
      </c>
      <c r="O137">
        <v>1</v>
      </c>
      <c r="P137" t="s">
        <v>85</v>
      </c>
      <c r="Q137">
        <v>2</v>
      </c>
      <c r="R137">
        <v>66</v>
      </c>
      <c r="S137">
        <v>45233</v>
      </c>
      <c r="T137" t="s">
        <v>846</v>
      </c>
      <c r="U137">
        <v>7</v>
      </c>
      <c r="V137">
        <v>235.63</v>
      </c>
      <c r="W137">
        <v>0.2</v>
      </c>
      <c r="X137">
        <v>188.50399999999999</v>
      </c>
      <c r="Y137">
        <v>254.50399999999999</v>
      </c>
      <c r="Z137" t="s">
        <v>2131</v>
      </c>
      <c r="AA137" t="s">
        <v>2061</v>
      </c>
      <c r="AB137">
        <v>10</v>
      </c>
    </row>
    <row r="138" spans="1:28" x14ac:dyDescent="0.3">
      <c r="A138" t="s">
        <v>847</v>
      </c>
      <c r="B138" t="s">
        <v>848</v>
      </c>
      <c r="C138" t="s">
        <v>387</v>
      </c>
      <c r="D138" t="s">
        <v>2236</v>
      </c>
      <c r="E138">
        <v>37</v>
      </c>
      <c r="F138" t="s">
        <v>52</v>
      </c>
      <c r="G138" t="s">
        <v>220</v>
      </c>
      <c r="H138" t="s">
        <v>849</v>
      </c>
      <c r="I138" t="s">
        <v>850</v>
      </c>
      <c r="J138" t="s">
        <v>851</v>
      </c>
      <c r="K138" s="14">
        <v>45249</v>
      </c>
      <c r="L138" t="s">
        <v>852</v>
      </c>
      <c r="M138" t="s">
        <v>653</v>
      </c>
      <c r="N138">
        <v>433.62</v>
      </c>
      <c r="O138">
        <v>4</v>
      </c>
      <c r="P138" t="s">
        <v>85</v>
      </c>
      <c r="Q138">
        <v>3</v>
      </c>
      <c r="R138">
        <v>36</v>
      </c>
      <c r="S138">
        <v>45252</v>
      </c>
      <c r="T138" t="s">
        <v>853</v>
      </c>
      <c r="U138">
        <v>3</v>
      </c>
      <c r="V138">
        <v>1734.48</v>
      </c>
      <c r="W138">
        <v>0.2</v>
      </c>
      <c r="X138">
        <v>1387.5840000000001</v>
      </c>
      <c r="Y138">
        <v>1423.5840000000001</v>
      </c>
      <c r="Z138" t="s">
        <v>2132</v>
      </c>
      <c r="AA138" t="s">
        <v>2066</v>
      </c>
      <c r="AB138">
        <v>11</v>
      </c>
    </row>
    <row r="139" spans="1:28" x14ac:dyDescent="0.3">
      <c r="A139" t="s">
        <v>750</v>
      </c>
      <c r="B139" t="s">
        <v>751</v>
      </c>
      <c r="C139" t="s">
        <v>752</v>
      </c>
      <c r="D139" t="s">
        <v>2230</v>
      </c>
      <c r="E139">
        <v>43</v>
      </c>
      <c r="F139" t="s">
        <v>52</v>
      </c>
      <c r="G139" t="s">
        <v>159</v>
      </c>
      <c r="H139" t="s">
        <v>753</v>
      </c>
      <c r="I139" t="s">
        <v>754</v>
      </c>
      <c r="J139" t="s">
        <v>854</v>
      </c>
      <c r="K139" s="14">
        <v>45331</v>
      </c>
      <c r="L139" t="s">
        <v>855</v>
      </c>
      <c r="M139" t="s">
        <v>287</v>
      </c>
      <c r="N139">
        <v>157.63999999999999</v>
      </c>
      <c r="O139">
        <v>5</v>
      </c>
      <c r="P139" t="s">
        <v>63</v>
      </c>
      <c r="Q139">
        <v>7</v>
      </c>
      <c r="R139">
        <v>36</v>
      </c>
      <c r="S139">
        <v>45332</v>
      </c>
      <c r="T139" t="s">
        <v>856</v>
      </c>
      <c r="U139">
        <v>1</v>
      </c>
      <c r="V139">
        <v>788.19999999999993</v>
      </c>
      <c r="W139">
        <v>0</v>
      </c>
      <c r="X139">
        <v>788.19999999999993</v>
      </c>
      <c r="Y139">
        <v>788.19999999999993</v>
      </c>
      <c r="Z139" t="s">
        <v>2126</v>
      </c>
      <c r="AA139" t="s">
        <v>2057</v>
      </c>
      <c r="AB139">
        <v>2</v>
      </c>
    </row>
    <row r="140" spans="1:28" x14ac:dyDescent="0.3">
      <c r="A140" t="s">
        <v>87</v>
      </c>
      <c r="B140" t="s">
        <v>88</v>
      </c>
      <c r="C140" t="s">
        <v>89</v>
      </c>
      <c r="D140" t="s">
        <v>2168</v>
      </c>
      <c r="E140">
        <v>26</v>
      </c>
      <c r="F140" t="s">
        <v>41</v>
      </c>
      <c r="G140" t="s">
        <v>90</v>
      </c>
      <c r="H140" t="s">
        <v>91</v>
      </c>
      <c r="I140" t="s">
        <v>92</v>
      </c>
      <c r="J140" t="s">
        <v>857</v>
      </c>
      <c r="K140" s="14">
        <v>45108</v>
      </c>
      <c r="L140" t="s">
        <v>858</v>
      </c>
      <c r="M140" t="s">
        <v>291</v>
      </c>
      <c r="N140">
        <v>158.53</v>
      </c>
      <c r="O140">
        <v>5</v>
      </c>
      <c r="P140" t="s">
        <v>63</v>
      </c>
      <c r="Q140">
        <v>4</v>
      </c>
      <c r="R140">
        <v>66</v>
      </c>
      <c r="S140">
        <v>45111</v>
      </c>
      <c r="T140" t="s">
        <v>859</v>
      </c>
      <c r="U140">
        <v>3</v>
      </c>
      <c r="V140">
        <v>792.65</v>
      </c>
      <c r="W140">
        <v>0</v>
      </c>
      <c r="X140">
        <v>792.65</v>
      </c>
      <c r="Y140">
        <v>792.65</v>
      </c>
      <c r="Z140" t="s">
        <v>2063</v>
      </c>
      <c r="AA140" t="s">
        <v>2057</v>
      </c>
      <c r="AB140">
        <v>7</v>
      </c>
    </row>
    <row r="141" spans="1:28" x14ac:dyDescent="0.3">
      <c r="A141" t="s">
        <v>184</v>
      </c>
      <c r="B141" t="s">
        <v>185</v>
      </c>
      <c r="C141" t="s">
        <v>186</v>
      </c>
      <c r="D141" t="s">
        <v>2178</v>
      </c>
      <c r="E141">
        <v>42</v>
      </c>
      <c r="F141" t="s">
        <v>41</v>
      </c>
      <c r="G141" t="s">
        <v>168</v>
      </c>
      <c r="H141" t="s">
        <v>187</v>
      </c>
      <c r="I141" t="s">
        <v>188</v>
      </c>
      <c r="J141" t="s">
        <v>860</v>
      </c>
      <c r="K141" s="14">
        <v>45283</v>
      </c>
      <c r="L141" t="s">
        <v>861</v>
      </c>
      <c r="M141" t="s">
        <v>126</v>
      </c>
      <c r="N141">
        <v>257.06</v>
      </c>
      <c r="O141">
        <v>3</v>
      </c>
      <c r="P141" t="s">
        <v>36</v>
      </c>
      <c r="Q141">
        <v>6</v>
      </c>
      <c r="R141">
        <v>65</v>
      </c>
      <c r="S141">
        <v>45289</v>
      </c>
      <c r="T141" t="s">
        <v>862</v>
      </c>
      <c r="U141">
        <v>6</v>
      </c>
      <c r="V141">
        <v>771.18000000000006</v>
      </c>
      <c r="W141">
        <v>0.08</v>
      </c>
      <c r="X141">
        <v>709.48560000000009</v>
      </c>
      <c r="Y141">
        <v>774.48560000000009</v>
      </c>
      <c r="Z141" t="s">
        <v>2074</v>
      </c>
      <c r="AA141" t="s">
        <v>2066</v>
      </c>
      <c r="AB141">
        <v>12</v>
      </c>
    </row>
    <row r="142" spans="1:28" x14ac:dyDescent="0.3">
      <c r="A142" t="s">
        <v>776</v>
      </c>
      <c r="B142" t="s">
        <v>777</v>
      </c>
      <c r="C142" t="s">
        <v>778</v>
      </c>
      <c r="D142" t="s">
        <v>2232</v>
      </c>
      <c r="E142">
        <v>32</v>
      </c>
      <c r="F142" t="s">
        <v>29</v>
      </c>
      <c r="G142" t="s">
        <v>159</v>
      </c>
      <c r="H142" t="s">
        <v>779</v>
      </c>
      <c r="I142" t="s">
        <v>780</v>
      </c>
      <c r="J142" t="s">
        <v>863</v>
      </c>
      <c r="K142" s="14">
        <v>45537</v>
      </c>
      <c r="L142" t="s">
        <v>864</v>
      </c>
      <c r="M142" t="s">
        <v>738</v>
      </c>
      <c r="N142">
        <v>110.95</v>
      </c>
      <c r="O142">
        <v>4</v>
      </c>
      <c r="P142" t="s">
        <v>58</v>
      </c>
      <c r="Q142">
        <v>1</v>
      </c>
      <c r="R142">
        <v>60</v>
      </c>
      <c r="S142">
        <v>45541</v>
      </c>
      <c r="T142" t="s">
        <v>865</v>
      </c>
      <c r="U142">
        <v>4</v>
      </c>
      <c r="V142">
        <v>443.8</v>
      </c>
      <c r="W142">
        <v>0.15</v>
      </c>
      <c r="X142">
        <v>377.23</v>
      </c>
      <c r="Y142">
        <v>437.23</v>
      </c>
      <c r="Z142" t="s">
        <v>2128</v>
      </c>
      <c r="AA142" t="s">
        <v>2061</v>
      </c>
      <c r="AB142">
        <v>9</v>
      </c>
    </row>
    <row r="143" spans="1:28" x14ac:dyDescent="0.3">
      <c r="A143" t="s">
        <v>546</v>
      </c>
      <c r="B143" t="s">
        <v>547</v>
      </c>
      <c r="C143" t="s">
        <v>548</v>
      </c>
      <c r="D143" t="s">
        <v>2216</v>
      </c>
      <c r="E143">
        <v>33</v>
      </c>
      <c r="F143" t="s">
        <v>52</v>
      </c>
      <c r="G143" t="s">
        <v>168</v>
      </c>
      <c r="H143" t="s">
        <v>549</v>
      </c>
      <c r="I143" t="s">
        <v>550</v>
      </c>
      <c r="J143" t="s">
        <v>866</v>
      </c>
      <c r="K143" s="14">
        <v>45609</v>
      </c>
      <c r="L143" t="s">
        <v>867</v>
      </c>
      <c r="M143" t="s">
        <v>323</v>
      </c>
      <c r="N143">
        <v>481.48</v>
      </c>
      <c r="O143">
        <v>5</v>
      </c>
      <c r="P143" t="s">
        <v>36</v>
      </c>
      <c r="Q143">
        <v>6</v>
      </c>
      <c r="R143">
        <v>44</v>
      </c>
      <c r="S143">
        <v>45612</v>
      </c>
      <c r="T143" t="s">
        <v>868</v>
      </c>
      <c r="U143">
        <v>3</v>
      </c>
      <c r="V143">
        <v>2407.4</v>
      </c>
      <c r="W143">
        <v>0.08</v>
      </c>
      <c r="X143">
        <v>2214.808</v>
      </c>
      <c r="Y143">
        <v>2258.808</v>
      </c>
      <c r="Z143" t="s">
        <v>2112</v>
      </c>
      <c r="AA143" t="s">
        <v>2057</v>
      </c>
      <c r="AB143">
        <v>11</v>
      </c>
    </row>
    <row r="144" spans="1:28" x14ac:dyDescent="0.3">
      <c r="A144" t="s">
        <v>507</v>
      </c>
      <c r="B144" t="s">
        <v>508</v>
      </c>
      <c r="C144" t="s">
        <v>509</v>
      </c>
      <c r="D144" t="s">
        <v>2212</v>
      </c>
      <c r="E144">
        <v>64</v>
      </c>
      <c r="F144" t="s">
        <v>29</v>
      </c>
      <c r="G144" t="s">
        <v>30</v>
      </c>
      <c r="H144" t="s">
        <v>510</v>
      </c>
      <c r="I144" t="s">
        <v>511</v>
      </c>
      <c r="J144" t="s">
        <v>869</v>
      </c>
      <c r="K144" s="14">
        <v>45576</v>
      </c>
      <c r="L144" t="s">
        <v>870</v>
      </c>
      <c r="M144" t="s">
        <v>871</v>
      </c>
      <c r="N144">
        <v>292.14999999999998</v>
      </c>
      <c r="O144">
        <v>4</v>
      </c>
      <c r="P144" t="s">
        <v>85</v>
      </c>
      <c r="Q144">
        <v>1</v>
      </c>
      <c r="R144">
        <v>58</v>
      </c>
      <c r="S144">
        <v>45577</v>
      </c>
      <c r="T144" t="s">
        <v>872</v>
      </c>
      <c r="U144">
        <v>1</v>
      </c>
      <c r="V144">
        <v>1168.5999999999999</v>
      </c>
      <c r="W144">
        <v>0.2</v>
      </c>
      <c r="X144">
        <v>934.87999999999988</v>
      </c>
      <c r="Y144">
        <v>992.87999999999988</v>
      </c>
      <c r="Z144" t="s">
        <v>2108</v>
      </c>
      <c r="AA144" t="s">
        <v>2066</v>
      </c>
      <c r="AB144">
        <v>10</v>
      </c>
    </row>
    <row r="145" spans="1:28" x14ac:dyDescent="0.3">
      <c r="A145" t="s">
        <v>358</v>
      </c>
      <c r="B145" t="s">
        <v>359</v>
      </c>
      <c r="C145" t="s">
        <v>360</v>
      </c>
      <c r="D145" t="s">
        <v>2195</v>
      </c>
      <c r="E145">
        <v>32</v>
      </c>
      <c r="F145" t="s">
        <v>41</v>
      </c>
      <c r="G145" t="s">
        <v>168</v>
      </c>
      <c r="H145" t="s">
        <v>361</v>
      </c>
      <c r="I145" t="s">
        <v>362</v>
      </c>
      <c r="J145" t="s">
        <v>873</v>
      </c>
      <c r="K145" s="14">
        <v>45199</v>
      </c>
      <c r="L145" t="s">
        <v>874</v>
      </c>
      <c r="M145" t="s">
        <v>774</v>
      </c>
      <c r="N145">
        <v>20</v>
      </c>
      <c r="O145">
        <v>5</v>
      </c>
      <c r="P145" t="s">
        <v>58</v>
      </c>
      <c r="Q145">
        <v>7</v>
      </c>
      <c r="R145">
        <v>40</v>
      </c>
      <c r="S145">
        <v>45203</v>
      </c>
      <c r="T145" t="s">
        <v>875</v>
      </c>
      <c r="U145">
        <v>4</v>
      </c>
      <c r="V145">
        <v>100</v>
      </c>
      <c r="W145">
        <v>0.15</v>
      </c>
      <c r="X145">
        <v>85</v>
      </c>
      <c r="Y145">
        <v>125</v>
      </c>
      <c r="Z145" t="s">
        <v>2091</v>
      </c>
      <c r="AA145" t="s">
        <v>2057</v>
      </c>
      <c r="AB145">
        <v>9</v>
      </c>
    </row>
    <row r="146" spans="1:28" x14ac:dyDescent="0.3">
      <c r="A146" t="s">
        <v>358</v>
      </c>
      <c r="B146" t="s">
        <v>359</v>
      </c>
      <c r="C146" t="s">
        <v>360</v>
      </c>
      <c r="D146" t="s">
        <v>2195</v>
      </c>
      <c r="E146">
        <v>32</v>
      </c>
      <c r="F146" t="s">
        <v>41</v>
      </c>
      <c r="G146" t="s">
        <v>168</v>
      </c>
      <c r="H146" t="s">
        <v>361</v>
      </c>
      <c r="I146" t="s">
        <v>362</v>
      </c>
      <c r="J146" t="s">
        <v>876</v>
      </c>
      <c r="K146" s="14">
        <v>45677</v>
      </c>
      <c r="L146" t="s">
        <v>877</v>
      </c>
      <c r="M146" t="s">
        <v>62</v>
      </c>
      <c r="N146">
        <v>405</v>
      </c>
      <c r="O146">
        <v>2</v>
      </c>
      <c r="P146" t="s">
        <v>58</v>
      </c>
      <c r="Q146">
        <v>7</v>
      </c>
      <c r="R146">
        <v>55</v>
      </c>
      <c r="S146">
        <v>45680</v>
      </c>
      <c r="T146" t="s">
        <v>878</v>
      </c>
      <c r="U146">
        <v>3</v>
      </c>
      <c r="V146">
        <v>810</v>
      </c>
      <c r="W146">
        <v>0.15</v>
      </c>
      <c r="X146">
        <v>688.5</v>
      </c>
      <c r="Y146">
        <v>743.5</v>
      </c>
      <c r="Z146" t="s">
        <v>2091</v>
      </c>
      <c r="AA146" t="s">
        <v>2057</v>
      </c>
      <c r="AB146">
        <v>1</v>
      </c>
    </row>
    <row r="147" spans="1:28" x14ac:dyDescent="0.3">
      <c r="A147" t="s">
        <v>575</v>
      </c>
      <c r="B147" t="s">
        <v>256</v>
      </c>
      <c r="C147" t="s">
        <v>576</v>
      </c>
      <c r="D147" t="s">
        <v>2217</v>
      </c>
      <c r="E147">
        <v>35</v>
      </c>
      <c r="F147" t="s">
        <v>29</v>
      </c>
      <c r="G147" t="s">
        <v>30</v>
      </c>
      <c r="H147" t="s">
        <v>577</v>
      </c>
      <c r="I147" t="s">
        <v>578</v>
      </c>
      <c r="J147" t="s">
        <v>879</v>
      </c>
      <c r="K147" s="14">
        <v>45581</v>
      </c>
      <c r="L147" t="s">
        <v>880</v>
      </c>
      <c r="M147" t="s">
        <v>114</v>
      </c>
      <c r="N147">
        <v>48.45</v>
      </c>
      <c r="O147">
        <v>5</v>
      </c>
      <c r="P147" t="s">
        <v>96</v>
      </c>
      <c r="Q147">
        <v>7</v>
      </c>
      <c r="R147">
        <v>53</v>
      </c>
      <c r="S147">
        <v>45588</v>
      </c>
      <c r="T147" t="s">
        <v>881</v>
      </c>
      <c r="U147">
        <v>7</v>
      </c>
      <c r="V147">
        <v>242.25</v>
      </c>
      <c r="W147">
        <v>0.1</v>
      </c>
      <c r="X147">
        <v>218.02500000000001</v>
      </c>
      <c r="Y147">
        <v>271.02499999999998</v>
      </c>
      <c r="Z147" t="s">
        <v>2113</v>
      </c>
      <c r="AA147" t="s">
        <v>2066</v>
      </c>
      <c r="AB147">
        <v>10</v>
      </c>
    </row>
    <row r="148" spans="1:28" x14ac:dyDescent="0.3">
      <c r="A148" t="s">
        <v>490</v>
      </c>
      <c r="B148" t="s">
        <v>186</v>
      </c>
      <c r="C148" t="s">
        <v>327</v>
      </c>
      <c r="D148" t="s">
        <v>2210</v>
      </c>
      <c r="E148">
        <v>39</v>
      </c>
      <c r="F148" t="s">
        <v>52</v>
      </c>
      <c r="G148" t="s">
        <v>42</v>
      </c>
      <c r="H148" t="s">
        <v>491</v>
      </c>
      <c r="I148" t="s">
        <v>492</v>
      </c>
      <c r="J148" t="s">
        <v>882</v>
      </c>
      <c r="K148" s="14">
        <v>45609</v>
      </c>
      <c r="L148" t="s">
        <v>883</v>
      </c>
      <c r="M148" t="s">
        <v>57</v>
      </c>
      <c r="N148">
        <v>202.54</v>
      </c>
      <c r="O148">
        <v>1</v>
      </c>
      <c r="P148" t="s">
        <v>36</v>
      </c>
      <c r="Q148">
        <v>4</v>
      </c>
      <c r="R148">
        <v>48</v>
      </c>
      <c r="S148">
        <v>45611</v>
      </c>
      <c r="T148" t="s">
        <v>884</v>
      </c>
      <c r="U148">
        <v>2</v>
      </c>
      <c r="V148">
        <v>202.54</v>
      </c>
      <c r="W148">
        <v>0.08</v>
      </c>
      <c r="X148">
        <v>186.33679999999998</v>
      </c>
      <c r="Y148">
        <v>234.33679999999998</v>
      </c>
      <c r="Z148" t="s">
        <v>2106</v>
      </c>
      <c r="AA148" t="s">
        <v>2057</v>
      </c>
      <c r="AB148">
        <v>11</v>
      </c>
    </row>
    <row r="149" spans="1:28" x14ac:dyDescent="0.3">
      <c r="A149" t="s">
        <v>767</v>
      </c>
      <c r="B149" t="s">
        <v>768</v>
      </c>
      <c r="C149" t="s">
        <v>769</v>
      </c>
      <c r="D149" t="s">
        <v>2231</v>
      </c>
      <c r="E149">
        <v>27</v>
      </c>
      <c r="F149" t="s">
        <v>29</v>
      </c>
      <c r="G149" t="s">
        <v>42</v>
      </c>
      <c r="H149" t="s">
        <v>770</v>
      </c>
      <c r="I149" t="s">
        <v>771</v>
      </c>
      <c r="J149" t="s">
        <v>885</v>
      </c>
      <c r="K149" s="14">
        <v>44983</v>
      </c>
      <c r="L149" t="s">
        <v>886</v>
      </c>
      <c r="M149" t="s">
        <v>473</v>
      </c>
      <c r="N149">
        <v>286.07</v>
      </c>
      <c r="O149">
        <v>5</v>
      </c>
      <c r="P149" t="s">
        <v>85</v>
      </c>
      <c r="Q149">
        <v>1</v>
      </c>
      <c r="R149">
        <v>52</v>
      </c>
      <c r="S149">
        <v>44986</v>
      </c>
      <c r="T149" t="s">
        <v>887</v>
      </c>
      <c r="U149">
        <v>3</v>
      </c>
      <c r="V149">
        <v>1430.35</v>
      </c>
      <c r="W149">
        <v>0.2</v>
      </c>
      <c r="X149">
        <v>1144.28</v>
      </c>
      <c r="Y149">
        <v>1196.28</v>
      </c>
      <c r="Z149" t="s">
        <v>2127</v>
      </c>
      <c r="AA149" t="s">
        <v>2061</v>
      </c>
      <c r="AB149">
        <v>2</v>
      </c>
    </row>
    <row r="150" spans="1:28" x14ac:dyDescent="0.3">
      <c r="A150" t="s">
        <v>466</v>
      </c>
      <c r="B150" t="s">
        <v>467</v>
      </c>
      <c r="C150" t="s">
        <v>468</v>
      </c>
      <c r="D150" t="s">
        <v>2207</v>
      </c>
      <c r="E150">
        <v>18</v>
      </c>
      <c r="F150" t="s">
        <v>41</v>
      </c>
      <c r="G150" t="s">
        <v>42</v>
      </c>
      <c r="H150" t="s">
        <v>469</v>
      </c>
      <c r="I150" t="s">
        <v>470</v>
      </c>
      <c r="J150" t="s">
        <v>888</v>
      </c>
      <c r="K150" s="14">
        <v>45378</v>
      </c>
      <c r="L150" t="s">
        <v>889</v>
      </c>
      <c r="M150" t="s">
        <v>57</v>
      </c>
      <c r="N150">
        <v>202.54</v>
      </c>
      <c r="O150">
        <v>4</v>
      </c>
      <c r="P150" t="s">
        <v>96</v>
      </c>
      <c r="Q150">
        <v>1</v>
      </c>
      <c r="R150">
        <v>36</v>
      </c>
      <c r="S150">
        <v>45380</v>
      </c>
      <c r="T150" t="s">
        <v>890</v>
      </c>
      <c r="U150">
        <v>2</v>
      </c>
      <c r="V150">
        <v>810.16</v>
      </c>
      <c r="W150">
        <v>0.1</v>
      </c>
      <c r="X150">
        <v>729.14400000000001</v>
      </c>
      <c r="Y150">
        <v>765.14400000000001</v>
      </c>
      <c r="Z150" t="s">
        <v>2103</v>
      </c>
      <c r="AA150" t="s">
        <v>2061</v>
      </c>
      <c r="AB150">
        <v>3</v>
      </c>
    </row>
    <row r="151" spans="1:28" x14ac:dyDescent="0.3">
      <c r="A151" t="s">
        <v>280</v>
      </c>
      <c r="B151" t="s">
        <v>281</v>
      </c>
      <c r="C151" t="s">
        <v>282</v>
      </c>
      <c r="D151" t="s">
        <v>2188</v>
      </c>
      <c r="E151">
        <v>64</v>
      </c>
      <c r="F151" t="s">
        <v>52</v>
      </c>
      <c r="G151" t="s">
        <v>30</v>
      </c>
      <c r="H151" t="s">
        <v>283</v>
      </c>
      <c r="I151" t="s">
        <v>284</v>
      </c>
      <c r="J151" t="s">
        <v>891</v>
      </c>
      <c r="K151" s="14">
        <v>44989</v>
      </c>
      <c r="L151" t="s">
        <v>892</v>
      </c>
      <c r="M151" t="s">
        <v>418</v>
      </c>
      <c r="N151">
        <v>44.5</v>
      </c>
      <c r="O151">
        <v>3</v>
      </c>
      <c r="P151" t="s">
        <v>36</v>
      </c>
      <c r="Q151">
        <v>6</v>
      </c>
      <c r="R151">
        <v>46</v>
      </c>
      <c r="S151">
        <v>44991</v>
      </c>
      <c r="T151" t="s">
        <v>893</v>
      </c>
      <c r="U151">
        <v>2</v>
      </c>
      <c r="V151">
        <v>133.5</v>
      </c>
      <c r="W151">
        <v>0.08</v>
      </c>
      <c r="X151">
        <v>122.82</v>
      </c>
      <c r="Y151">
        <v>168.82</v>
      </c>
      <c r="Z151" t="s">
        <v>2084</v>
      </c>
      <c r="AA151" t="s">
        <v>2057</v>
      </c>
      <c r="AB151">
        <v>3</v>
      </c>
    </row>
    <row r="152" spans="1:28" x14ac:dyDescent="0.3">
      <c r="A152" t="s">
        <v>894</v>
      </c>
      <c r="B152" t="s">
        <v>148</v>
      </c>
      <c r="C152" t="s">
        <v>895</v>
      </c>
      <c r="D152" t="s">
        <v>2237</v>
      </c>
      <c r="E152">
        <v>29</v>
      </c>
      <c r="F152" t="s">
        <v>29</v>
      </c>
      <c r="G152" t="s">
        <v>42</v>
      </c>
      <c r="H152" t="s">
        <v>896</v>
      </c>
      <c r="I152" t="s">
        <v>897</v>
      </c>
      <c r="J152" t="s">
        <v>898</v>
      </c>
      <c r="K152" s="14">
        <v>45251</v>
      </c>
      <c r="L152" t="s">
        <v>899</v>
      </c>
      <c r="M152" t="s">
        <v>323</v>
      </c>
      <c r="N152">
        <v>481.48</v>
      </c>
      <c r="O152">
        <v>4</v>
      </c>
      <c r="P152" t="s">
        <v>63</v>
      </c>
      <c r="Q152">
        <v>3</v>
      </c>
      <c r="R152">
        <v>54</v>
      </c>
      <c r="S152">
        <v>45256</v>
      </c>
      <c r="T152" t="s">
        <v>900</v>
      </c>
      <c r="U152">
        <v>5</v>
      </c>
      <c r="V152">
        <v>1925.92</v>
      </c>
      <c r="W152">
        <v>0</v>
      </c>
      <c r="X152">
        <v>1925.92</v>
      </c>
      <c r="Y152">
        <v>1925.92</v>
      </c>
      <c r="Z152" t="s">
        <v>2133</v>
      </c>
      <c r="AA152" t="s">
        <v>2061</v>
      </c>
      <c r="AB152">
        <v>11</v>
      </c>
    </row>
    <row r="153" spans="1:28" x14ac:dyDescent="0.3">
      <c r="A153" t="s">
        <v>546</v>
      </c>
      <c r="B153" t="s">
        <v>547</v>
      </c>
      <c r="C153" t="s">
        <v>548</v>
      </c>
      <c r="D153" t="s">
        <v>2216</v>
      </c>
      <c r="E153">
        <v>33</v>
      </c>
      <c r="F153" t="s">
        <v>52</v>
      </c>
      <c r="G153" t="s">
        <v>168</v>
      </c>
      <c r="H153" t="s">
        <v>549</v>
      </c>
      <c r="I153" t="s">
        <v>550</v>
      </c>
      <c r="J153" t="s">
        <v>901</v>
      </c>
      <c r="K153" s="14">
        <v>45200</v>
      </c>
      <c r="L153" t="s">
        <v>902</v>
      </c>
      <c r="M153" t="s">
        <v>340</v>
      </c>
      <c r="N153">
        <v>77.84</v>
      </c>
      <c r="O153">
        <v>5</v>
      </c>
      <c r="P153" t="s">
        <v>96</v>
      </c>
      <c r="Q153">
        <v>1</v>
      </c>
      <c r="R153">
        <v>41</v>
      </c>
      <c r="S153">
        <v>45206</v>
      </c>
      <c r="T153" t="s">
        <v>903</v>
      </c>
      <c r="U153">
        <v>6</v>
      </c>
      <c r="V153">
        <v>389.20000000000005</v>
      </c>
      <c r="W153">
        <v>0.1</v>
      </c>
      <c r="X153">
        <v>350.28000000000003</v>
      </c>
      <c r="Y153">
        <v>391.28000000000003</v>
      </c>
      <c r="Z153" t="s">
        <v>2112</v>
      </c>
      <c r="AA153" t="s">
        <v>2061</v>
      </c>
      <c r="AB153">
        <v>10</v>
      </c>
    </row>
    <row r="154" spans="1:28" x14ac:dyDescent="0.3">
      <c r="A154" t="s">
        <v>475</v>
      </c>
      <c r="B154" t="s">
        <v>108</v>
      </c>
      <c r="C154" t="s">
        <v>476</v>
      </c>
      <c r="D154" t="s">
        <v>2208</v>
      </c>
      <c r="E154">
        <v>33</v>
      </c>
      <c r="F154" t="s">
        <v>29</v>
      </c>
      <c r="G154" t="s">
        <v>168</v>
      </c>
      <c r="H154" t="s">
        <v>477</v>
      </c>
      <c r="I154" t="s">
        <v>478</v>
      </c>
      <c r="J154" t="s">
        <v>904</v>
      </c>
      <c r="K154" s="14">
        <v>45330</v>
      </c>
      <c r="L154" t="s">
        <v>905</v>
      </c>
      <c r="M154" t="s">
        <v>356</v>
      </c>
      <c r="N154">
        <v>496.59</v>
      </c>
      <c r="O154">
        <v>2</v>
      </c>
      <c r="P154" t="s">
        <v>96</v>
      </c>
      <c r="Q154">
        <v>5</v>
      </c>
      <c r="R154">
        <v>40</v>
      </c>
      <c r="S154">
        <v>45331</v>
      </c>
      <c r="T154" t="s">
        <v>906</v>
      </c>
      <c r="U154">
        <v>1</v>
      </c>
      <c r="V154">
        <v>993.18</v>
      </c>
      <c r="W154">
        <v>0.1</v>
      </c>
      <c r="X154">
        <v>893.86199999999997</v>
      </c>
      <c r="Y154">
        <v>933.86199999999997</v>
      </c>
      <c r="Z154" t="s">
        <v>2104</v>
      </c>
      <c r="AA154" t="s">
        <v>2057</v>
      </c>
      <c r="AB154">
        <v>2</v>
      </c>
    </row>
    <row r="155" spans="1:28" x14ac:dyDescent="0.3">
      <c r="A155" t="s">
        <v>280</v>
      </c>
      <c r="B155" t="s">
        <v>281</v>
      </c>
      <c r="C155" t="s">
        <v>282</v>
      </c>
      <c r="D155" t="s">
        <v>2188</v>
      </c>
      <c r="E155">
        <v>64</v>
      </c>
      <c r="F155" t="s">
        <v>52</v>
      </c>
      <c r="G155" t="s">
        <v>30</v>
      </c>
      <c r="H155" t="s">
        <v>283</v>
      </c>
      <c r="I155" t="s">
        <v>284</v>
      </c>
      <c r="J155" t="s">
        <v>907</v>
      </c>
      <c r="K155" s="14">
        <v>45129</v>
      </c>
      <c r="L155" t="s">
        <v>908</v>
      </c>
      <c r="M155" t="s">
        <v>154</v>
      </c>
      <c r="N155">
        <v>220.27</v>
      </c>
      <c r="O155">
        <v>3</v>
      </c>
      <c r="P155" t="s">
        <v>36</v>
      </c>
      <c r="Q155">
        <v>6</v>
      </c>
      <c r="R155">
        <v>48</v>
      </c>
      <c r="S155">
        <v>45132</v>
      </c>
      <c r="T155" t="s">
        <v>909</v>
      </c>
      <c r="U155">
        <v>3</v>
      </c>
      <c r="V155">
        <v>660.81000000000006</v>
      </c>
      <c r="W155">
        <v>0.08</v>
      </c>
      <c r="X155">
        <v>607.94520000000011</v>
      </c>
      <c r="Y155">
        <v>655.94520000000011</v>
      </c>
      <c r="Z155" t="s">
        <v>2084</v>
      </c>
      <c r="AA155" t="s">
        <v>2057</v>
      </c>
      <c r="AB155">
        <v>7</v>
      </c>
    </row>
    <row r="156" spans="1:28" x14ac:dyDescent="0.3">
      <c r="A156" t="s">
        <v>272</v>
      </c>
      <c r="B156" t="s">
        <v>273</v>
      </c>
      <c r="C156" t="s">
        <v>274</v>
      </c>
      <c r="D156" t="s">
        <v>2187</v>
      </c>
      <c r="E156">
        <v>44</v>
      </c>
      <c r="F156" t="s">
        <v>29</v>
      </c>
      <c r="G156" t="s">
        <v>220</v>
      </c>
      <c r="H156" t="s">
        <v>275</v>
      </c>
      <c r="I156" t="s">
        <v>276</v>
      </c>
      <c r="J156" t="s">
        <v>910</v>
      </c>
      <c r="K156" s="14">
        <v>45584</v>
      </c>
      <c r="L156" t="s">
        <v>911</v>
      </c>
      <c r="M156" t="s">
        <v>308</v>
      </c>
      <c r="N156">
        <v>129.75</v>
      </c>
      <c r="O156">
        <v>1</v>
      </c>
      <c r="P156" t="s">
        <v>63</v>
      </c>
      <c r="Q156">
        <v>7</v>
      </c>
      <c r="R156">
        <v>44</v>
      </c>
      <c r="S156">
        <v>45591</v>
      </c>
      <c r="T156" t="s">
        <v>912</v>
      </c>
      <c r="U156">
        <v>7</v>
      </c>
      <c r="V156">
        <v>129.75</v>
      </c>
      <c r="W156">
        <v>0</v>
      </c>
      <c r="X156">
        <v>129.75</v>
      </c>
      <c r="Y156">
        <v>129.75</v>
      </c>
      <c r="Z156" t="s">
        <v>2083</v>
      </c>
      <c r="AA156" t="s">
        <v>2066</v>
      </c>
      <c r="AB156">
        <v>10</v>
      </c>
    </row>
    <row r="157" spans="1:28" x14ac:dyDescent="0.3">
      <c r="A157" t="s">
        <v>750</v>
      </c>
      <c r="B157" t="s">
        <v>751</v>
      </c>
      <c r="C157" t="s">
        <v>752</v>
      </c>
      <c r="D157" t="s">
        <v>2230</v>
      </c>
      <c r="E157">
        <v>43</v>
      </c>
      <c r="F157" t="s">
        <v>52</v>
      </c>
      <c r="G157" t="s">
        <v>159</v>
      </c>
      <c r="H157" t="s">
        <v>753</v>
      </c>
      <c r="I157" t="s">
        <v>754</v>
      </c>
      <c r="J157" t="s">
        <v>913</v>
      </c>
      <c r="K157" s="14">
        <v>45291</v>
      </c>
      <c r="L157" t="s">
        <v>914</v>
      </c>
      <c r="M157" t="s">
        <v>514</v>
      </c>
      <c r="N157">
        <v>136.30000000000001</v>
      </c>
      <c r="O157">
        <v>1</v>
      </c>
      <c r="P157" t="s">
        <v>58</v>
      </c>
      <c r="Q157">
        <v>1</v>
      </c>
      <c r="R157">
        <v>64</v>
      </c>
      <c r="S157">
        <v>45296</v>
      </c>
      <c r="T157" t="s">
        <v>915</v>
      </c>
      <c r="U157">
        <v>5</v>
      </c>
      <c r="V157">
        <v>136.30000000000001</v>
      </c>
      <c r="W157">
        <v>0.15</v>
      </c>
      <c r="X157">
        <v>115.85500000000002</v>
      </c>
      <c r="Y157">
        <v>179.85500000000002</v>
      </c>
      <c r="Z157" t="s">
        <v>2126</v>
      </c>
      <c r="AA157" t="s">
        <v>2061</v>
      </c>
      <c r="AB157">
        <v>12</v>
      </c>
    </row>
    <row r="158" spans="1:28" x14ac:dyDescent="0.3">
      <c r="A158" t="s">
        <v>435</v>
      </c>
      <c r="B158" t="s">
        <v>436</v>
      </c>
      <c r="C158" t="s">
        <v>437</v>
      </c>
      <c r="D158" t="s">
        <v>2203</v>
      </c>
      <c r="E158">
        <v>28</v>
      </c>
      <c r="F158" t="s">
        <v>52</v>
      </c>
      <c r="G158" t="s">
        <v>76</v>
      </c>
      <c r="H158" t="s">
        <v>438</v>
      </c>
      <c r="I158" t="s">
        <v>439</v>
      </c>
      <c r="J158" t="s">
        <v>916</v>
      </c>
      <c r="K158" s="14">
        <v>45482</v>
      </c>
      <c r="L158" t="s">
        <v>917</v>
      </c>
      <c r="M158" t="s">
        <v>473</v>
      </c>
      <c r="N158">
        <v>286.07</v>
      </c>
      <c r="O158">
        <v>2</v>
      </c>
      <c r="P158" t="s">
        <v>36</v>
      </c>
      <c r="Q158">
        <v>3</v>
      </c>
      <c r="R158">
        <v>54</v>
      </c>
      <c r="S158">
        <v>45485</v>
      </c>
      <c r="T158" t="s">
        <v>918</v>
      </c>
      <c r="U158">
        <v>3</v>
      </c>
      <c r="V158">
        <v>572.14</v>
      </c>
      <c r="W158">
        <v>0.08</v>
      </c>
      <c r="X158">
        <v>526.36879999999996</v>
      </c>
      <c r="Y158">
        <v>580.36879999999996</v>
      </c>
      <c r="Z158" t="s">
        <v>2099</v>
      </c>
      <c r="AA158" t="s">
        <v>2066</v>
      </c>
      <c r="AB158">
        <v>7</v>
      </c>
    </row>
    <row r="159" spans="1:28" x14ac:dyDescent="0.3">
      <c r="A159" t="s">
        <v>507</v>
      </c>
      <c r="B159" t="s">
        <v>508</v>
      </c>
      <c r="C159" t="s">
        <v>509</v>
      </c>
      <c r="D159" t="s">
        <v>2212</v>
      </c>
      <c r="E159">
        <v>64</v>
      </c>
      <c r="F159" t="s">
        <v>29</v>
      </c>
      <c r="G159" t="s">
        <v>30</v>
      </c>
      <c r="H159" t="s">
        <v>510</v>
      </c>
      <c r="I159" t="s">
        <v>511</v>
      </c>
      <c r="J159" t="s">
        <v>919</v>
      </c>
      <c r="K159" s="14">
        <v>45089</v>
      </c>
      <c r="L159" t="s">
        <v>920</v>
      </c>
      <c r="M159" t="s">
        <v>95</v>
      </c>
      <c r="N159">
        <v>363.64</v>
      </c>
      <c r="O159">
        <v>2</v>
      </c>
      <c r="P159" t="s">
        <v>63</v>
      </c>
      <c r="Q159">
        <v>4</v>
      </c>
      <c r="R159">
        <v>40</v>
      </c>
      <c r="S159">
        <v>45091</v>
      </c>
      <c r="T159" t="s">
        <v>921</v>
      </c>
      <c r="U159">
        <v>2</v>
      </c>
      <c r="V159">
        <v>727.28</v>
      </c>
      <c r="W159">
        <v>0</v>
      </c>
      <c r="X159">
        <v>727.28</v>
      </c>
      <c r="Y159">
        <v>727.28</v>
      </c>
      <c r="Z159" t="s">
        <v>2108</v>
      </c>
      <c r="AA159" t="s">
        <v>2057</v>
      </c>
      <c r="AB159">
        <v>6</v>
      </c>
    </row>
    <row r="160" spans="1:28" x14ac:dyDescent="0.3">
      <c r="A160" t="s">
        <v>435</v>
      </c>
      <c r="B160" t="s">
        <v>436</v>
      </c>
      <c r="C160" t="s">
        <v>437</v>
      </c>
      <c r="D160" t="s">
        <v>2203</v>
      </c>
      <c r="E160">
        <v>28</v>
      </c>
      <c r="F160" t="s">
        <v>52</v>
      </c>
      <c r="G160" t="s">
        <v>76</v>
      </c>
      <c r="H160" t="s">
        <v>438</v>
      </c>
      <c r="I160" t="s">
        <v>439</v>
      </c>
      <c r="J160" t="s">
        <v>922</v>
      </c>
      <c r="K160" s="14">
        <v>45610</v>
      </c>
      <c r="L160" t="s">
        <v>923</v>
      </c>
      <c r="M160" t="s">
        <v>637</v>
      </c>
      <c r="N160">
        <v>445.81</v>
      </c>
      <c r="O160">
        <v>5</v>
      </c>
      <c r="P160" t="s">
        <v>36</v>
      </c>
      <c r="Q160">
        <v>6</v>
      </c>
      <c r="R160">
        <v>70</v>
      </c>
      <c r="S160">
        <v>45613</v>
      </c>
      <c r="T160" t="s">
        <v>924</v>
      </c>
      <c r="U160">
        <v>3</v>
      </c>
      <c r="V160">
        <v>2229.0500000000002</v>
      </c>
      <c r="W160">
        <v>0.08</v>
      </c>
      <c r="X160">
        <v>2050.7260000000001</v>
      </c>
      <c r="Y160">
        <v>2120.7260000000001</v>
      </c>
      <c r="Z160" t="s">
        <v>2099</v>
      </c>
      <c r="AA160" t="s">
        <v>2057</v>
      </c>
      <c r="AB160">
        <v>11</v>
      </c>
    </row>
    <row r="161" spans="1:28" x14ac:dyDescent="0.3">
      <c r="A161" t="s">
        <v>925</v>
      </c>
      <c r="B161" t="s">
        <v>926</v>
      </c>
      <c r="C161" t="s">
        <v>927</v>
      </c>
      <c r="D161" t="s">
        <v>2238</v>
      </c>
      <c r="E161">
        <v>24</v>
      </c>
      <c r="F161" t="s">
        <v>52</v>
      </c>
      <c r="G161" t="s">
        <v>220</v>
      </c>
      <c r="H161" t="s">
        <v>928</v>
      </c>
      <c r="I161" t="s">
        <v>929</v>
      </c>
      <c r="J161" t="s">
        <v>930</v>
      </c>
      <c r="K161" s="14">
        <v>45045</v>
      </c>
      <c r="L161" t="s">
        <v>931</v>
      </c>
      <c r="M161" t="s">
        <v>738</v>
      </c>
      <c r="N161">
        <v>110.95</v>
      </c>
      <c r="O161">
        <v>5</v>
      </c>
      <c r="P161" t="s">
        <v>85</v>
      </c>
      <c r="Q161">
        <v>5</v>
      </c>
      <c r="R161">
        <v>62</v>
      </c>
      <c r="S161">
        <v>45047</v>
      </c>
      <c r="T161" t="s">
        <v>932</v>
      </c>
      <c r="U161">
        <v>2</v>
      </c>
      <c r="V161">
        <v>554.75</v>
      </c>
      <c r="W161">
        <v>0.2</v>
      </c>
      <c r="X161">
        <v>443.8</v>
      </c>
      <c r="Y161">
        <v>505.8</v>
      </c>
      <c r="Z161" t="s">
        <v>2134</v>
      </c>
      <c r="AA161" t="s">
        <v>2057</v>
      </c>
      <c r="AB161">
        <v>4</v>
      </c>
    </row>
    <row r="162" spans="1:28" x14ac:dyDescent="0.3">
      <c r="A162" t="s">
        <v>483</v>
      </c>
      <c r="B162" t="s">
        <v>484</v>
      </c>
      <c r="C162" t="s">
        <v>130</v>
      </c>
      <c r="D162" t="s">
        <v>2209</v>
      </c>
      <c r="E162">
        <v>68</v>
      </c>
      <c r="F162" t="s">
        <v>52</v>
      </c>
      <c r="G162" t="s">
        <v>220</v>
      </c>
      <c r="H162" t="s">
        <v>485</v>
      </c>
      <c r="I162" t="s">
        <v>486</v>
      </c>
      <c r="J162" t="s">
        <v>933</v>
      </c>
      <c r="K162" s="14">
        <v>45529</v>
      </c>
      <c r="L162" t="s">
        <v>934</v>
      </c>
      <c r="M162" t="s">
        <v>182</v>
      </c>
      <c r="N162">
        <v>104.18</v>
      </c>
      <c r="O162">
        <v>4</v>
      </c>
      <c r="P162" t="s">
        <v>36</v>
      </c>
      <c r="Q162">
        <v>4</v>
      </c>
      <c r="R162">
        <v>45</v>
      </c>
      <c r="S162">
        <v>45536</v>
      </c>
      <c r="T162" t="s">
        <v>935</v>
      </c>
      <c r="U162">
        <v>7</v>
      </c>
      <c r="V162">
        <v>416.72</v>
      </c>
      <c r="W162">
        <v>0.08</v>
      </c>
      <c r="X162">
        <v>383.38240000000002</v>
      </c>
      <c r="Y162">
        <v>428.38240000000002</v>
      </c>
      <c r="Z162" t="s">
        <v>2105</v>
      </c>
      <c r="AA162" t="s">
        <v>2061</v>
      </c>
      <c r="AB162">
        <v>8</v>
      </c>
    </row>
    <row r="163" spans="1:28" x14ac:dyDescent="0.3">
      <c r="A163" t="s">
        <v>466</v>
      </c>
      <c r="B163" t="s">
        <v>467</v>
      </c>
      <c r="C163" t="s">
        <v>468</v>
      </c>
      <c r="D163" t="s">
        <v>2207</v>
      </c>
      <c r="E163">
        <v>18</v>
      </c>
      <c r="F163" t="s">
        <v>41</v>
      </c>
      <c r="G163" t="s">
        <v>42</v>
      </c>
      <c r="H163" t="s">
        <v>469</v>
      </c>
      <c r="I163" t="s">
        <v>470</v>
      </c>
      <c r="J163" t="s">
        <v>936</v>
      </c>
      <c r="K163" s="14">
        <v>45535</v>
      </c>
      <c r="L163" t="s">
        <v>937</v>
      </c>
      <c r="M163" t="s">
        <v>356</v>
      </c>
      <c r="N163">
        <v>496.59</v>
      </c>
      <c r="O163">
        <v>4</v>
      </c>
      <c r="P163" t="s">
        <v>85</v>
      </c>
      <c r="Q163">
        <v>1</v>
      </c>
      <c r="R163">
        <v>59</v>
      </c>
      <c r="S163">
        <v>45541</v>
      </c>
      <c r="T163" t="s">
        <v>938</v>
      </c>
      <c r="U163">
        <v>6</v>
      </c>
      <c r="V163">
        <v>1986.36</v>
      </c>
      <c r="W163">
        <v>0.2</v>
      </c>
      <c r="X163">
        <v>1589.088</v>
      </c>
      <c r="Y163">
        <v>1648.088</v>
      </c>
      <c r="Z163" t="s">
        <v>2103</v>
      </c>
      <c r="AA163" t="s">
        <v>2061</v>
      </c>
      <c r="AB163">
        <v>8</v>
      </c>
    </row>
    <row r="164" spans="1:28" x14ac:dyDescent="0.3">
      <c r="A164" t="s">
        <v>119</v>
      </c>
      <c r="B164" t="s">
        <v>120</v>
      </c>
      <c r="C164" t="s">
        <v>121</v>
      </c>
      <c r="D164" t="s">
        <v>2171</v>
      </c>
      <c r="E164">
        <v>20</v>
      </c>
      <c r="F164" t="s">
        <v>29</v>
      </c>
      <c r="G164" t="s">
        <v>90</v>
      </c>
      <c r="H164" t="s">
        <v>122</v>
      </c>
      <c r="I164" t="s">
        <v>123</v>
      </c>
      <c r="J164" t="s">
        <v>939</v>
      </c>
      <c r="K164" s="14">
        <v>44981</v>
      </c>
      <c r="L164" t="s">
        <v>940</v>
      </c>
      <c r="M164" t="s">
        <v>941</v>
      </c>
      <c r="N164">
        <v>107.47</v>
      </c>
      <c r="O164">
        <v>5</v>
      </c>
      <c r="P164" t="s">
        <v>85</v>
      </c>
      <c r="Q164">
        <v>6</v>
      </c>
      <c r="R164">
        <v>48</v>
      </c>
      <c r="S164">
        <v>44987</v>
      </c>
      <c r="T164" t="s">
        <v>942</v>
      </c>
      <c r="U164">
        <v>6</v>
      </c>
      <c r="V164">
        <v>537.35</v>
      </c>
      <c r="W164">
        <v>0.2</v>
      </c>
      <c r="X164">
        <v>429.88</v>
      </c>
      <c r="Y164">
        <v>477.88</v>
      </c>
      <c r="Z164" t="s">
        <v>2067</v>
      </c>
      <c r="AA164" t="s">
        <v>2066</v>
      </c>
      <c r="AB164">
        <v>2</v>
      </c>
    </row>
    <row r="165" spans="1:28" x14ac:dyDescent="0.3">
      <c r="A165" t="s">
        <v>925</v>
      </c>
      <c r="B165" t="s">
        <v>926</v>
      </c>
      <c r="C165" t="s">
        <v>927</v>
      </c>
      <c r="D165" t="s">
        <v>2238</v>
      </c>
      <c r="E165">
        <v>24</v>
      </c>
      <c r="F165" t="s">
        <v>52</v>
      </c>
      <c r="G165" t="s">
        <v>220</v>
      </c>
      <c r="H165" t="s">
        <v>928</v>
      </c>
      <c r="I165" t="s">
        <v>929</v>
      </c>
      <c r="J165" t="s">
        <v>943</v>
      </c>
      <c r="K165" s="14">
        <v>45207</v>
      </c>
      <c r="L165" t="s">
        <v>944</v>
      </c>
      <c r="M165" t="s">
        <v>246</v>
      </c>
      <c r="N165">
        <v>282.63</v>
      </c>
      <c r="O165">
        <v>1</v>
      </c>
      <c r="P165" t="s">
        <v>63</v>
      </c>
      <c r="Q165">
        <v>5</v>
      </c>
      <c r="R165">
        <v>45</v>
      </c>
      <c r="S165">
        <v>45214</v>
      </c>
      <c r="T165" t="s">
        <v>945</v>
      </c>
      <c r="U165">
        <v>7</v>
      </c>
      <c r="V165">
        <v>282.63</v>
      </c>
      <c r="W165">
        <v>0</v>
      </c>
      <c r="X165">
        <v>282.63</v>
      </c>
      <c r="Y165">
        <v>282.63</v>
      </c>
      <c r="Z165" t="s">
        <v>2134</v>
      </c>
      <c r="AA165" t="s">
        <v>2061</v>
      </c>
      <c r="AB165">
        <v>10</v>
      </c>
    </row>
    <row r="166" spans="1:28" x14ac:dyDescent="0.3">
      <c r="A166" t="s">
        <v>128</v>
      </c>
      <c r="B166" t="s">
        <v>129</v>
      </c>
      <c r="C166" t="s">
        <v>130</v>
      </c>
      <c r="D166" t="s">
        <v>2172</v>
      </c>
      <c r="E166">
        <v>30</v>
      </c>
      <c r="F166" t="s">
        <v>41</v>
      </c>
      <c r="G166" t="s">
        <v>42</v>
      </c>
      <c r="H166" t="s">
        <v>131</v>
      </c>
      <c r="I166" t="s">
        <v>132</v>
      </c>
      <c r="J166" t="s">
        <v>946</v>
      </c>
      <c r="K166" s="14">
        <v>45185</v>
      </c>
      <c r="L166" t="s">
        <v>947</v>
      </c>
      <c r="M166" t="s">
        <v>430</v>
      </c>
      <c r="N166">
        <v>369.03</v>
      </c>
      <c r="O166">
        <v>1</v>
      </c>
      <c r="P166" t="s">
        <v>85</v>
      </c>
      <c r="Q166">
        <v>1</v>
      </c>
      <c r="R166">
        <v>48</v>
      </c>
      <c r="S166">
        <v>45192</v>
      </c>
      <c r="T166" t="s">
        <v>948</v>
      </c>
      <c r="U166">
        <v>7</v>
      </c>
      <c r="V166">
        <v>369.03</v>
      </c>
      <c r="W166">
        <v>0.2</v>
      </c>
      <c r="X166">
        <v>295.22399999999999</v>
      </c>
      <c r="Y166">
        <v>343.22399999999999</v>
      </c>
      <c r="Z166" t="s">
        <v>2068</v>
      </c>
      <c r="AA166" t="s">
        <v>2061</v>
      </c>
      <c r="AB166">
        <v>9</v>
      </c>
    </row>
    <row r="167" spans="1:28" x14ac:dyDescent="0.3">
      <c r="A167" t="s">
        <v>147</v>
      </c>
      <c r="B167" t="s">
        <v>148</v>
      </c>
      <c r="C167" t="s">
        <v>149</v>
      </c>
      <c r="D167" t="s">
        <v>2174</v>
      </c>
      <c r="E167">
        <v>44</v>
      </c>
      <c r="F167" t="s">
        <v>41</v>
      </c>
      <c r="G167" t="s">
        <v>90</v>
      </c>
      <c r="H167" t="s">
        <v>150</v>
      </c>
      <c r="I167" t="s">
        <v>151</v>
      </c>
      <c r="J167" t="s">
        <v>949</v>
      </c>
      <c r="K167" s="14">
        <v>45513</v>
      </c>
      <c r="L167" t="s">
        <v>950</v>
      </c>
      <c r="M167" t="s">
        <v>182</v>
      </c>
      <c r="N167">
        <v>104.18</v>
      </c>
      <c r="O167">
        <v>2</v>
      </c>
      <c r="P167" t="s">
        <v>63</v>
      </c>
      <c r="Q167">
        <v>2</v>
      </c>
      <c r="R167">
        <v>57</v>
      </c>
      <c r="S167">
        <v>45515</v>
      </c>
      <c r="T167" t="s">
        <v>951</v>
      </c>
      <c r="U167">
        <v>2</v>
      </c>
      <c r="V167">
        <v>208.36</v>
      </c>
      <c r="W167">
        <v>0</v>
      </c>
      <c r="X167">
        <v>208.36</v>
      </c>
      <c r="Y167">
        <v>208.36</v>
      </c>
      <c r="Z167" t="s">
        <v>2070</v>
      </c>
      <c r="AA167" t="s">
        <v>2066</v>
      </c>
      <c r="AB167">
        <v>8</v>
      </c>
    </row>
    <row r="168" spans="1:28" x14ac:dyDescent="0.3">
      <c r="A168" t="s">
        <v>412</v>
      </c>
      <c r="B168" t="s">
        <v>228</v>
      </c>
      <c r="C168" t="s">
        <v>413</v>
      </c>
      <c r="D168" t="s">
        <v>2201</v>
      </c>
      <c r="E168">
        <v>28</v>
      </c>
      <c r="F168" t="s">
        <v>52</v>
      </c>
      <c r="G168" t="s">
        <v>140</v>
      </c>
      <c r="H168" t="s">
        <v>414</v>
      </c>
      <c r="I168" t="s">
        <v>415</v>
      </c>
      <c r="J168" t="s">
        <v>952</v>
      </c>
      <c r="K168" s="14">
        <v>45550</v>
      </c>
      <c r="L168" t="s">
        <v>953</v>
      </c>
      <c r="M168" t="s">
        <v>154</v>
      </c>
      <c r="N168">
        <v>220.27</v>
      </c>
      <c r="O168">
        <v>2</v>
      </c>
      <c r="P168" t="s">
        <v>85</v>
      </c>
      <c r="Q168">
        <v>1</v>
      </c>
      <c r="R168">
        <v>42</v>
      </c>
      <c r="S168">
        <v>45552</v>
      </c>
      <c r="T168" t="s">
        <v>954</v>
      </c>
      <c r="U168">
        <v>2</v>
      </c>
      <c r="V168">
        <v>440.54</v>
      </c>
      <c r="W168">
        <v>0.2</v>
      </c>
      <c r="X168">
        <v>352.43200000000002</v>
      </c>
      <c r="Y168">
        <v>394.43200000000002</v>
      </c>
      <c r="Z168" t="s">
        <v>2097</v>
      </c>
      <c r="AA168" t="s">
        <v>2061</v>
      </c>
      <c r="AB168">
        <v>9</v>
      </c>
    </row>
    <row r="169" spans="1:28" x14ac:dyDescent="0.3">
      <c r="A169" t="s">
        <v>535</v>
      </c>
      <c r="B169" t="s">
        <v>536</v>
      </c>
      <c r="C169" t="s">
        <v>537</v>
      </c>
      <c r="D169" t="s">
        <v>2215</v>
      </c>
      <c r="E169">
        <v>32</v>
      </c>
      <c r="F169" t="s">
        <v>52</v>
      </c>
      <c r="G169" t="s">
        <v>90</v>
      </c>
      <c r="H169" t="s">
        <v>538</v>
      </c>
      <c r="I169" t="s">
        <v>539</v>
      </c>
      <c r="J169" t="s">
        <v>955</v>
      </c>
      <c r="K169" s="14">
        <v>45125</v>
      </c>
      <c r="L169" t="s">
        <v>956</v>
      </c>
      <c r="M169" t="s">
        <v>657</v>
      </c>
      <c r="N169">
        <v>235.63</v>
      </c>
      <c r="O169">
        <v>5</v>
      </c>
      <c r="P169" t="s">
        <v>36</v>
      </c>
      <c r="Q169">
        <v>4</v>
      </c>
      <c r="R169">
        <v>52</v>
      </c>
      <c r="S169">
        <v>45129</v>
      </c>
      <c r="T169" t="s">
        <v>957</v>
      </c>
      <c r="U169">
        <v>4</v>
      </c>
      <c r="V169">
        <v>1178.1500000000001</v>
      </c>
      <c r="W169">
        <v>0.08</v>
      </c>
      <c r="X169">
        <v>1083.8980000000001</v>
      </c>
      <c r="Y169">
        <v>1135.8980000000001</v>
      </c>
      <c r="Z169" t="s">
        <v>2111</v>
      </c>
      <c r="AA169" t="s">
        <v>2066</v>
      </c>
      <c r="AB169">
        <v>7</v>
      </c>
    </row>
    <row r="170" spans="1:28" x14ac:dyDescent="0.3">
      <c r="A170" t="s">
        <v>639</v>
      </c>
      <c r="B170" t="s">
        <v>148</v>
      </c>
      <c r="C170" t="s">
        <v>640</v>
      </c>
      <c r="D170" t="s">
        <v>2221</v>
      </c>
      <c r="E170">
        <v>44</v>
      </c>
      <c r="F170" t="s">
        <v>52</v>
      </c>
      <c r="G170" t="s">
        <v>90</v>
      </c>
      <c r="H170" t="s">
        <v>641</v>
      </c>
      <c r="I170" t="s">
        <v>642</v>
      </c>
      <c r="J170" t="s">
        <v>958</v>
      </c>
      <c r="K170" s="14">
        <v>45186</v>
      </c>
      <c r="L170" t="s">
        <v>959</v>
      </c>
      <c r="M170" t="s">
        <v>47</v>
      </c>
      <c r="N170">
        <v>166.28</v>
      </c>
      <c r="O170">
        <v>4</v>
      </c>
      <c r="P170" t="s">
        <v>85</v>
      </c>
      <c r="Q170">
        <v>6</v>
      </c>
      <c r="R170">
        <v>36</v>
      </c>
      <c r="S170">
        <v>45193</v>
      </c>
      <c r="T170" t="s">
        <v>960</v>
      </c>
      <c r="U170">
        <v>7</v>
      </c>
      <c r="V170">
        <v>665.12</v>
      </c>
      <c r="W170">
        <v>0.2</v>
      </c>
      <c r="X170">
        <v>532.096</v>
      </c>
      <c r="Y170">
        <v>568.096</v>
      </c>
      <c r="Z170" t="s">
        <v>2117</v>
      </c>
      <c r="AA170" t="s">
        <v>2061</v>
      </c>
      <c r="AB170">
        <v>9</v>
      </c>
    </row>
    <row r="171" spans="1:28" x14ac:dyDescent="0.3">
      <c r="A171" t="s">
        <v>128</v>
      </c>
      <c r="B171" t="s">
        <v>129</v>
      </c>
      <c r="C171" t="s">
        <v>130</v>
      </c>
      <c r="D171" t="s">
        <v>2172</v>
      </c>
      <c r="E171">
        <v>30</v>
      </c>
      <c r="F171" t="s">
        <v>41</v>
      </c>
      <c r="G171" t="s">
        <v>42</v>
      </c>
      <c r="H171" t="s">
        <v>131</v>
      </c>
      <c r="I171" t="s">
        <v>132</v>
      </c>
      <c r="J171" t="s">
        <v>961</v>
      </c>
      <c r="K171" s="14">
        <v>45120</v>
      </c>
      <c r="L171" t="s">
        <v>962</v>
      </c>
      <c r="M171" t="s">
        <v>62</v>
      </c>
      <c r="N171">
        <v>405</v>
      </c>
      <c r="O171">
        <v>5</v>
      </c>
      <c r="P171" t="s">
        <v>96</v>
      </c>
      <c r="Q171">
        <v>6</v>
      </c>
      <c r="R171">
        <v>36</v>
      </c>
      <c r="S171">
        <v>45127</v>
      </c>
      <c r="T171" t="s">
        <v>963</v>
      </c>
      <c r="U171">
        <v>7</v>
      </c>
      <c r="V171">
        <v>2025</v>
      </c>
      <c r="W171">
        <v>0.1</v>
      </c>
      <c r="X171">
        <v>1822.5</v>
      </c>
      <c r="Y171">
        <v>1858.5</v>
      </c>
      <c r="Z171" t="s">
        <v>2068</v>
      </c>
      <c r="AA171" t="s">
        <v>2061</v>
      </c>
      <c r="AB171">
        <v>7</v>
      </c>
    </row>
    <row r="172" spans="1:28" x14ac:dyDescent="0.3">
      <c r="A172" t="s">
        <v>165</v>
      </c>
      <c r="B172" t="s">
        <v>166</v>
      </c>
      <c r="C172" t="s">
        <v>167</v>
      </c>
      <c r="D172" t="s">
        <v>2176</v>
      </c>
      <c r="E172">
        <v>46</v>
      </c>
      <c r="F172" t="s">
        <v>29</v>
      </c>
      <c r="G172" t="s">
        <v>168</v>
      </c>
      <c r="H172" t="s">
        <v>169</v>
      </c>
      <c r="I172" t="s">
        <v>170</v>
      </c>
      <c r="J172" t="s">
        <v>964</v>
      </c>
      <c r="K172" s="14">
        <v>45591</v>
      </c>
      <c r="L172" t="s">
        <v>965</v>
      </c>
      <c r="M172" t="s">
        <v>126</v>
      </c>
      <c r="N172">
        <v>257.06</v>
      </c>
      <c r="O172">
        <v>2</v>
      </c>
      <c r="P172" t="s">
        <v>58</v>
      </c>
      <c r="Q172">
        <v>7</v>
      </c>
      <c r="R172">
        <v>59</v>
      </c>
      <c r="S172">
        <v>45592</v>
      </c>
      <c r="T172" t="s">
        <v>966</v>
      </c>
      <c r="U172">
        <v>1</v>
      </c>
      <c r="V172">
        <v>514.12</v>
      </c>
      <c r="W172">
        <v>0.15</v>
      </c>
      <c r="X172">
        <v>437.00200000000001</v>
      </c>
      <c r="Y172">
        <v>496.00200000000001</v>
      </c>
      <c r="Z172" t="s">
        <v>2072</v>
      </c>
      <c r="AA172" t="s">
        <v>2057</v>
      </c>
      <c r="AB172">
        <v>10</v>
      </c>
    </row>
    <row r="173" spans="1:28" x14ac:dyDescent="0.3">
      <c r="A173" t="s">
        <v>925</v>
      </c>
      <c r="B173" t="s">
        <v>926</v>
      </c>
      <c r="C173" t="s">
        <v>927</v>
      </c>
      <c r="D173" t="s">
        <v>2238</v>
      </c>
      <c r="E173">
        <v>24</v>
      </c>
      <c r="F173" t="s">
        <v>52</v>
      </c>
      <c r="G173" t="s">
        <v>220</v>
      </c>
      <c r="H173" t="s">
        <v>928</v>
      </c>
      <c r="I173" t="s">
        <v>929</v>
      </c>
      <c r="J173" t="s">
        <v>967</v>
      </c>
      <c r="K173" s="14">
        <v>45525</v>
      </c>
      <c r="L173" t="s">
        <v>968</v>
      </c>
      <c r="M173" t="s">
        <v>418</v>
      </c>
      <c r="N173">
        <v>44.5</v>
      </c>
      <c r="O173">
        <v>4</v>
      </c>
      <c r="P173" t="s">
        <v>36</v>
      </c>
      <c r="Q173">
        <v>5</v>
      </c>
      <c r="R173">
        <v>40</v>
      </c>
      <c r="S173">
        <v>45531</v>
      </c>
      <c r="T173" t="s">
        <v>969</v>
      </c>
      <c r="U173">
        <v>6</v>
      </c>
      <c r="V173">
        <v>178</v>
      </c>
      <c r="W173">
        <v>0.08</v>
      </c>
      <c r="X173">
        <v>163.76</v>
      </c>
      <c r="Y173">
        <v>203.76</v>
      </c>
      <c r="Z173" t="s">
        <v>2134</v>
      </c>
      <c r="AA173" t="s">
        <v>2061</v>
      </c>
      <c r="AB173">
        <v>8</v>
      </c>
    </row>
    <row r="174" spans="1:28" x14ac:dyDescent="0.3">
      <c r="A174" t="s">
        <v>639</v>
      </c>
      <c r="B174" t="s">
        <v>148</v>
      </c>
      <c r="C174" t="s">
        <v>640</v>
      </c>
      <c r="D174" t="s">
        <v>2221</v>
      </c>
      <c r="E174">
        <v>44</v>
      </c>
      <c r="F174" t="s">
        <v>52</v>
      </c>
      <c r="G174" t="s">
        <v>90</v>
      </c>
      <c r="H174" t="s">
        <v>641</v>
      </c>
      <c r="I174" t="s">
        <v>642</v>
      </c>
      <c r="J174" t="s">
        <v>970</v>
      </c>
      <c r="K174" s="14">
        <v>45561</v>
      </c>
      <c r="L174" t="s">
        <v>971</v>
      </c>
      <c r="M174" t="s">
        <v>418</v>
      </c>
      <c r="N174">
        <v>44.5</v>
      </c>
      <c r="O174">
        <v>2</v>
      </c>
      <c r="P174" t="s">
        <v>58</v>
      </c>
      <c r="Q174">
        <v>5</v>
      </c>
      <c r="R174">
        <v>52</v>
      </c>
      <c r="S174">
        <v>45563</v>
      </c>
      <c r="T174" t="s">
        <v>972</v>
      </c>
      <c r="U174">
        <v>2</v>
      </c>
      <c r="V174">
        <v>89</v>
      </c>
      <c r="W174">
        <v>0.15</v>
      </c>
      <c r="X174">
        <v>75.650000000000006</v>
      </c>
      <c r="Y174">
        <v>127.65</v>
      </c>
      <c r="Z174" t="s">
        <v>2117</v>
      </c>
      <c r="AA174" t="s">
        <v>2057</v>
      </c>
      <c r="AB174">
        <v>9</v>
      </c>
    </row>
    <row r="175" spans="1:28" x14ac:dyDescent="0.3">
      <c r="A175" t="s">
        <v>622</v>
      </c>
      <c r="B175" t="s">
        <v>129</v>
      </c>
      <c r="C175" t="s">
        <v>623</v>
      </c>
      <c r="D175" t="s">
        <v>2220</v>
      </c>
      <c r="E175">
        <v>47</v>
      </c>
      <c r="F175" t="s">
        <v>52</v>
      </c>
      <c r="G175" t="s">
        <v>76</v>
      </c>
      <c r="H175" t="s">
        <v>624</v>
      </c>
      <c r="I175" t="s">
        <v>625</v>
      </c>
      <c r="J175" t="s">
        <v>973</v>
      </c>
      <c r="K175" s="14">
        <v>45051</v>
      </c>
      <c r="L175" t="s">
        <v>974</v>
      </c>
      <c r="M175" t="s">
        <v>308</v>
      </c>
      <c r="N175">
        <v>129.75</v>
      </c>
      <c r="O175">
        <v>5</v>
      </c>
      <c r="P175" t="s">
        <v>63</v>
      </c>
      <c r="Q175">
        <v>3</v>
      </c>
      <c r="R175">
        <v>43</v>
      </c>
      <c r="S175">
        <v>45057</v>
      </c>
      <c r="T175" t="s">
        <v>975</v>
      </c>
      <c r="U175">
        <v>6</v>
      </c>
      <c r="V175">
        <v>648.75</v>
      </c>
      <c r="W175">
        <v>0</v>
      </c>
      <c r="X175">
        <v>648.75</v>
      </c>
      <c r="Y175">
        <v>648.75</v>
      </c>
      <c r="Z175" t="s">
        <v>2116</v>
      </c>
      <c r="AA175" t="s">
        <v>2061</v>
      </c>
      <c r="AB175">
        <v>5</v>
      </c>
    </row>
    <row r="176" spans="1:28" x14ac:dyDescent="0.3">
      <c r="A176" t="s">
        <v>671</v>
      </c>
      <c r="B176" t="s">
        <v>672</v>
      </c>
      <c r="C176" t="s">
        <v>673</v>
      </c>
      <c r="D176" t="s">
        <v>2223</v>
      </c>
      <c r="E176">
        <v>38</v>
      </c>
      <c r="F176" t="s">
        <v>41</v>
      </c>
      <c r="G176" t="s">
        <v>220</v>
      </c>
      <c r="H176" t="s">
        <v>674</v>
      </c>
      <c r="I176" t="s">
        <v>675</v>
      </c>
      <c r="J176" t="s">
        <v>976</v>
      </c>
      <c r="K176" s="14">
        <v>45318</v>
      </c>
      <c r="L176" t="s">
        <v>977</v>
      </c>
      <c r="M176" t="s">
        <v>270</v>
      </c>
      <c r="N176">
        <v>62.42</v>
      </c>
      <c r="O176">
        <v>4</v>
      </c>
      <c r="P176" t="s">
        <v>85</v>
      </c>
      <c r="Q176">
        <v>4</v>
      </c>
      <c r="R176">
        <v>37</v>
      </c>
      <c r="S176">
        <v>45321</v>
      </c>
      <c r="T176" t="s">
        <v>978</v>
      </c>
      <c r="U176">
        <v>3</v>
      </c>
      <c r="V176">
        <v>249.68</v>
      </c>
      <c r="W176">
        <v>0.2</v>
      </c>
      <c r="X176">
        <v>199.744</v>
      </c>
      <c r="Y176">
        <v>236.744</v>
      </c>
      <c r="Z176" t="s">
        <v>2119</v>
      </c>
      <c r="AA176" t="s">
        <v>2057</v>
      </c>
      <c r="AB176">
        <v>1</v>
      </c>
    </row>
    <row r="177" spans="1:28" x14ac:dyDescent="0.3">
      <c r="A177" t="s">
        <v>724</v>
      </c>
      <c r="B177" t="s">
        <v>725</v>
      </c>
      <c r="C177" t="s">
        <v>167</v>
      </c>
      <c r="D177" t="s">
        <v>2228</v>
      </c>
      <c r="E177">
        <v>70</v>
      </c>
      <c r="F177" t="s">
        <v>41</v>
      </c>
      <c r="G177" t="s">
        <v>90</v>
      </c>
      <c r="H177" t="s">
        <v>726</v>
      </c>
      <c r="I177" t="s">
        <v>727</v>
      </c>
      <c r="J177" t="s">
        <v>979</v>
      </c>
      <c r="K177" s="14">
        <v>45508</v>
      </c>
      <c r="L177" t="s">
        <v>980</v>
      </c>
      <c r="M177" t="s">
        <v>495</v>
      </c>
      <c r="N177">
        <v>421.7</v>
      </c>
      <c r="O177">
        <v>4</v>
      </c>
      <c r="P177" t="s">
        <v>36</v>
      </c>
      <c r="Q177">
        <v>7</v>
      </c>
      <c r="R177">
        <v>69</v>
      </c>
      <c r="S177">
        <v>45514</v>
      </c>
      <c r="T177" t="s">
        <v>981</v>
      </c>
      <c r="U177">
        <v>6</v>
      </c>
      <c r="V177">
        <v>1686.8</v>
      </c>
      <c r="W177">
        <v>0.08</v>
      </c>
      <c r="X177">
        <v>1551.856</v>
      </c>
      <c r="Y177">
        <v>1620.856</v>
      </c>
      <c r="Z177" t="s">
        <v>2124</v>
      </c>
      <c r="AA177" t="s">
        <v>2057</v>
      </c>
      <c r="AB177">
        <v>8</v>
      </c>
    </row>
    <row r="178" spans="1:28" x14ac:dyDescent="0.3">
      <c r="A178" t="s">
        <v>137</v>
      </c>
      <c r="B178" t="s">
        <v>138</v>
      </c>
      <c r="C178" t="s">
        <v>139</v>
      </c>
      <c r="D178" t="s">
        <v>2173</v>
      </c>
      <c r="E178">
        <v>25</v>
      </c>
      <c r="F178" t="s">
        <v>52</v>
      </c>
      <c r="G178" t="s">
        <v>140</v>
      </c>
      <c r="H178" t="s">
        <v>141</v>
      </c>
      <c r="I178" t="s">
        <v>142</v>
      </c>
      <c r="J178" t="s">
        <v>982</v>
      </c>
      <c r="K178" s="14">
        <v>45580</v>
      </c>
      <c r="L178" t="s">
        <v>983</v>
      </c>
      <c r="M178" t="s">
        <v>984</v>
      </c>
      <c r="N178">
        <v>33.49</v>
      </c>
      <c r="O178">
        <v>1</v>
      </c>
      <c r="P178" t="s">
        <v>63</v>
      </c>
      <c r="Q178">
        <v>1</v>
      </c>
      <c r="R178">
        <v>59</v>
      </c>
      <c r="S178">
        <v>45585</v>
      </c>
      <c r="T178" t="s">
        <v>985</v>
      </c>
      <c r="U178">
        <v>5</v>
      </c>
      <c r="V178">
        <v>33.49</v>
      </c>
      <c r="W178">
        <v>0</v>
      </c>
      <c r="X178">
        <v>33.49</v>
      </c>
      <c r="Y178">
        <v>33.49</v>
      </c>
      <c r="Z178" t="s">
        <v>2069</v>
      </c>
      <c r="AA178" t="s">
        <v>2061</v>
      </c>
      <c r="AB178">
        <v>10</v>
      </c>
    </row>
    <row r="179" spans="1:28" x14ac:dyDescent="0.3">
      <c r="A179" t="s">
        <v>986</v>
      </c>
      <c r="B179" t="s">
        <v>987</v>
      </c>
      <c r="C179" t="s">
        <v>988</v>
      </c>
      <c r="D179" t="s">
        <v>2239</v>
      </c>
      <c r="E179">
        <v>49</v>
      </c>
      <c r="F179" t="s">
        <v>29</v>
      </c>
      <c r="G179" t="s">
        <v>42</v>
      </c>
      <c r="H179" t="s">
        <v>989</v>
      </c>
      <c r="I179" t="s">
        <v>990</v>
      </c>
      <c r="J179" t="s">
        <v>991</v>
      </c>
      <c r="K179" s="14">
        <v>45478</v>
      </c>
      <c r="L179" t="s">
        <v>992</v>
      </c>
      <c r="M179" t="s">
        <v>173</v>
      </c>
      <c r="N179">
        <v>272.51</v>
      </c>
      <c r="O179">
        <v>4</v>
      </c>
      <c r="P179" t="s">
        <v>63</v>
      </c>
      <c r="Q179">
        <v>1</v>
      </c>
      <c r="R179">
        <v>51</v>
      </c>
      <c r="S179">
        <v>45480</v>
      </c>
      <c r="T179" t="s">
        <v>993</v>
      </c>
      <c r="U179">
        <v>2</v>
      </c>
      <c r="V179">
        <v>1090.04</v>
      </c>
      <c r="W179">
        <v>0</v>
      </c>
      <c r="X179">
        <v>1090.04</v>
      </c>
      <c r="Y179">
        <v>1090.04</v>
      </c>
      <c r="Z179" t="s">
        <v>2135</v>
      </c>
      <c r="AA179" t="s">
        <v>2061</v>
      </c>
      <c r="AB179">
        <v>7</v>
      </c>
    </row>
    <row r="180" spans="1:28" x14ac:dyDescent="0.3">
      <c r="A180" t="s">
        <v>528</v>
      </c>
      <c r="B180" t="s">
        <v>394</v>
      </c>
      <c r="C180" t="s">
        <v>529</v>
      </c>
      <c r="D180" t="s">
        <v>2214</v>
      </c>
      <c r="E180">
        <v>51</v>
      </c>
      <c r="F180" t="s">
        <v>52</v>
      </c>
      <c r="G180" t="s">
        <v>140</v>
      </c>
      <c r="H180" t="s">
        <v>530</v>
      </c>
      <c r="I180" t="s">
        <v>531</v>
      </c>
      <c r="J180" t="s">
        <v>994</v>
      </c>
      <c r="K180" s="14">
        <v>45010</v>
      </c>
      <c r="L180" t="s">
        <v>995</v>
      </c>
      <c r="M180" t="s">
        <v>563</v>
      </c>
      <c r="N180">
        <v>133.62</v>
      </c>
      <c r="O180">
        <v>2</v>
      </c>
      <c r="P180" t="s">
        <v>36</v>
      </c>
      <c r="Q180">
        <v>1</v>
      </c>
      <c r="R180">
        <v>48</v>
      </c>
      <c r="S180">
        <v>45015</v>
      </c>
      <c r="T180" t="s">
        <v>996</v>
      </c>
      <c r="U180">
        <v>5</v>
      </c>
      <c r="V180">
        <v>267.24</v>
      </c>
      <c r="W180">
        <v>0.08</v>
      </c>
      <c r="X180">
        <v>245.86080000000001</v>
      </c>
      <c r="Y180">
        <v>293.86080000000004</v>
      </c>
      <c r="Z180" t="s">
        <v>2110</v>
      </c>
      <c r="AA180" t="s">
        <v>2061</v>
      </c>
      <c r="AB180">
        <v>3</v>
      </c>
    </row>
    <row r="181" spans="1:28" x14ac:dyDescent="0.3">
      <c r="A181" t="s">
        <v>767</v>
      </c>
      <c r="B181" t="s">
        <v>768</v>
      </c>
      <c r="C181" t="s">
        <v>769</v>
      </c>
      <c r="D181" t="s">
        <v>2231</v>
      </c>
      <c r="E181">
        <v>27</v>
      </c>
      <c r="F181" t="s">
        <v>29</v>
      </c>
      <c r="G181" t="s">
        <v>42</v>
      </c>
      <c r="H181" t="s">
        <v>770</v>
      </c>
      <c r="I181" t="s">
        <v>771</v>
      </c>
      <c r="J181" t="s">
        <v>997</v>
      </c>
      <c r="K181" s="14">
        <v>45132</v>
      </c>
      <c r="L181" t="s">
        <v>998</v>
      </c>
      <c r="M181" t="s">
        <v>126</v>
      </c>
      <c r="N181">
        <v>257.06</v>
      </c>
      <c r="O181">
        <v>4</v>
      </c>
      <c r="P181" t="s">
        <v>63</v>
      </c>
      <c r="Q181">
        <v>5</v>
      </c>
      <c r="R181">
        <v>52</v>
      </c>
      <c r="S181">
        <v>45136</v>
      </c>
      <c r="T181" t="s">
        <v>999</v>
      </c>
      <c r="U181">
        <v>4</v>
      </c>
      <c r="V181">
        <v>1028.24</v>
      </c>
      <c r="W181">
        <v>0</v>
      </c>
      <c r="X181">
        <v>1028.24</v>
      </c>
      <c r="Y181">
        <v>1028.24</v>
      </c>
      <c r="Z181" t="s">
        <v>2127</v>
      </c>
      <c r="AA181" t="s">
        <v>2057</v>
      </c>
      <c r="AB181">
        <v>7</v>
      </c>
    </row>
    <row r="182" spans="1:28" x14ac:dyDescent="0.3">
      <c r="A182" t="s">
        <v>137</v>
      </c>
      <c r="B182" t="s">
        <v>138</v>
      </c>
      <c r="C182" t="s">
        <v>139</v>
      </c>
      <c r="D182" t="s">
        <v>2173</v>
      </c>
      <c r="E182">
        <v>25</v>
      </c>
      <c r="F182" t="s">
        <v>52</v>
      </c>
      <c r="G182" t="s">
        <v>140</v>
      </c>
      <c r="H182" t="s">
        <v>141</v>
      </c>
      <c r="I182" t="s">
        <v>142</v>
      </c>
      <c r="J182" t="s">
        <v>1000</v>
      </c>
      <c r="K182" s="14">
        <v>45457</v>
      </c>
      <c r="L182" t="s">
        <v>1001</v>
      </c>
      <c r="M182" t="s">
        <v>774</v>
      </c>
      <c r="N182">
        <v>20</v>
      </c>
      <c r="O182">
        <v>5</v>
      </c>
      <c r="P182" t="s">
        <v>58</v>
      </c>
      <c r="Q182">
        <v>6</v>
      </c>
      <c r="R182">
        <v>36</v>
      </c>
      <c r="S182">
        <v>45463</v>
      </c>
      <c r="T182" t="s">
        <v>1002</v>
      </c>
      <c r="U182">
        <v>6</v>
      </c>
      <c r="V182">
        <v>100</v>
      </c>
      <c r="W182">
        <v>0.15</v>
      </c>
      <c r="X182">
        <v>85</v>
      </c>
      <c r="Y182">
        <v>121</v>
      </c>
      <c r="Z182" t="s">
        <v>2069</v>
      </c>
      <c r="AA182" t="s">
        <v>2066</v>
      </c>
      <c r="AB182">
        <v>6</v>
      </c>
    </row>
    <row r="183" spans="1:28" x14ac:dyDescent="0.3">
      <c r="A183" t="s">
        <v>716</v>
      </c>
      <c r="B183" t="s">
        <v>717</v>
      </c>
      <c r="C183" t="s">
        <v>718</v>
      </c>
      <c r="D183" t="s">
        <v>2227</v>
      </c>
      <c r="E183">
        <v>32</v>
      </c>
      <c r="F183" t="s">
        <v>41</v>
      </c>
      <c r="G183" t="s">
        <v>30</v>
      </c>
      <c r="H183" t="s">
        <v>719</v>
      </c>
      <c r="I183" t="s">
        <v>720</v>
      </c>
      <c r="J183" t="s">
        <v>1003</v>
      </c>
      <c r="K183" s="14">
        <v>45343</v>
      </c>
      <c r="L183" t="s">
        <v>1004</v>
      </c>
      <c r="M183" t="s">
        <v>657</v>
      </c>
      <c r="N183">
        <v>235.63</v>
      </c>
      <c r="O183">
        <v>3</v>
      </c>
      <c r="P183" t="s">
        <v>96</v>
      </c>
      <c r="Q183">
        <v>5</v>
      </c>
      <c r="R183">
        <v>44</v>
      </c>
      <c r="S183">
        <v>45347</v>
      </c>
      <c r="T183" t="s">
        <v>1005</v>
      </c>
      <c r="U183">
        <v>4</v>
      </c>
      <c r="V183">
        <v>706.89</v>
      </c>
      <c r="W183">
        <v>0.1</v>
      </c>
      <c r="X183">
        <v>636.20100000000002</v>
      </c>
      <c r="Y183">
        <v>680.20100000000002</v>
      </c>
      <c r="Z183" t="s">
        <v>2123</v>
      </c>
      <c r="AA183" t="s">
        <v>2057</v>
      </c>
      <c r="AB183">
        <v>2</v>
      </c>
    </row>
    <row r="184" spans="1:28" x14ac:dyDescent="0.3">
      <c r="A184" t="s">
        <v>26</v>
      </c>
      <c r="B184" t="s">
        <v>27</v>
      </c>
      <c r="C184" t="s">
        <v>28</v>
      </c>
      <c r="D184" t="s">
        <v>2163</v>
      </c>
      <c r="E184">
        <v>37</v>
      </c>
      <c r="F184" t="s">
        <v>29</v>
      </c>
      <c r="G184" t="s">
        <v>30</v>
      </c>
      <c r="H184" t="s">
        <v>31</v>
      </c>
      <c r="I184" t="s">
        <v>32</v>
      </c>
      <c r="J184" t="s">
        <v>1006</v>
      </c>
      <c r="K184" s="14">
        <v>45095</v>
      </c>
      <c r="L184" t="s">
        <v>1007</v>
      </c>
      <c r="M184" t="s">
        <v>563</v>
      </c>
      <c r="N184">
        <v>133.62</v>
      </c>
      <c r="O184">
        <v>5</v>
      </c>
      <c r="P184" t="s">
        <v>63</v>
      </c>
      <c r="Q184">
        <v>7</v>
      </c>
      <c r="R184">
        <v>58</v>
      </c>
      <c r="S184">
        <v>45098</v>
      </c>
      <c r="T184" t="s">
        <v>1008</v>
      </c>
      <c r="U184">
        <v>3</v>
      </c>
      <c r="V184">
        <v>668.1</v>
      </c>
      <c r="W184">
        <v>0</v>
      </c>
      <c r="X184">
        <v>668.1</v>
      </c>
      <c r="Y184">
        <v>668.1</v>
      </c>
      <c r="Z184" t="s">
        <v>2056</v>
      </c>
      <c r="AA184" t="s">
        <v>2057</v>
      </c>
      <c r="AB184">
        <v>6</v>
      </c>
    </row>
    <row r="185" spans="1:28" x14ac:dyDescent="0.3">
      <c r="A185" t="s">
        <v>490</v>
      </c>
      <c r="B185" t="s">
        <v>186</v>
      </c>
      <c r="C185" t="s">
        <v>327</v>
      </c>
      <c r="D185" t="s">
        <v>2210</v>
      </c>
      <c r="E185">
        <v>39</v>
      </c>
      <c r="F185" t="s">
        <v>52</v>
      </c>
      <c r="G185" t="s">
        <v>42</v>
      </c>
      <c r="H185" t="s">
        <v>491</v>
      </c>
      <c r="I185" t="s">
        <v>492</v>
      </c>
      <c r="J185" t="s">
        <v>1009</v>
      </c>
      <c r="K185" s="14">
        <v>45651</v>
      </c>
      <c r="L185" t="s">
        <v>1010</v>
      </c>
      <c r="M185" t="s">
        <v>495</v>
      </c>
      <c r="N185">
        <v>421.7</v>
      </c>
      <c r="O185">
        <v>2</v>
      </c>
      <c r="P185" t="s">
        <v>36</v>
      </c>
      <c r="Q185">
        <v>5</v>
      </c>
      <c r="R185">
        <v>45</v>
      </c>
      <c r="S185">
        <v>45653</v>
      </c>
      <c r="T185" t="s">
        <v>1011</v>
      </c>
      <c r="U185">
        <v>2</v>
      </c>
      <c r="V185">
        <v>843.4</v>
      </c>
      <c r="W185">
        <v>0.08</v>
      </c>
      <c r="X185">
        <v>775.928</v>
      </c>
      <c r="Y185">
        <v>820.928</v>
      </c>
      <c r="Z185" t="s">
        <v>2106</v>
      </c>
      <c r="AA185" t="s">
        <v>2057</v>
      </c>
      <c r="AB185">
        <v>12</v>
      </c>
    </row>
    <row r="186" spans="1:28" x14ac:dyDescent="0.3">
      <c r="A186" t="s">
        <v>184</v>
      </c>
      <c r="B186" t="s">
        <v>185</v>
      </c>
      <c r="C186" t="s">
        <v>186</v>
      </c>
      <c r="D186" t="s">
        <v>2178</v>
      </c>
      <c r="E186">
        <v>42</v>
      </c>
      <c r="F186" t="s">
        <v>41</v>
      </c>
      <c r="G186" t="s">
        <v>168</v>
      </c>
      <c r="H186" t="s">
        <v>187</v>
      </c>
      <c r="I186" t="s">
        <v>188</v>
      </c>
      <c r="J186" t="s">
        <v>1012</v>
      </c>
      <c r="K186" s="14">
        <v>45455</v>
      </c>
      <c r="L186" t="s">
        <v>1013</v>
      </c>
      <c r="M186" t="s">
        <v>344</v>
      </c>
      <c r="N186">
        <v>372.62</v>
      </c>
      <c r="O186">
        <v>1</v>
      </c>
      <c r="P186" t="s">
        <v>58</v>
      </c>
      <c r="Q186">
        <v>3</v>
      </c>
      <c r="R186">
        <v>35</v>
      </c>
      <c r="S186">
        <v>45458</v>
      </c>
      <c r="T186" t="s">
        <v>1014</v>
      </c>
      <c r="U186">
        <v>3</v>
      </c>
      <c r="V186">
        <v>372.62</v>
      </c>
      <c r="W186">
        <v>0.15</v>
      </c>
      <c r="X186">
        <v>316.72699999999998</v>
      </c>
      <c r="Y186">
        <v>351.72699999999998</v>
      </c>
      <c r="Z186" t="s">
        <v>2074</v>
      </c>
      <c r="AA186" t="s">
        <v>2066</v>
      </c>
      <c r="AB186">
        <v>6</v>
      </c>
    </row>
    <row r="187" spans="1:28" x14ac:dyDescent="0.3">
      <c r="A187" t="s">
        <v>535</v>
      </c>
      <c r="B187" t="s">
        <v>536</v>
      </c>
      <c r="C187" t="s">
        <v>537</v>
      </c>
      <c r="D187" t="s">
        <v>2215</v>
      </c>
      <c r="E187">
        <v>32</v>
      </c>
      <c r="F187" t="s">
        <v>52</v>
      </c>
      <c r="G187" t="s">
        <v>90</v>
      </c>
      <c r="H187" t="s">
        <v>538</v>
      </c>
      <c r="I187" t="s">
        <v>539</v>
      </c>
      <c r="J187" t="s">
        <v>1015</v>
      </c>
      <c r="K187" s="14">
        <v>45455</v>
      </c>
      <c r="L187" t="s">
        <v>1016</v>
      </c>
      <c r="M187" t="s">
        <v>95</v>
      </c>
      <c r="N187">
        <v>363.64</v>
      </c>
      <c r="O187">
        <v>3</v>
      </c>
      <c r="P187" t="s">
        <v>63</v>
      </c>
      <c r="Q187">
        <v>3</v>
      </c>
      <c r="R187">
        <v>70</v>
      </c>
      <c r="S187">
        <v>45461</v>
      </c>
      <c r="T187" t="s">
        <v>1017</v>
      </c>
      <c r="U187">
        <v>6</v>
      </c>
      <c r="V187">
        <v>1090.92</v>
      </c>
      <c r="W187">
        <v>0</v>
      </c>
      <c r="X187">
        <v>1090.92</v>
      </c>
      <c r="Y187">
        <v>1090.92</v>
      </c>
      <c r="Z187" t="s">
        <v>2111</v>
      </c>
      <c r="AA187" t="s">
        <v>2061</v>
      </c>
      <c r="AB187">
        <v>6</v>
      </c>
    </row>
    <row r="188" spans="1:28" x14ac:dyDescent="0.3">
      <c r="A188" t="s">
        <v>73</v>
      </c>
      <c r="B188" t="s">
        <v>74</v>
      </c>
      <c r="C188" t="s">
        <v>75</v>
      </c>
      <c r="D188" t="s">
        <v>2167</v>
      </c>
      <c r="E188">
        <v>53</v>
      </c>
      <c r="F188" t="s">
        <v>52</v>
      </c>
      <c r="G188" t="s">
        <v>76</v>
      </c>
      <c r="H188" t="s">
        <v>77</v>
      </c>
      <c r="I188" t="s">
        <v>78</v>
      </c>
      <c r="J188" t="s">
        <v>1018</v>
      </c>
      <c r="K188" s="14">
        <v>45561</v>
      </c>
      <c r="L188" t="s">
        <v>1019</v>
      </c>
      <c r="M188" t="s">
        <v>81</v>
      </c>
      <c r="N188">
        <v>330.11</v>
      </c>
      <c r="O188">
        <v>4</v>
      </c>
      <c r="P188" t="s">
        <v>85</v>
      </c>
      <c r="Q188">
        <v>4</v>
      </c>
      <c r="R188">
        <v>47</v>
      </c>
      <c r="S188">
        <v>45566</v>
      </c>
      <c r="T188" t="s">
        <v>1020</v>
      </c>
      <c r="U188">
        <v>5</v>
      </c>
      <c r="V188">
        <v>1320.44</v>
      </c>
      <c r="W188">
        <v>0.2</v>
      </c>
      <c r="X188">
        <v>1056.3520000000001</v>
      </c>
      <c r="Y188">
        <v>1103.3520000000001</v>
      </c>
      <c r="Z188" t="s">
        <v>2062</v>
      </c>
      <c r="AA188" t="s">
        <v>2061</v>
      </c>
      <c r="AB188">
        <v>9</v>
      </c>
    </row>
    <row r="189" spans="1:28" x14ac:dyDescent="0.3">
      <c r="A189" t="s">
        <v>316</v>
      </c>
      <c r="B189" t="s">
        <v>317</v>
      </c>
      <c r="C189" t="s">
        <v>318</v>
      </c>
      <c r="D189" t="s">
        <v>2191</v>
      </c>
      <c r="E189">
        <v>45</v>
      </c>
      <c r="F189" t="s">
        <v>29</v>
      </c>
      <c r="G189" t="s">
        <v>42</v>
      </c>
      <c r="H189" t="s">
        <v>319</v>
      </c>
      <c r="I189" t="s">
        <v>320</v>
      </c>
      <c r="J189" t="s">
        <v>1021</v>
      </c>
      <c r="K189" s="14">
        <v>45099</v>
      </c>
      <c r="L189" t="s">
        <v>1022</v>
      </c>
      <c r="M189" t="s">
        <v>941</v>
      </c>
      <c r="N189">
        <v>107.47</v>
      </c>
      <c r="O189">
        <v>1</v>
      </c>
      <c r="P189" t="s">
        <v>96</v>
      </c>
      <c r="Q189">
        <v>5</v>
      </c>
      <c r="R189">
        <v>56</v>
      </c>
      <c r="S189">
        <v>45104</v>
      </c>
      <c r="T189" t="s">
        <v>1023</v>
      </c>
      <c r="U189">
        <v>5</v>
      </c>
      <c r="V189">
        <v>107.47</v>
      </c>
      <c r="W189">
        <v>0.1</v>
      </c>
      <c r="X189">
        <v>96.722999999999999</v>
      </c>
      <c r="Y189">
        <v>152.72300000000001</v>
      </c>
      <c r="Z189" t="s">
        <v>2087</v>
      </c>
      <c r="AA189" t="s">
        <v>2066</v>
      </c>
      <c r="AB189">
        <v>6</v>
      </c>
    </row>
    <row r="190" spans="1:28" x14ac:dyDescent="0.3">
      <c r="A190" t="s">
        <v>165</v>
      </c>
      <c r="B190" t="s">
        <v>166</v>
      </c>
      <c r="C190" t="s">
        <v>167</v>
      </c>
      <c r="D190" t="s">
        <v>2176</v>
      </c>
      <c r="E190">
        <v>46</v>
      </c>
      <c r="F190" t="s">
        <v>29</v>
      </c>
      <c r="G190" t="s">
        <v>168</v>
      </c>
      <c r="H190" t="s">
        <v>169</v>
      </c>
      <c r="I190" t="s">
        <v>170</v>
      </c>
      <c r="J190" t="s">
        <v>1024</v>
      </c>
      <c r="K190" s="14">
        <v>45586</v>
      </c>
      <c r="L190" t="s">
        <v>1025</v>
      </c>
      <c r="M190" t="s">
        <v>242</v>
      </c>
      <c r="N190">
        <v>126.19</v>
      </c>
      <c r="O190">
        <v>1</v>
      </c>
      <c r="P190" t="s">
        <v>85</v>
      </c>
      <c r="Q190">
        <v>5</v>
      </c>
      <c r="R190">
        <v>68</v>
      </c>
      <c r="S190">
        <v>45588</v>
      </c>
      <c r="T190" t="s">
        <v>1026</v>
      </c>
      <c r="U190">
        <v>2</v>
      </c>
      <c r="V190">
        <v>126.19</v>
      </c>
      <c r="W190">
        <v>0.2</v>
      </c>
      <c r="X190">
        <v>100.952</v>
      </c>
      <c r="Y190">
        <v>168.952</v>
      </c>
      <c r="Z190" t="s">
        <v>2072</v>
      </c>
      <c r="AA190" t="s">
        <v>2057</v>
      </c>
      <c r="AB190">
        <v>10</v>
      </c>
    </row>
    <row r="191" spans="1:28" x14ac:dyDescent="0.3">
      <c r="A191" t="s">
        <v>646</v>
      </c>
      <c r="B191" t="s">
        <v>647</v>
      </c>
      <c r="C191" t="s">
        <v>648</v>
      </c>
      <c r="D191" t="s">
        <v>2222</v>
      </c>
      <c r="E191">
        <v>45</v>
      </c>
      <c r="F191" t="s">
        <v>52</v>
      </c>
      <c r="G191" t="s">
        <v>90</v>
      </c>
      <c r="H191" t="s">
        <v>649</v>
      </c>
      <c r="I191" t="s">
        <v>650</v>
      </c>
      <c r="J191" t="s">
        <v>1027</v>
      </c>
      <c r="K191" s="14">
        <v>45060</v>
      </c>
      <c r="L191" t="s">
        <v>1028</v>
      </c>
      <c r="M191" t="s">
        <v>748</v>
      </c>
      <c r="N191">
        <v>381.73</v>
      </c>
      <c r="O191">
        <v>2</v>
      </c>
      <c r="P191" t="s">
        <v>63</v>
      </c>
      <c r="Q191">
        <v>5</v>
      </c>
      <c r="R191">
        <v>38</v>
      </c>
      <c r="S191">
        <v>45066</v>
      </c>
      <c r="T191" t="s">
        <v>1029</v>
      </c>
      <c r="U191">
        <v>6</v>
      </c>
      <c r="V191">
        <v>763.46</v>
      </c>
      <c r="W191">
        <v>0</v>
      </c>
      <c r="X191">
        <v>763.46</v>
      </c>
      <c r="Y191">
        <v>763.46</v>
      </c>
      <c r="Z191" t="s">
        <v>2118</v>
      </c>
      <c r="AA191" t="s">
        <v>2061</v>
      </c>
      <c r="AB191">
        <v>5</v>
      </c>
    </row>
    <row r="192" spans="1:28" x14ac:dyDescent="0.3">
      <c r="A192" t="s">
        <v>475</v>
      </c>
      <c r="B192" t="s">
        <v>108</v>
      </c>
      <c r="C192" t="s">
        <v>476</v>
      </c>
      <c r="D192" t="s">
        <v>2208</v>
      </c>
      <c r="E192">
        <v>33</v>
      </c>
      <c r="F192" t="s">
        <v>29</v>
      </c>
      <c r="G192" t="s">
        <v>168</v>
      </c>
      <c r="H192" t="s">
        <v>477</v>
      </c>
      <c r="I192" t="s">
        <v>478</v>
      </c>
      <c r="J192" t="s">
        <v>1030</v>
      </c>
      <c r="K192" s="14">
        <v>45069</v>
      </c>
      <c r="L192" t="s">
        <v>1031</v>
      </c>
      <c r="M192" t="s">
        <v>871</v>
      </c>
      <c r="N192">
        <v>292.14999999999998</v>
      </c>
      <c r="O192">
        <v>5</v>
      </c>
      <c r="P192" t="s">
        <v>96</v>
      </c>
      <c r="Q192">
        <v>6</v>
      </c>
      <c r="R192">
        <v>68</v>
      </c>
      <c r="S192">
        <v>45071</v>
      </c>
      <c r="T192" t="s">
        <v>1032</v>
      </c>
      <c r="U192">
        <v>2</v>
      </c>
      <c r="V192">
        <v>1460.75</v>
      </c>
      <c r="W192">
        <v>0.1</v>
      </c>
      <c r="X192">
        <v>1314.675</v>
      </c>
      <c r="Y192">
        <v>1382.675</v>
      </c>
      <c r="Z192" t="s">
        <v>2104</v>
      </c>
      <c r="AA192" t="s">
        <v>2057</v>
      </c>
      <c r="AB192">
        <v>5</v>
      </c>
    </row>
    <row r="193" spans="1:28" x14ac:dyDescent="0.3">
      <c r="A193" t="s">
        <v>490</v>
      </c>
      <c r="B193" t="s">
        <v>186</v>
      </c>
      <c r="C193" t="s">
        <v>327</v>
      </c>
      <c r="D193" t="s">
        <v>2210</v>
      </c>
      <c r="E193">
        <v>39</v>
      </c>
      <c r="F193" t="s">
        <v>52</v>
      </c>
      <c r="G193" t="s">
        <v>42</v>
      </c>
      <c r="H193" t="s">
        <v>491</v>
      </c>
      <c r="I193" t="s">
        <v>492</v>
      </c>
      <c r="J193" t="s">
        <v>1033</v>
      </c>
      <c r="K193" s="14">
        <v>45036</v>
      </c>
      <c r="L193" t="s">
        <v>1034</v>
      </c>
      <c r="M193" t="s">
        <v>514</v>
      </c>
      <c r="N193">
        <v>136.30000000000001</v>
      </c>
      <c r="O193">
        <v>3</v>
      </c>
      <c r="P193" t="s">
        <v>58</v>
      </c>
      <c r="Q193">
        <v>6</v>
      </c>
      <c r="R193">
        <v>42</v>
      </c>
      <c r="S193">
        <v>45043</v>
      </c>
      <c r="T193" t="s">
        <v>1035</v>
      </c>
      <c r="U193">
        <v>7</v>
      </c>
      <c r="V193">
        <v>408.90000000000003</v>
      </c>
      <c r="W193">
        <v>0.15</v>
      </c>
      <c r="X193">
        <v>347.56500000000005</v>
      </c>
      <c r="Y193">
        <v>389.56500000000005</v>
      </c>
      <c r="Z193" t="s">
        <v>2106</v>
      </c>
      <c r="AA193" t="s">
        <v>2061</v>
      </c>
      <c r="AB193">
        <v>4</v>
      </c>
    </row>
    <row r="194" spans="1:28" x14ac:dyDescent="0.3">
      <c r="A194" t="s">
        <v>639</v>
      </c>
      <c r="B194" t="s">
        <v>148</v>
      </c>
      <c r="C194" t="s">
        <v>640</v>
      </c>
      <c r="D194" t="s">
        <v>2221</v>
      </c>
      <c r="E194">
        <v>44</v>
      </c>
      <c r="F194" t="s">
        <v>52</v>
      </c>
      <c r="G194" t="s">
        <v>90</v>
      </c>
      <c r="H194" t="s">
        <v>641</v>
      </c>
      <c r="I194" t="s">
        <v>642</v>
      </c>
      <c r="J194" t="s">
        <v>1036</v>
      </c>
      <c r="K194" s="14">
        <v>45208</v>
      </c>
      <c r="L194" t="s">
        <v>1037</v>
      </c>
      <c r="M194" t="s">
        <v>590</v>
      </c>
      <c r="N194">
        <v>403.03</v>
      </c>
      <c r="O194">
        <v>3</v>
      </c>
      <c r="P194" t="s">
        <v>58</v>
      </c>
      <c r="Q194">
        <v>4</v>
      </c>
      <c r="R194">
        <v>67</v>
      </c>
      <c r="S194">
        <v>45213</v>
      </c>
      <c r="T194" t="s">
        <v>1038</v>
      </c>
      <c r="U194">
        <v>5</v>
      </c>
      <c r="V194">
        <v>1209.0899999999999</v>
      </c>
      <c r="W194">
        <v>0.15</v>
      </c>
      <c r="X194">
        <v>1027.7265</v>
      </c>
      <c r="Y194">
        <v>1094.7265</v>
      </c>
      <c r="Z194" t="s">
        <v>2117</v>
      </c>
      <c r="AA194" t="s">
        <v>2061</v>
      </c>
      <c r="AB194">
        <v>10</v>
      </c>
    </row>
    <row r="195" spans="1:28" x14ac:dyDescent="0.3">
      <c r="A195" t="s">
        <v>435</v>
      </c>
      <c r="B195" t="s">
        <v>436</v>
      </c>
      <c r="C195" t="s">
        <v>437</v>
      </c>
      <c r="D195" t="s">
        <v>2203</v>
      </c>
      <c r="E195">
        <v>28</v>
      </c>
      <c r="F195" t="s">
        <v>52</v>
      </c>
      <c r="G195" t="s">
        <v>76</v>
      </c>
      <c r="H195" t="s">
        <v>438</v>
      </c>
      <c r="I195" t="s">
        <v>439</v>
      </c>
      <c r="J195" t="s">
        <v>1039</v>
      </c>
      <c r="K195" s="14">
        <v>45241</v>
      </c>
      <c r="L195" t="s">
        <v>1040</v>
      </c>
      <c r="M195" t="s">
        <v>637</v>
      </c>
      <c r="N195">
        <v>445.81</v>
      </c>
      <c r="O195">
        <v>2</v>
      </c>
      <c r="P195" t="s">
        <v>63</v>
      </c>
      <c r="Q195">
        <v>7</v>
      </c>
      <c r="R195">
        <v>67</v>
      </c>
      <c r="S195">
        <v>45242</v>
      </c>
      <c r="T195" t="s">
        <v>1041</v>
      </c>
      <c r="U195">
        <v>1</v>
      </c>
      <c r="V195">
        <v>891.62</v>
      </c>
      <c r="W195">
        <v>0</v>
      </c>
      <c r="X195">
        <v>891.62</v>
      </c>
      <c r="Y195">
        <v>891.62</v>
      </c>
      <c r="Z195" t="s">
        <v>2099</v>
      </c>
      <c r="AA195" t="s">
        <v>2057</v>
      </c>
      <c r="AB195">
        <v>11</v>
      </c>
    </row>
    <row r="196" spans="1:28" x14ac:dyDescent="0.3">
      <c r="A196" t="s">
        <v>1042</v>
      </c>
      <c r="B196" t="s">
        <v>74</v>
      </c>
      <c r="C196" t="s">
        <v>1043</v>
      </c>
      <c r="D196" t="s">
        <v>2240</v>
      </c>
      <c r="E196">
        <v>46</v>
      </c>
      <c r="F196" t="s">
        <v>29</v>
      </c>
      <c r="G196" t="s">
        <v>30</v>
      </c>
      <c r="H196" t="s">
        <v>1044</v>
      </c>
      <c r="I196" t="s">
        <v>1045</v>
      </c>
      <c r="J196" t="s">
        <v>1046</v>
      </c>
      <c r="K196" s="14">
        <v>45051</v>
      </c>
      <c r="L196" t="s">
        <v>1047</v>
      </c>
      <c r="M196" t="s">
        <v>308</v>
      </c>
      <c r="N196">
        <v>129.75</v>
      </c>
      <c r="O196">
        <v>5</v>
      </c>
      <c r="P196" t="s">
        <v>85</v>
      </c>
      <c r="Q196">
        <v>6</v>
      </c>
      <c r="R196">
        <v>38</v>
      </c>
      <c r="S196">
        <v>45057</v>
      </c>
      <c r="T196" t="s">
        <v>1048</v>
      </c>
      <c r="U196">
        <v>6</v>
      </c>
      <c r="V196">
        <v>648.75</v>
      </c>
      <c r="W196">
        <v>0.2</v>
      </c>
      <c r="X196">
        <v>519</v>
      </c>
      <c r="Y196">
        <v>557</v>
      </c>
      <c r="Z196" t="s">
        <v>2136</v>
      </c>
      <c r="AA196" t="s">
        <v>2066</v>
      </c>
      <c r="AB196">
        <v>5</v>
      </c>
    </row>
    <row r="197" spans="1:28" x14ac:dyDescent="0.3">
      <c r="A197" t="s">
        <v>507</v>
      </c>
      <c r="B197" t="s">
        <v>508</v>
      </c>
      <c r="C197" t="s">
        <v>509</v>
      </c>
      <c r="D197" t="s">
        <v>2212</v>
      </c>
      <c r="E197">
        <v>64</v>
      </c>
      <c r="F197" t="s">
        <v>29</v>
      </c>
      <c r="G197" t="s">
        <v>30</v>
      </c>
      <c r="H197" t="s">
        <v>510</v>
      </c>
      <c r="I197" t="s">
        <v>511</v>
      </c>
      <c r="J197" t="s">
        <v>1049</v>
      </c>
      <c r="K197" s="14">
        <v>45282</v>
      </c>
      <c r="L197" t="s">
        <v>1050</v>
      </c>
      <c r="M197" t="s">
        <v>984</v>
      </c>
      <c r="N197">
        <v>33.49</v>
      </c>
      <c r="O197">
        <v>3</v>
      </c>
      <c r="P197" t="s">
        <v>58</v>
      </c>
      <c r="Q197">
        <v>2</v>
      </c>
      <c r="R197">
        <v>62</v>
      </c>
      <c r="S197">
        <v>45284</v>
      </c>
      <c r="T197" t="s">
        <v>1051</v>
      </c>
      <c r="U197">
        <v>2</v>
      </c>
      <c r="V197">
        <v>100.47</v>
      </c>
      <c r="W197">
        <v>0.15</v>
      </c>
      <c r="X197">
        <v>85.399500000000003</v>
      </c>
      <c r="Y197">
        <v>147.39949999999999</v>
      </c>
      <c r="Z197" t="s">
        <v>2108</v>
      </c>
      <c r="AA197" t="s">
        <v>2066</v>
      </c>
      <c r="AB197">
        <v>12</v>
      </c>
    </row>
    <row r="198" spans="1:28" x14ac:dyDescent="0.3">
      <c r="A198" t="s">
        <v>535</v>
      </c>
      <c r="B198" t="s">
        <v>536</v>
      </c>
      <c r="C198" t="s">
        <v>537</v>
      </c>
      <c r="D198" t="s">
        <v>2215</v>
      </c>
      <c r="E198">
        <v>32</v>
      </c>
      <c r="F198" t="s">
        <v>52</v>
      </c>
      <c r="G198" t="s">
        <v>90</v>
      </c>
      <c r="H198" t="s">
        <v>538</v>
      </c>
      <c r="I198" t="s">
        <v>539</v>
      </c>
      <c r="J198" t="s">
        <v>1052</v>
      </c>
      <c r="K198" s="14">
        <v>45689</v>
      </c>
      <c r="L198" t="s">
        <v>1053</v>
      </c>
      <c r="M198" t="s">
        <v>81</v>
      </c>
      <c r="N198">
        <v>330.11</v>
      </c>
      <c r="O198">
        <v>4</v>
      </c>
      <c r="P198" t="s">
        <v>85</v>
      </c>
      <c r="Q198">
        <v>2</v>
      </c>
      <c r="R198">
        <v>69</v>
      </c>
      <c r="S198">
        <v>45695</v>
      </c>
      <c r="T198" t="s">
        <v>1054</v>
      </c>
      <c r="U198">
        <v>6</v>
      </c>
      <c r="V198">
        <v>1320.44</v>
      </c>
      <c r="W198">
        <v>0.2</v>
      </c>
      <c r="X198">
        <v>1056.3520000000001</v>
      </c>
      <c r="Y198">
        <v>1125.3520000000001</v>
      </c>
      <c r="Z198" t="s">
        <v>2111</v>
      </c>
      <c r="AA198" t="s">
        <v>2061</v>
      </c>
      <c r="AB198">
        <v>2</v>
      </c>
    </row>
    <row r="199" spans="1:28" x14ac:dyDescent="0.3">
      <c r="A199" t="s">
        <v>401</v>
      </c>
      <c r="B199" t="s">
        <v>402</v>
      </c>
      <c r="C199" t="s">
        <v>403</v>
      </c>
      <c r="D199" t="s">
        <v>2200</v>
      </c>
      <c r="E199">
        <v>70</v>
      </c>
      <c r="F199" t="s">
        <v>29</v>
      </c>
      <c r="G199" t="s">
        <v>30</v>
      </c>
      <c r="H199" t="s">
        <v>404</v>
      </c>
      <c r="I199" t="s">
        <v>405</v>
      </c>
      <c r="J199" t="s">
        <v>1055</v>
      </c>
      <c r="K199" s="14">
        <v>45045</v>
      </c>
      <c r="L199" t="s">
        <v>1056</v>
      </c>
      <c r="M199" t="s">
        <v>57</v>
      </c>
      <c r="N199">
        <v>202.54</v>
      </c>
      <c r="O199">
        <v>5</v>
      </c>
      <c r="P199" t="s">
        <v>58</v>
      </c>
      <c r="Q199">
        <v>1</v>
      </c>
      <c r="R199">
        <v>47</v>
      </c>
      <c r="S199">
        <v>45051</v>
      </c>
      <c r="T199" t="s">
        <v>1057</v>
      </c>
      <c r="U199">
        <v>6</v>
      </c>
      <c r="V199">
        <v>1012.6999999999999</v>
      </c>
      <c r="W199">
        <v>0.15</v>
      </c>
      <c r="X199">
        <v>860.79499999999996</v>
      </c>
      <c r="Y199">
        <v>907.79499999999996</v>
      </c>
      <c r="Z199" t="s">
        <v>2096</v>
      </c>
      <c r="AA199" t="s">
        <v>2061</v>
      </c>
      <c r="AB199">
        <v>4</v>
      </c>
    </row>
    <row r="200" spans="1:28" x14ac:dyDescent="0.3">
      <c r="A200" t="s">
        <v>575</v>
      </c>
      <c r="B200" t="s">
        <v>256</v>
      </c>
      <c r="C200" t="s">
        <v>576</v>
      </c>
      <c r="D200" t="s">
        <v>2217</v>
      </c>
      <c r="E200">
        <v>35</v>
      </c>
      <c r="F200" t="s">
        <v>29</v>
      </c>
      <c r="G200" t="s">
        <v>30</v>
      </c>
      <c r="H200" t="s">
        <v>577</v>
      </c>
      <c r="I200" t="s">
        <v>578</v>
      </c>
      <c r="J200" t="s">
        <v>1058</v>
      </c>
      <c r="K200" s="14">
        <v>45253</v>
      </c>
      <c r="L200" t="s">
        <v>1059</v>
      </c>
      <c r="M200" t="s">
        <v>47</v>
      </c>
      <c r="N200">
        <v>166.28</v>
      </c>
      <c r="O200">
        <v>4</v>
      </c>
      <c r="P200" t="s">
        <v>96</v>
      </c>
      <c r="Q200">
        <v>4</v>
      </c>
      <c r="R200">
        <v>44</v>
      </c>
      <c r="S200">
        <v>45257</v>
      </c>
      <c r="T200" t="s">
        <v>1060</v>
      </c>
      <c r="U200">
        <v>4</v>
      </c>
      <c r="V200">
        <v>665.12</v>
      </c>
      <c r="W200">
        <v>0.1</v>
      </c>
      <c r="X200">
        <v>598.60799999999995</v>
      </c>
      <c r="Y200">
        <v>642.60799999999995</v>
      </c>
      <c r="Z200" t="s">
        <v>2113</v>
      </c>
      <c r="AA200" t="s">
        <v>2066</v>
      </c>
      <c r="AB200">
        <v>11</v>
      </c>
    </row>
    <row r="201" spans="1:28" x14ac:dyDescent="0.3">
      <c r="A201" t="s">
        <v>435</v>
      </c>
      <c r="B201" t="s">
        <v>436</v>
      </c>
      <c r="C201" t="s">
        <v>437</v>
      </c>
      <c r="D201" t="s">
        <v>2203</v>
      </c>
      <c r="E201">
        <v>28</v>
      </c>
      <c r="F201" t="s">
        <v>52</v>
      </c>
      <c r="G201" t="s">
        <v>76</v>
      </c>
      <c r="H201" t="s">
        <v>438</v>
      </c>
      <c r="I201" t="s">
        <v>439</v>
      </c>
      <c r="J201" t="s">
        <v>1061</v>
      </c>
      <c r="K201" s="14">
        <v>45523</v>
      </c>
      <c r="L201" t="s">
        <v>1062</v>
      </c>
      <c r="M201" t="s">
        <v>871</v>
      </c>
      <c r="N201">
        <v>292.14999999999998</v>
      </c>
      <c r="O201">
        <v>2</v>
      </c>
      <c r="P201" t="s">
        <v>58</v>
      </c>
      <c r="Q201">
        <v>4</v>
      </c>
      <c r="R201">
        <v>58</v>
      </c>
      <c r="S201">
        <v>45526</v>
      </c>
      <c r="T201" t="s">
        <v>1063</v>
      </c>
      <c r="U201">
        <v>3</v>
      </c>
      <c r="V201">
        <v>584.29999999999995</v>
      </c>
      <c r="W201">
        <v>0.15</v>
      </c>
      <c r="X201">
        <v>496.65499999999997</v>
      </c>
      <c r="Y201">
        <v>554.65499999999997</v>
      </c>
      <c r="Z201" t="s">
        <v>2099</v>
      </c>
      <c r="AA201" t="s">
        <v>2057</v>
      </c>
      <c r="AB201">
        <v>8</v>
      </c>
    </row>
    <row r="202" spans="1:28" x14ac:dyDescent="0.3">
      <c r="A202" t="s">
        <v>1042</v>
      </c>
      <c r="B202" t="s">
        <v>74</v>
      </c>
      <c r="C202" t="s">
        <v>1043</v>
      </c>
      <c r="D202" t="s">
        <v>2240</v>
      </c>
      <c r="E202">
        <v>46</v>
      </c>
      <c r="F202" t="s">
        <v>29</v>
      </c>
      <c r="G202" t="s">
        <v>30</v>
      </c>
      <c r="H202" t="s">
        <v>1044</v>
      </c>
      <c r="I202" t="s">
        <v>1045</v>
      </c>
      <c r="J202" t="s">
        <v>1064</v>
      </c>
      <c r="K202" s="14">
        <v>45481</v>
      </c>
      <c r="L202" t="s">
        <v>1065</v>
      </c>
      <c r="M202" t="s">
        <v>173</v>
      </c>
      <c r="N202">
        <v>272.51</v>
      </c>
      <c r="O202">
        <v>4</v>
      </c>
      <c r="P202" t="s">
        <v>63</v>
      </c>
      <c r="Q202">
        <v>7</v>
      </c>
      <c r="R202">
        <v>38</v>
      </c>
      <c r="S202">
        <v>45482</v>
      </c>
      <c r="T202" t="s">
        <v>1066</v>
      </c>
      <c r="U202">
        <v>1</v>
      </c>
      <c r="V202">
        <v>1090.04</v>
      </c>
      <c r="W202">
        <v>0</v>
      </c>
      <c r="X202">
        <v>1090.04</v>
      </c>
      <c r="Y202">
        <v>1090.04</v>
      </c>
      <c r="Z202" t="s">
        <v>2136</v>
      </c>
      <c r="AA202" t="s">
        <v>2057</v>
      </c>
      <c r="AB202">
        <v>7</v>
      </c>
    </row>
    <row r="203" spans="1:28" x14ac:dyDescent="0.3">
      <c r="A203" t="s">
        <v>316</v>
      </c>
      <c r="B203" t="s">
        <v>317</v>
      </c>
      <c r="C203" t="s">
        <v>318</v>
      </c>
      <c r="D203" t="s">
        <v>2191</v>
      </c>
      <c r="E203">
        <v>45</v>
      </c>
      <c r="F203" t="s">
        <v>29</v>
      </c>
      <c r="G203" t="s">
        <v>42</v>
      </c>
      <c r="H203" t="s">
        <v>319</v>
      </c>
      <c r="I203" t="s">
        <v>320</v>
      </c>
      <c r="J203" t="s">
        <v>1067</v>
      </c>
      <c r="K203" s="14">
        <v>45079</v>
      </c>
      <c r="L203" t="s">
        <v>1068</v>
      </c>
      <c r="M203" t="s">
        <v>287</v>
      </c>
      <c r="N203">
        <v>157.63999999999999</v>
      </c>
      <c r="O203">
        <v>3</v>
      </c>
      <c r="P203" t="s">
        <v>85</v>
      </c>
      <c r="Q203">
        <v>2</v>
      </c>
      <c r="R203">
        <v>47</v>
      </c>
      <c r="S203">
        <v>45085</v>
      </c>
      <c r="T203" t="s">
        <v>1069</v>
      </c>
      <c r="U203">
        <v>6</v>
      </c>
      <c r="V203">
        <v>472.91999999999996</v>
      </c>
      <c r="W203">
        <v>0.2</v>
      </c>
      <c r="X203">
        <v>378.33599999999996</v>
      </c>
      <c r="Y203">
        <v>425.33599999999996</v>
      </c>
      <c r="Z203" t="s">
        <v>2087</v>
      </c>
      <c r="AA203" t="s">
        <v>2061</v>
      </c>
      <c r="AB203">
        <v>6</v>
      </c>
    </row>
    <row r="204" spans="1:28" x14ac:dyDescent="0.3">
      <c r="A204" t="s">
        <v>301</v>
      </c>
      <c r="B204" t="s">
        <v>302</v>
      </c>
      <c r="C204" t="s">
        <v>303</v>
      </c>
      <c r="D204" t="s">
        <v>2190</v>
      </c>
      <c r="E204">
        <v>26</v>
      </c>
      <c r="F204" t="s">
        <v>52</v>
      </c>
      <c r="G204" t="s">
        <v>168</v>
      </c>
      <c r="H204" t="s">
        <v>304</v>
      </c>
      <c r="I204" t="s">
        <v>305</v>
      </c>
      <c r="J204" t="s">
        <v>1070</v>
      </c>
      <c r="K204" s="14">
        <v>45053</v>
      </c>
      <c r="L204" t="s">
        <v>1071</v>
      </c>
      <c r="M204" t="s">
        <v>270</v>
      </c>
      <c r="N204">
        <v>62.42</v>
      </c>
      <c r="O204">
        <v>3</v>
      </c>
      <c r="P204" t="s">
        <v>58</v>
      </c>
      <c r="Q204">
        <v>5</v>
      </c>
      <c r="R204">
        <v>62</v>
      </c>
      <c r="S204">
        <v>45058</v>
      </c>
      <c r="T204" t="s">
        <v>1072</v>
      </c>
      <c r="U204">
        <v>5</v>
      </c>
      <c r="V204">
        <v>187.26</v>
      </c>
      <c r="W204">
        <v>0.15</v>
      </c>
      <c r="X204">
        <v>159.17099999999999</v>
      </c>
      <c r="Y204">
        <v>221.17099999999999</v>
      </c>
      <c r="Z204" t="s">
        <v>2086</v>
      </c>
      <c r="AA204" t="s">
        <v>2066</v>
      </c>
      <c r="AB204">
        <v>5</v>
      </c>
    </row>
    <row r="205" spans="1:28" x14ac:dyDescent="0.3">
      <c r="A205" t="s">
        <v>520</v>
      </c>
      <c r="B205" t="s">
        <v>521</v>
      </c>
      <c r="C205" t="s">
        <v>522</v>
      </c>
      <c r="D205" t="s">
        <v>2213</v>
      </c>
      <c r="E205">
        <v>42</v>
      </c>
      <c r="F205" t="s">
        <v>52</v>
      </c>
      <c r="G205" t="s">
        <v>76</v>
      </c>
      <c r="H205" t="s">
        <v>523</v>
      </c>
      <c r="I205" t="s">
        <v>524</v>
      </c>
      <c r="J205" t="s">
        <v>1073</v>
      </c>
      <c r="K205" s="14">
        <v>45495</v>
      </c>
      <c r="L205" t="s">
        <v>1074</v>
      </c>
      <c r="M205" t="s">
        <v>95</v>
      </c>
      <c r="N205">
        <v>363.64</v>
      </c>
      <c r="O205">
        <v>3</v>
      </c>
      <c r="P205" t="s">
        <v>36</v>
      </c>
      <c r="Q205">
        <v>5</v>
      </c>
      <c r="R205">
        <v>53</v>
      </c>
      <c r="S205">
        <v>45502</v>
      </c>
      <c r="T205" t="s">
        <v>1075</v>
      </c>
      <c r="U205">
        <v>7</v>
      </c>
      <c r="V205">
        <v>1090.92</v>
      </c>
      <c r="W205">
        <v>0.08</v>
      </c>
      <c r="X205">
        <v>1003.6464000000001</v>
      </c>
      <c r="Y205">
        <v>1056.6464000000001</v>
      </c>
      <c r="Z205" t="s">
        <v>2109</v>
      </c>
      <c r="AA205" t="s">
        <v>2061</v>
      </c>
      <c r="AB205">
        <v>7</v>
      </c>
    </row>
    <row r="206" spans="1:28" x14ac:dyDescent="0.3">
      <c r="A206" t="s">
        <v>546</v>
      </c>
      <c r="B206" t="s">
        <v>547</v>
      </c>
      <c r="C206" t="s">
        <v>548</v>
      </c>
      <c r="D206" t="s">
        <v>2216</v>
      </c>
      <c r="E206">
        <v>33</v>
      </c>
      <c r="F206" t="s">
        <v>52</v>
      </c>
      <c r="G206" t="s">
        <v>168</v>
      </c>
      <c r="H206" t="s">
        <v>549</v>
      </c>
      <c r="I206" t="s">
        <v>550</v>
      </c>
      <c r="J206" t="s">
        <v>1076</v>
      </c>
      <c r="K206" s="14">
        <v>45125</v>
      </c>
      <c r="L206" t="s">
        <v>1077</v>
      </c>
      <c r="M206" t="s">
        <v>573</v>
      </c>
      <c r="N206">
        <v>477.52</v>
      </c>
      <c r="O206">
        <v>4</v>
      </c>
      <c r="P206" t="s">
        <v>85</v>
      </c>
      <c r="Q206">
        <v>5</v>
      </c>
      <c r="R206">
        <v>55</v>
      </c>
      <c r="S206">
        <v>45127</v>
      </c>
      <c r="T206" t="s">
        <v>1078</v>
      </c>
      <c r="U206">
        <v>2</v>
      </c>
      <c r="V206">
        <v>1910.08</v>
      </c>
      <c r="W206">
        <v>0.2</v>
      </c>
      <c r="X206">
        <v>1528.0639999999999</v>
      </c>
      <c r="Y206">
        <v>1583.0639999999999</v>
      </c>
      <c r="Z206" t="s">
        <v>2112</v>
      </c>
      <c r="AA206" t="s">
        <v>2057</v>
      </c>
      <c r="AB206">
        <v>7</v>
      </c>
    </row>
    <row r="207" spans="1:28" x14ac:dyDescent="0.3">
      <c r="A207" t="s">
        <v>1079</v>
      </c>
      <c r="B207" t="s">
        <v>218</v>
      </c>
      <c r="C207" t="s">
        <v>1080</v>
      </c>
      <c r="D207" t="s">
        <v>2241</v>
      </c>
      <c r="E207">
        <v>55</v>
      </c>
      <c r="F207" t="s">
        <v>41</v>
      </c>
      <c r="G207" t="s">
        <v>159</v>
      </c>
      <c r="H207" t="s">
        <v>1081</v>
      </c>
      <c r="I207" t="s">
        <v>1082</v>
      </c>
      <c r="J207" t="s">
        <v>1083</v>
      </c>
      <c r="K207" s="14">
        <v>45168</v>
      </c>
      <c r="L207" t="s">
        <v>1084</v>
      </c>
      <c r="M207" t="s">
        <v>242</v>
      </c>
      <c r="N207">
        <v>126.19</v>
      </c>
      <c r="O207">
        <v>2</v>
      </c>
      <c r="P207" t="s">
        <v>63</v>
      </c>
      <c r="Q207">
        <v>5</v>
      </c>
      <c r="R207">
        <v>59</v>
      </c>
      <c r="S207">
        <v>45174</v>
      </c>
      <c r="T207" t="s">
        <v>1085</v>
      </c>
      <c r="U207">
        <v>6</v>
      </c>
      <c r="V207">
        <v>252.38</v>
      </c>
      <c r="W207">
        <v>0</v>
      </c>
      <c r="X207">
        <v>252.38</v>
      </c>
      <c r="Y207">
        <v>252.38</v>
      </c>
      <c r="Z207" t="s">
        <v>2137</v>
      </c>
      <c r="AA207" t="s">
        <v>2061</v>
      </c>
      <c r="AB207">
        <v>8</v>
      </c>
    </row>
    <row r="208" spans="1:28" x14ac:dyDescent="0.3">
      <c r="A208" t="s">
        <v>731</v>
      </c>
      <c r="B208" t="s">
        <v>732</v>
      </c>
      <c r="C208" t="s">
        <v>733</v>
      </c>
      <c r="D208" t="s">
        <v>2229</v>
      </c>
      <c r="E208">
        <v>30</v>
      </c>
      <c r="F208" t="s">
        <v>29</v>
      </c>
      <c r="G208" t="s">
        <v>159</v>
      </c>
      <c r="H208" t="s">
        <v>734</v>
      </c>
      <c r="I208" t="s">
        <v>735</v>
      </c>
      <c r="J208" t="s">
        <v>1086</v>
      </c>
      <c r="K208" s="14">
        <v>45320</v>
      </c>
      <c r="L208" t="s">
        <v>1087</v>
      </c>
      <c r="M208" t="s">
        <v>481</v>
      </c>
      <c r="N208">
        <v>87.09</v>
      </c>
      <c r="O208">
        <v>1</v>
      </c>
      <c r="P208" t="s">
        <v>96</v>
      </c>
      <c r="Q208">
        <v>1</v>
      </c>
      <c r="R208">
        <v>61</v>
      </c>
      <c r="S208">
        <v>45321</v>
      </c>
      <c r="T208" t="s">
        <v>1088</v>
      </c>
      <c r="U208">
        <v>1</v>
      </c>
      <c r="V208">
        <v>87.09</v>
      </c>
      <c r="W208">
        <v>0.1</v>
      </c>
      <c r="X208">
        <v>78.381</v>
      </c>
      <c r="Y208">
        <v>139.381</v>
      </c>
      <c r="Z208" t="s">
        <v>2125</v>
      </c>
      <c r="AA208" t="s">
        <v>2066</v>
      </c>
      <c r="AB208">
        <v>1</v>
      </c>
    </row>
    <row r="209" spans="1:28" x14ac:dyDescent="0.3">
      <c r="A209" t="s">
        <v>393</v>
      </c>
      <c r="B209" t="s">
        <v>394</v>
      </c>
      <c r="C209" t="s">
        <v>395</v>
      </c>
      <c r="D209" t="s">
        <v>2199</v>
      </c>
      <c r="E209">
        <v>40</v>
      </c>
      <c r="F209" t="s">
        <v>52</v>
      </c>
      <c r="G209" t="s">
        <v>168</v>
      </c>
      <c r="H209" t="s">
        <v>396</v>
      </c>
      <c r="I209" t="s">
        <v>397</v>
      </c>
      <c r="J209" t="s">
        <v>1089</v>
      </c>
      <c r="K209" s="14">
        <v>45074</v>
      </c>
      <c r="L209" t="s">
        <v>1090</v>
      </c>
      <c r="M209" t="s">
        <v>738</v>
      </c>
      <c r="N209">
        <v>110.95</v>
      </c>
      <c r="O209">
        <v>3</v>
      </c>
      <c r="P209" t="s">
        <v>96</v>
      </c>
      <c r="Q209">
        <v>6</v>
      </c>
      <c r="R209">
        <v>65</v>
      </c>
      <c r="S209">
        <v>45079</v>
      </c>
      <c r="T209" t="s">
        <v>1091</v>
      </c>
      <c r="U209">
        <v>5</v>
      </c>
      <c r="V209">
        <v>332.85</v>
      </c>
      <c r="W209">
        <v>0.1</v>
      </c>
      <c r="X209">
        <v>299.565</v>
      </c>
      <c r="Y209">
        <v>364.565</v>
      </c>
      <c r="Z209" t="s">
        <v>2095</v>
      </c>
      <c r="AA209" t="s">
        <v>2057</v>
      </c>
      <c r="AB209">
        <v>5</v>
      </c>
    </row>
    <row r="210" spans="1:28" x14ac:dyDescent="0.3">
      <c r="A210" t="s">
        <v>639</v>
      </c>
      <c r="B210" t="s">
        <v>148</v>
      </c>
      <c r="C210" t="s">
        <v>640</v>
      </c>
      <c r="D210" t="s">
        <v>2221</v>
      </c>
      <c r="E210">
        <v>44</v>
      </c>
      <c r="F210" t="s">
        <v>52</v>
      </c>
      <c r="G210" t="s">
        <v>90</v>
      </c>
      <c r="H210" t="s">
        <v>641</v>
      </c>
      <c r="I210" t="s">
        <v>642</v>
      </c>
      <c r="J210" t="s">
        <v>1092</v>
      </c>
      <c r="K210" s="14">
        <v>45285</v>
      </c>
      <c r="L210" t="s">
        <v>1093</v>
      </c>
      <c r="M210" t="s">
        <v>984</v>
      </c>
      <c r="N210">
        <v>33.49</v>
      </c>
      <c r="O210">
        <v>1</v>
      </c>
      <c r="P210" t="s">
        <v>36</v>
      </c>
      <c r="Q210">
        <v>2</v>
      </c>
      <c r="R210">
        <v>67</v>
      </c>
      <c r="S210">
        <v>45286</v>
      </c>
      <c r="T210" t="s">
        <v>1094</v>
      </c>
      <c r="U210">
        <v>1</v>
      </c>
      <c r="V210">
        <v>33.49</v>
      </c>
      <c r="W210">
        <v>0.08</v>
      </c>
      <c r="X210">
        <v>30.8108</v>
      </c>
      <c r="Y210">
        <v>97.8108</v>
      </c>
      <c r="Z210" t="s">
        <v>2117</v>
      </c>
      <c r="AA210" t="s">
        <v>2057</v>
      </c>
      <c r="AB210">
        <v>12</v>
      </c>
    </row>
    <row r="211" spans="1:28" x14ac:dyDescent="0.3">
      <c r="A211" t="s">
        <v>420</v>
      </c>
      <c r="B211" t="s">
        <v>421</v>
      </c>
      <c r="C211" t="s">
        <v>422</v>
      </c>
      <c r="D211" t="s">
        <v>2202</v>
      </c>
      <c r="E211">
        <v>52</v>
      </c>
      <c r="F211" t="s">
        <v>52</v>
      </c>
      <c r="G211" t="s">
        <v>220</v>
      </c>
      <c r="H211" t="s">
        <v>423</v>
      </c>
      <c r="I211" t="s">
        <v>424</v>
      </c>
      <c r="J211" t="s">
        <v>1095</v>
      </c>
      <c r="K211" s="14">
        <v>45001</v>
      </c>
      <c r="L211" t="s">
        <v>1096</v>
      </c>
      <c r="M211" t="s">
        <v>553</v>
      </c>
      <c r="N211">
        <v>425.59</v>
      </c>
      <c r="O211">
        <v>3</v>
      </c>
      <c r="P211" t="s">
        <v>36</v>
      </c>
      <c r="Q211">
        <v>7</v>
      </c>
      <c r="R211">
        <v>68</v>
      </c>
      <c r="S211">
        <v>45005</v>
      </c>
      <c r="T211" t="s">
        <v>809</v>
      </c>
      <c r="U211">
        <v>4</v>
      </c>
      <c r="V211">
        <v>1276.77</v>
      </c>
      <c r="W211">
        <v>0.08</v>
      </c>
      <c r="X211">
        <v>1174.6284000000001</v>
      </c>
      <c r="Y211">
        <v>1242.6284000000001</v>
      </c>
      <c r="Z211" t="s">
        <v>2098</v>
      </c>
      <c r="AA211" t="s">
        <v>2057</v>
      </c>
      <c r="AB211">
        <v>3</v>
      </c>
    </row>
    <row r="212" spans="1:28" x14ac:dyDescent="0.3">
      <c r="A212" t="s">
        <v>1079</v>
      </c>
      <c r="B212" t="s">
        <v>218</v>
      </c>
      <c r="C212" t="s">
        <v>1080</v>
      </c>
      <c r="D212" t="s">
        <v>2241</v>
      </c>
      <c r="E212">
        <v>55</v>
      </c>
      <c r="F212" t="s">
        <v>41</v>
      </c>
      <c r="G212" t="s">
        <v>159</v>
      </c>
      <c r="H212" t="s">
        <v>1081</v>
      </c>
      <c r="I212" t="s">
        <v>1082</v>
      </c>
      <c r="J212" t="s">
        <v>1097</v>
      </c>
      <c r="K212" s="14">
        <v>45039</v>
      </c>
      <c r="L212" t="s">
        <v>1098</v>
      </c>
      <c r="M212" t="s">
        <v>518</v>
      </c>
      <c r="N212">
        <v>441.03</v>
      </c>
      <c r="O212">
        <v>5</v>
      </c>
      <c r="P212" t="s">
        <v>58</v>
      </c>
      <c r="Q212">
        <v>3</v>
      </c>
      <c r="R212">
        <v>37</v>
      </c>
      <c r="S212">
        <v>45044</v>
      </c>
      <c r="T212" t="s">
        <v>1099</v>
      </c>
      <c r="U212">
        <v>5</v>
      </c>
      <c r="V212">
        <v>2205.1499999999996</v>
      </c>
      <c r="W212">
        <v>0.15</v>
      </c>
      <c r="X212">
        <v>1874.3774999999996</v>
      </c>
      <c r="Y212">
        <v>1911.3774999999996</v>
      </c>
      <c r="Z212" t="s">
        <v>2137</v>
      </c>
      <c r="AA212" t="s">
        <v>2061</v>
      </c>
      <c r="AB212">
        <v>4</v>
      </c>
    </row>
    <row r="213" spans="1:28" x14ac:dyDescent="0.3">
      <c r="A213" t="s">
        <v>528</v>
      </c>
      <c r="B213" t="s">
        <v>394</v>
      </c>
      <c r="C213" t="s">
        <v>529</v>
      </c>
      <c r="D213" t="s">
        <v>2214</v>
      </c>
      <c r="E213">
        <v>51</v>
      </c>
      <c r="F213" t="s">
        <v>52</v>
      </c>
      <c r="G213" t="s">
        <v>140</v>
      </c>
      <c r="H213" t="s">
        <v>530</v>
      </c>
      <c r="I213" t="s">
        <v>531</v>
      </c>
      <c r="J213" t="s">
        <v>1100</v>
      </c>
      <c r="K213" s="14">
        <v>45339</v>
      </c>
      <c r="L213" t="s">
        <v>1101</v>
      </c>
      <c r="M213" t="s">
        <v>308</v>
      </c>
      <c r="N213">
        <v>129.75</v>
      </c>
      <c r="O213">
        <v>3</v>
      </c>
      <c r="P213" t="s">
        <v>58</v>
      </c>
      <c r="Q213">
        <v>5</v>
      </c>
      <c r="R213">
        <v>37</v>
      </c>
      <c r="S213">
        <v>45341</v>
      </c>
      <c r="T213" t="s">
        <v>1102</v>
      </c>
      <c r="U213">
        <v>2</v>
      </c>
      <c r="V213">
        <v>389.25</v>
      </c>
      <c r="W213">
        <v>0.15</v>
      </c>
      <c r="X213">
        <v>330.86250000000001</v>
      </c>
      <c r="Y213">
        <v>367.86250000000001</v>
      </c>
      <c r="Z213" t="s">
        <v>2110</v>
      </c>
      <c r="AA213" t="s">
        <v>2057</v>
      </c>
      <c r="AB213">
        <v>2</v>
      </c>
    </row>
    <row r="214" spans="1:28" x14ac:dyDescent="0.3">
      <c r="A214" t="s">
        <v>1103</v>
      </c>
      <c r="B214" t="s">
        <v>1104</v>
      </c>
      <c r="C214" t="s">
        <v>1105</v>
      </c>
      <c r="D214" t="s">
        <v>2242</v>
      </c>
      <c r="E214">
        <v>18</v>
      </c>
      <c r="F214" t="s">
        <v>29</v>
      </c>
      <c r="G214" t="s">
        <v>76</v>
      </c>
      <c r="H214" t="s">
        <v>1106</v>
      </c>
      <c r="I214" t="s">
        <v>1107</v>
      </c>
      <c r="J214" t="s">
        <v>1108</v>
      </c>
      <c r="K214" s="14">
        <v>45349</v>
      </c>
      <c r="L214" t="s">
        <v>1109</v>
      </c>
      <c r="M214" t="s">
        <v>657</v>
      </c>
      <c r="N214">
        <v>235.63</v>
      </c>
      <c r="O214">
        <v>1</v>
      </c>
      <c r="P214" t="s">
        <v>36</v>
      </c>
      <c r="Q214">
        <v>6</v>
      </c>
      <c r="R214">
        <v>58</v>
      </c>
      <c r="S214">
        <v>45354</v>
      </c>
      <c r="T214" t="s">
        <v>1110</v>
      </c>
      <c r="U214">
        <v>5</v>
      </c>
      <c r="V214">
        <v>235.63</v>
      </c>
      <c r="W214">
        <v>0.08</v>
      </c>
      <c r="X214">
        <v>216.77959999999999</v>
      </c>
      <c r="Y214">
        <v>274.77959999999996</v>
      </c>
      <c r="Z214" t="s">
        <v>2138</v>
      </c>
      <c r="AA214" t="s">
        <v>2057</v>
      </c>
      <c r="AB214">
        <v>2</v>
      </c>
    </row>
    <row r="215" spans="1:28" x14ac:dyDescent="0.3">
      <c r="A215" t="s">
        <v>175</v>
      </c>
      <c r="B215" t="s">
        <v>176</v>
      </c>
      <c r="C215" t="s">
        <v>177</v>
      </c>
      <c r="D215" t="s">
        <v>2177</v>
      </c>
      <c r="E215">
        <v>36</v>
      </c>
      <c r="F215" t="s">
        <v>52</v>
      </c>
      <c r="G215" t="s">
        <v>140</v>
      </c>
      <c r="H215" t="s">
        <v>178</v>
      </c>
      <c r="I215" t="s">
        <v>179</v>
      </c>
      <c r="J215" t="s">
        <v>1111</v>
      </c>
      <c r="K215" s="14">
        <v>45549</v>
      </c>
      <c r="L215" t="s">
        <v>1112</v>
      </c>
      <c r="M215" t="s">
        <v>514</v>
      </c>
      <c r="N215">
        <v>136.30000000000001</v>
      </c>
      <c r="O215">
        <v>2</v>
      </c>
      <c r="P215" t="s">
        <v>85</v>
      </c>
      <c r="Q215">
        <v>7</v>
      </c>
      <c r="R215">
        <v>51</v>
      </c>
      <c r="S215">
        <v>45550</v>
      </c>
      <c r="T215" t="s">
        <v>1113</v>
      </c>
      <c r="U215">
        <v>1</v>
      </c>
      <c r="V215">
        <v>272.60000000000002</v>
      </c>
      <c r="W215">
        <v>0.2</v>
      </c>
      <c r="X215">
        <v>218.08</v>
      </c>
      <c r="Y215">
        <v>269.08000000000004</v>
      </c>
      <c r="Z215" t="s">
        <v>2073</v>
      </c>
      <c r="AA215" t="s">
        <v>2057</v>
      </c>
      <c r="AB215">
        <v>9</v>
      </c>
    </row>
    <row r="216" spans="1:28" x14ac:dyDescent="0.3">
      <c r="A216" t="s">
        <v>483</v>
      </c>
      <c r="B216" t="s">
        <v>484</v>
      </c>
      <c r="C216" t="s">
        <v>130</v>
      </c>
      <c r="D216" t="s">
        <v>2209</v>
      </c>
      <c r="E216">
        <v>68</v>
      </c>
      <c r="F216" t="s">
        <v>52</v>
      </c>
      <c r="G216" t="s">
        <v>220</v>
      </c>
      <c r="H216" t="s">
        <v>485</v>
      </c>
      <c r="I216" t="s">
        <v>486</v>
      </c>
      <c r="J216" t="s">
        <v>1114</v>
      </c>
      <c r="K216" s="14">
        <v>45112</v>
      </c>
      <c r="L216" t="s">
        <v>1115</v>
      </c>
      <c r="M216" t="s">
        <v>941</v>
      </c>
      <c r="N216">
        <v>107.47</v>
      </c>
      <c r="O216">
        <v>4</v>
      </c>
      <c r="P216" t="s">
        <v>85</v>
      </c>
      <c r="Q216">
        <v>5</v>
      </c>
      <c r="R216">
        <v>51</v>
      </c>
      <c r="S216">
        <v>45115</v>
      </c>
      <c r="T216" t="s">
        <v>1116</v>
      </c>
      <c r="U216">
        <v>3</v>
      </c>
      <c r="V216">
        <v>429.88</v>
      </c>
      <c r="W216">
        <v>0.2</v>
      </c>
      <c r="X216">
        <v>343.904</v>
      </c>
      <c r="Y216">
        <v>394.904</v>
      </c>
      <c r="Z216" t="s">
        <v>2105</v>
      </c>
      <c r="AA216" t="s">
        <v>2057</v>
      </c>
      <c r="AB216">
        <v>7</v>
      </c>
    </row>
    <row r="217" spans="1:28" x14ac:dyDescent="0.3">
      <c r="A217" t="s">
        <v>925</v>
      </c>
      <c r="B217" t="s">
        <v>926</v>
      </c>
      <c r="C217" t="s">
        <v>927</v>
      </c>
      <c r="D217" t="s">
        <v>2238</v>
      </c>
      <c r="E217">
        <v>24</v>
      </c>
      <c r="F217" t="s">
        <v>52</v>
      </c>
      <c r="G217" t="s">
        <v>220</v>
      </c>
      <c r="H217" t="s">
        <v>928</v>
      </c>
      <c r="I217" t="s">
        <v>929</v>
      </c>
      <c r="J217" t="s">
        <v>1117</v>
      </c>
      <c r="K217" s="14">
        <v>45271</v>
      </c>
      <c r="L217" t="s">
        <v>1118</v>
      </c>
      <c r="M217" t="s">
        <v>105</v>
      </c>
      <c r="N217">
        <v>275.44</v>
      </c>
      <c r="O217">
        <v>2</v>
      </c>
      <c r="P217" t="s">
        <v>36</v>
      </c>
      <c r="Q217">
        <v>2</v>
      </c>
      <c r="R217">
        <v>36</v>
      </c>
      <c r="S217">
        <v>45276</v>
      </c>
      <c r="T217" t="s">
        <v>1119</v>
      </c>
      <c r="U217">
        <v>5</v>
      </c>
      <c r="V217">
        <v>550.88</v>
      </c>
      <c r="W217">
        <v>0.08</v>
      </c>
      <c r="X217">
        <v>506.80959999999999</v>
      </c>
      <c r="Y217">
        <v>542.80960000000005</v>
      </c>
      <c r="Z217" t="s">
        <v>2134</v>
      </c>
      <c r="AA217" t="s">
        <v>2061</v>
      </c>
      <c r="AB217">
        <v>12</v>
      </c>
    </row>
    <row r="218" spans="1:28" x14ac:dyDescent="0.3">
      <c r="A218" t="s">
        <v>776</v>
      </c>
      <c r="B218" t="s">
        <v>777</v>
      </c>
      <c r="C218" t="s">
        <v>778</v>
      </c>
      <c r="D218" t="s">
        <v>2232</v>
      </c>
      <c r="E218">
        <v>32</v>
      </c>
      <c r="F218" t="s">
        <v>29</v>
      </c>
      <c r="G218" t="s">
        <v>159</v>
      </c>
      <c r="H218" t="s">
        <v>779</v>
      </c>
      <c r="I218" t="s">
        <v>780</v>
      </c>
      <c r="J218" t="s">
        <v>1120</v>
      </c>
      <c r="K218" s="14">
        <v>45588</v>
      </c>
      <c r="L218" t="s">
        <v>1121</v>
      </c>
      <c r="M218" t="s">
        <v>941</v>
      </c>
      <c r="N218">
        <v>107.47</v>
      </c>
      <c r="O218">
        <v>2</v>
      </c>
      <c r="P218" t="s">
        <v>58</v>
      </c>
      <c r="Q218">
        <v>5</v>
      </c>
      <c r="R218">
        <v>55</v>
      </c>
      <c r="S218">
        <v>45592</v>
      </c>
      <c r="T218" t="s">
        <v>1122</v>
      </c>
      <c r="U218">
        <v>4</v>
      </c>
      <c r="V218">
        <v>214.94</v>
      </c>
      <c r="W218">
        <v>0.15</v>
      </c>
      <c r="X218">
        <v>182.69900000000001</v>
      </c>
      <c r="Y218">
        <v>237.69900000000001</v>
      </c>
      <c r="Z218" t="s">
        <v>2128</v>
      </c>
      <c r="AA218" t="s">
        <v>2057</v>
      </c>
      <c r="AB218">
        <v>10</v>
      </c>
    </row>
    <row r="219" spans="1:28" x14ac:dyDescent="0.3">
      <c r="A219" t="s">
        <v>65</v>
      </c>
      <c r="B219" t="s">
        <v>66</v>
      </c>
      <c r="C219" t="s">
        <v>67</v>
      </c>
      <c r="D219" t="s">
        <v>2166</v>
      </c>
      <c r="E219">
        <v>49</v>
      </c>
      <c r="F219" t="s">
        <v>52</v>
      </c>
      <c r="G219" t="s">
        <v>30</v>
      </c>
      <c r="H219" t="s">
        <v>68</v>
      </c>
      <c r="I219" t="s">
        <v>69</v>
      </c>
      <c r="J219" t="s">
        <v>1123</v>
      </c>
      <c r="K219" s="14">
        <v>45578</v>
      </c>
      <c r="L219" t="s">
        <v>1124</v>
      </c>
      <c r="M219" t="s">
        <v>291</v>
      </c>
      <c r="N219">
        <v>158.53</v>
      </c>
      <c r="O219">
        <v>5</v>
      </c>
      <c r="P219" t="s">
        <v>36</v>
      </c>
      <c r="Q219">
        <v>2</v>
      </c>
      <c r="R219">
        <v>64</v>
      </c>
      <c r="S219">
        <v>45582</v>
      </c>
      <c r="T219" t="s">
        <v>1125</v>
      </c>
      <c r="U219">
        <v>4</v>
      </c>
      <c r="V219">
        <v>792.65</v>
      </c>
      <c r="W219">
        <v>0.08</v>
      </c>
      <c r="X219">
        <v>729.23799999999994</v>
      </c>
      <c r="Y219">
        <v>793.23799999999994</v>
      </c>
      <c r="Z219" t="s">
        <v>2060</v>
      </c>
      <c r="AA219" t="s">
        <v>2061</v>
      </c>
      <c r="AB219">
        <v>10</v>
      </c>
    </row>
    <row r="220" spans="1:28" x14ac:dyDescent="0.3">
      <c r="A220" t="s">
        <v>209</v>
      </c>
      <c r="B220" t="s">
        <v>210</v>
      </c>
      <c r="C220" t="s">
        <v>211</v>
      </c>
      <c r="D220" t="s">
        <v>2181</v>
      </c>
      <c r="E220">
        <v>39</v>
      </c>
      <c r="F220" t="s">
        <v>41</v>
      </c>
      <c r="G220" t="s">
        <v>159</v>
      </c>
      <c r="H220" t="s">
        <v>212</v>
      </c>
      <c r="I220" t="s">
        <v>213</v>
      </c>
      <c r="J220" t="s">
        <v>1126</v>
      </c>
      <c r="K220" s="14">
        <v>45541</v>
      </c>
      <c r="L220" t="s">
        <v>1127</v>
      </c>
      <c r="M220" t="s">
        <v>95</v>
      </c>
      <c r="N220">
        <v>363.64</v>
      </c>
      <c r="O220">
        <v>2</v>
      </c>
      <c r="P220" t="s">
        <v>85</v>
      </c>
      <c r="Q220">
        <v>6</v>
      </c>
      <c r="R220">
        <v>37</v>
      </c>
      <c r="S220">
        <v>45544</v>
      </c>
      <c r="T220" t="s">
        <v>1128</v>
      </c>
      <c r="U220">
        <v>3</v>
      </c>
      <c r="V220">
        <v>727.28</v>
      </c>
      <c r="W220">
        <v>0.2</v>
      </c>
      <c r="X220">
        <v>581.82399999999996</v>
      </c>
      <c r="Y220">
        <v>618.82399999999996</v>
      </c>
      <c r="Z220" t="s">
        <v>2077</v>
      </c>
      <c r="AA220" t="s">
        <v>2057</v>
      </c>
      <c r="AB220">
        <v>9</v>
      </c>
    </row>
    <row r="221" spans="1:28" x14ac:dyDescent="0.3">
      <c r="A221" t="s">
        <v>333</v>
      </c>
      <c r="B221" t="s">
        <v>334</v>
      </c>
      <c r="C221" t="s">
        <v>335</v>
      </c>
      <c r="D221" t="s">
        <v>2193</v>
      </c>
      <c r="E221">
        <v>23</v>
      </c>
      <c r="F221" t="s">
        <v>29</v>
      </c>
      <c r="G221" t="s">
        <v>30</v>
      </c>
      <c r="H221" t="s">
        <v>336</v>
      </c>
      <c r="I221" t="s">
        <v>337</v>
      </c>
      <c r="J221" t="s">
        <v>1129</v>
      </c>
      <c r="K221" s="14">
        <v>45504</v>
      </c>
      <c r="L221" t="s">
        <v>1130</v>
      </c>
      <c r="M221" t="s">
        <v>514</v>
      </c>
      <c r="N221">
        <v>136.30000000000001</v>
      </c>
      <c r="O221">
        <v>2</v>
      </c>
      <c r="P221" t="s">
        <v>96</v>
      </c>
      <c r="Q221">
        <v>3</v>
      </c>
      <c r="R221">
        <v>47</v>
      </c>
      <c r="S221">
        <v>45511</v>
      </c>
      <c r="T221" t="s">
        <v>1131</v>
      </c>
      <c r="U221">
        <v>7</v>
      </c>
      <c r="V221">
        <v>272.60000000000002</v>
      </c>
      <c r="W221">
        <v>0.1</v>
      </c>
      <c r="X221">
        <v>245.34000000000003</v>
      </c>
      <c r="Y221">
        <v>292.34000000000003</v>
      </c>
      <c r="Z221" t="s">
        <v>2089</v>
      </c>
      <c r="AA221" t="s">
        <v>2061</v>
      </c>
      <c r="AB221">
        <v>7</v>
      </c>
    </row>
    <row r="222" spans="1:28" x14ac:dyDescent="0.3">
      <c r="A222" t="s">
        <v>1079</v>
      </c>
      <c r="B222" t="s">
        <v>218</v>
      </c>
      <c r="C222" t="s">
        <v>1080</v>
      </c>
      <c r="D222" t="s">
        <v>2241</v>
      </c>
      <c r="E222">
        <v>55</v>
      </c>
      <c r="F222" t="s">
        <v>41</v>
      </c>
      <c r="G222" t="s">
        <v>159</v>
      </c>
      <c r="H222" t="s">
        <v>1081</v>
      </c>
      <c r="I222" t="s">
        <v>1082</v>
      </c>
      <c r="J222" t="s">
        <v>1132</v>
      </c>
      <c r="K222" s="14">
        <v>45408</v>
      </c>
      <c r="L222" t="s">
        <v>1133</v>
      </c>
      <c r="M222" t="s">
        <v>430</v>
      </c>
      <c r="N222">
        <v>369.03</v>
      </c>
      <c r="O222">
        <v>3</v>
      </c>
      <c r="P222" t="s">
        <v>85</v>
      </c>
      <c r="Q222">
        <v>2</v>
      </c>
      <c r="R222">
        <v>65</v>
      </c>
      <c r="S222">
        <v>45412</v>
      </c>
      <c r="T222" t="s">
        <v>1134</v>
      </c>
      <c r="U222">
        <v>4</v>
      </c>
      <c r="V222">
        <v>1107.0899999999999</v>
      </c>
      <c r="W222">
        <v>0.2</v>
      </c>
      <c r="X222">
        <v>885.67199999999991</v>
      </c>
      <c r="Y222">
        <v>950.67199999999991</v>
      </c>
      <c r="Z222" t="s">
        <v>2137</v>
      </c>
      <c r="AA222" t="s">
        <v>2061</v>
      </c>
      <c r="AB222">
        <v>4</v>
      </c>
    </row>
    <row r="223" spans="1:28" x14ac:dyDescent="0.3">
      <c r="A223" t="s">
        <v>263</v>
      </c>
      <c r="B223" t="s">
        <v>264</v>
      </c>
      <c r="C223" t="s">
        <v>265</v>
      </c>
      <c r="D223" t="s">
        <v>2186</v>
      </c>
      <c r="E223">
        <v>54</v>
      </c>
      <c r="F223" t="s">
        <v>41</v>
      </c>
      <c r="G223" t="s">
        <v>30</v>
      </c>
      <c r="H223" t="s">
        <v>266</v>
      </c>
      <c r="I223" t="s">
        <v>267</v>
      </c>
      <c r="J223" t="s">
        <v>1135</v>
      </c>
      <c r="K223" s="14">
        <v>45105</v>
      </c>
      <c r="L223" t="s">
        <v>1136</v>
      </c>
      <c r="M223" t="s">
        <v>748</v>
      </c>
      <c r="N223">
        <v>381.73</v>
      </c>
      <c r="O223">
        <v>2</v>
      </c>
      <c r="P223" t="s">
        <v>58</v>
      </c>
      <c r="Q223">
        <v>3</v>
      </c>
      <c r="R223">
        <v>70</v>
      </c>
      <c r="S223">
        <v>45112</v>
      </c>
      <c r="T223" t="s">
        <v>1137</v>
      </c>
      <c r="U223">
        <v>7</v>
      </c>
      <c r="V223">
        <v>763.46</v>
      </c>
      <c r="W223">
        <v>0.15</v>
      </c>
      <c r="X223">
        <v>648.94100000000003</v>
      </c>
      <c r="Y223">
        <v>718.94100000000003</v>
      </c>
      <c r="Z223" t="s">
        <v>2082</v>
      </c>
      <c r="AA223" t="s">
        <v>2061</v>
      </c>
      <c r="AB223">
        <v>6</v>
      </c>
    </row>
    <row r="224" spans="1:28" x14ac:dyDescent="0.3">
      <c r="A224" t="s">
        <v>646</v>
      </c>
      <c r="B224" t="s">
        <v>647</v>
      </c>
      <c r="C224" t="s">
        <v>648</v>
      </c>
      <c r="D224" t="s">
        <v>2222</v>
      </c>
      <c r="E224">
        <v>45</v>
      </c>
      <c r="F224" t="s">
        <v>52</v>
      </c>
      <c r="G224" t="s">
        <v>90</v>
      </c>
      <c r="H224" t="s">
        <v>649</v>
      </c>
      <c r="I224" t="s">
        <v>650</v>
      </c>
      <c r="J224" t="s">
        <v>1138</v>
      </c>
      <c r="K224" s="14">
        <v>45677</v>
      </c>
      <c r="L224" t="s">
        <v>1139</v>
      </c>
      <c r="M224" t="s">
        <v>495</v>
      </c>
      <c r="N224">
        <v>421.7</v>
      </c>
      <c r="O224">
        <v>3</v>
      </c>
      <c r="P224" t="s">
        <v>96</v>
      </c>
      <c r="Q224">
        <v>6</v>
      </c>
      <c r="R224">
        <v>38</v>
      </c>
      <c r="S224">
        <v>45680</v>
      </c>
      <c r="T224" t="s">
        <v>1140</v>
      </c>
      <c r="U224">
        <v>3</v>
      </c>
      <c r="V224">
        <v>1265.0999999999999</v>
      </c>
      <c r="W224">
        <v>0.1</v>
      </c>
      <c r="X224">
        <v>1138.5899999999999</v>
      </c>
      <c r="Y224">
        <v>1176.5899999999999</v>
      </c>
      <c r="Z224" t="s">
        <v>2118</v>
      </c>
      <c r="AA224" t="s">
        <v>2057</v>
      </c>
      <c r="AB224">
        <v>1</v>
      </c>
    </row>
    <row r="225" spans="1:28" x14ac:dyDescent="0.3">
      <c r="A225" t="s">
        <v>1079</v>
      </c>
      <c r="B225" t="s">
        <v>218</v>
      </c>
      <c r="C225" t="s">
        <v>1080</v>
      </c>
      <c r="D225" t="s">
        <v>2241</v>
      </c>
      <c r="E225">
        <v>55</v>
      </c>
      <c r="F225" t="s">
        <v>41</v>
      </c>
      <c r="G225" t="s">
        <v>159</v>
      </c>
      <c r="H225" t="s">
        <v>1081</v>
      </c>
      <c r="I225" t="s">
        <v>1082</v>
      </c>
      <c r="J225" t="s">
        <v>1141</v>
      </c>
      <c r="K225" s="14">
        <v>45186</v>
      </c>
      <c r="L225" t="s">
        <v>1142</v>
      </c>
      <c r="M225" t="s">
        <v>81</v>
      </c>
      <c r="N225">
        <v>330.11</v>
      </c>
      <c r="O225">
        <v>3</v>
      </c>
      <c r="P225" t="s">
        <v>36</v>
      </c>
      <c r="Q225">
        <v>2</v>
      </c>
      <c r="R225">
        <v>40</v>
      </c>
      <c r="S225">
        <v>45191</v>
      </c>
      <c r="T225" t="s">
        <v>1143</v>
      </c>
      <c r="U225">
        <v>5</v>
      </c>
      <c r="V225">
        <v>990.33</v>
      </c>
      <c r="W225">
        <v>0.08</v>
      </c>
      <c r="X225">
        <v>911.10360000000003</v>
      </c>
      <c r="Y225">
        <v>951.10360000000003</v>
      </c>
      <c r="Z225" t="s">
        <v>2137</v>
      </c>
      <c r="AA225" t="s">
        <v>2061</v>
      </c>
      <c r="AB225">
        <v>9</v>
      </c>
    </row>
    <row r="226" spans="1:28" x14ac:dyDescent="0.3">
      <c r="A226" t="s">
        <v>301</v>
      </c>
      <c r="B226" t="s">
        <v>302</v>
      </c>
      <c r="C226" t="s">
        <v>303</v>
      </c>
      <c r="D226" t="s">
        <v>2190</v>
      </c>
      <c r="E226">
        <v>26</v>
      </c>
      <c r="F226" t="s">
        <v>52</v>
      </c>
      <c r="G226" t="s">
        <v>168</v>
      </c>
      <c r="H226" t="s">
        <v>304</v>
      </c>
      <c r="I226" t="s">
        <v>305</v>
      </c>
      <c r="J226" t="s">
        <v>1144</v>
      </c>
      <c r="K226" s="14">
        <v>45537</v>
      </c>
      <c r="L226" t="s">
        <v>1145</v>
      </c>
      <c r="M226" t="s">
        <v>344</v>
      </c>
      <c r="N226">
        <v>372.62</v>
      </c>
      <c r="O226">
        <v>1</v>
      </c>
      <c r="P226" t="s">
        <v>96</v>
      </c>
      <c r="Q226">
        <v>4</v>
      </c>
      <c r="R226">
        <v>36</v>
      </c>
      <c r="S226">
        <v>45541</v>
      </c>
      <c r="T226" t="s">
        <v>1146</v>
      </c>
      <c r="U226">
        <v>4</v>
      </c>
      <c r="V226">
        <v>372.62</v>
      </c>
      <c r="W226">
        <v>0.1</v>
      </c>
      <c r="X226">
        <v>335.358</v>
      </c>
      <c r="Y226">
        <v>371.358</v>
      </c>
      <c r="Z226" t="s">
        <v>2086</v>
      </c>
      <c r="AA226" t="s">
        <v>2066</v>
      </c>
      <c r="AB226">
        <v>9</v>
      </c>
    </row>
    <row r="227" spans="1:28" x14ac:dyDescent="0.3">
      <c r="A227" t="s">
        <v>1103</v>
      </c>
      <c r="B227" t="s">
        <v>1104</v>
      </c>
      <c r="C227" t="s">
        <v>1105</v>
      </c>
      <c r="D227" t="s">
        <v>2242</v>
      </c>
      <c r="E227">
        <v>18</v>
      </c>
      <c r="F227" t="s">
        <v>29</v>
      </c>
      <c r="G227" t="s">
        <v>76</v>
      </c>
      <c r="H227" t="s">
        <v>1106</v>
      </c>
      <c r="I227" t="s">
        <v>1107</v>
      </c>
      <c r="J227" t="s">
        <v>1147</v>
      </c>
      <c r="K227" s="14">
        <v>45217</v>
      </c>
      <c r="L227" t="s">
        <v>1148</v>
      </c>
      <c r="M227" t="s">
        <v>323</v>
      </c>
      <c r="N227">
        <v>481.48</v>
      </c>
      <c r="O227">
        <v>3</v>
      </c>
      <c r="P227" t="s">
        <v>96</v>
      </c>
      <c r="Q227">
        <v>2</v>
      </c>
      <c r="R227">
        <v>42</v>
      </c>
      <c r="S227">
        <v>45221</v>
      </c>
      <c r="T227" t="s">
        <v>1149</v>
      </c>
      <c r="U227">
        <v>4</v>
      </c>
      <c r="V227">
        <v>1444.44</v>
      </c>
      <c r="W227">
        <v>0.1</v>
      </c>
      <c r="X227">
        <v>1299.9960000000001</v>
      </c>
      <c r="Y227">
        <v>1341.9960000000001</v>
      </c>
      <c r="Z227" t="s">
        <v>2138</v>
      </c>
      <c r="AA227" t="s">
        <v>2061</v>
      </c>
      <c r="AB227">
        <v>10</v>
      </c>
    </row>
    <row r="228" spans="1:28" x14ac:dyDescent="0.3">
      <c r="A228" t="s">
        <v>184</v>
      </c>
      <c r="B228" t="s">
        <v>185</v>
      </c>
      <c r="C228" t="s">
        <v>186</v>
      </c>
      <c r="D228" t="s">
        <v>2178</v>
      </c>
      <c r="E228">
        <v>42</v>
      </c>
      <c r="F228" t="s">
        <v>41</v>
      </c>
      <c r="G228" t="s">
        <v>168</v>
      </c>
      <c r="H228" t="s">
        <v>187</v>
      </c>
      <c r="I228" t="s">
        <v>188</v>
      </c>
      <c r="J228" t="s">
        <v>1150</v>
      </c>
      <c r="K228" s="14">
        <v>45555</v>
      </c>
      <c r="L228" t="s">
        <v>1151</v>
      </c>
      <c r="M228" t="s">
        <v>35</v>
      </c>
      <c r="N228">
        <v>308.88</v>
      </c>
      <c r="O228">
        <v>1</v>
      </c>
      <c r="P228" t="s">
        <v>58</v>
      </c>
      <c r="Q228">
        <v>3</v>
      </c>
      <c r="R228">
        <v>54</v>
      </c>
      <c r="S228">
        <v>45556</v>
      </c>
      <c r="T228" t="s">
        <v>1152</v>
      </c>
      <c r="U228">
        <v>1</v>
      </c>
      <c r="V228">
        <v>308.88</v>
      </c>
      <c r="W228">
        <v>0.15</v>
      </c>
      <c r="X228">
        <v>262.548</v>
      </c>
      <c r="Y228">
        <v>316.548</v>
      </c>
      <c r="Z228" t="s">
        <v>2074</v>
      </c>
      <c r="AA228" t="s">
        <v>2057</v>
      </c>
      <c r="AB228">
        <v>9</v>
      </c>
    </row>
    <row r="229" spans="1:28" x14ac:dyDescent="0.3">
      <c r="A229" t="s">
        <v>26</v>
      </c>
      <c r="B229" t="s">
        <v>27</v>
      </c>
      <c r="C229" t="s">
        <v>28</v>
      </c>
      <c r="D229" t="s">
        <v>2163</v>
      </c>
      <c r="E229">
        <v>37</v>
      </c>
      <c r="F229" t="s">
        <v>29</v>
      </c>
      <c r="G229" t="s">
        <v>30</v>
      </c>
      <c r="H229" t="s">
        <v>31</v>
      </c>
      <c r="I229" t="s">
        <v>32</v>
      </c>
      <c r="J229" t="s">
        <v>1153</v>
      </c>
      <c r="K229" s="14">
        <v>45162</v>
      </c>
      <c r="L229" t="s">
        <v>1154</v>
      </c>
      <c r="M229" t="s">
        <v>234</v>
      </c>
      <c r="N229">
        <v>132.97</v>
      </c>
      <c r="O229">
        <v>4</v>
      </c>
      <c r="P229" t="s">
        <v>96</v>
      </c>
      <c r="Q229">
        <v>3</v>
      </c>
      <c r="R229">
        <v>43</v>
      </c>
      <c r="S229">
        <v>45163</v>
      </c>
      <c r="T229" t="s">
        <v>1155</v>
      </c>
      <c r="U229">
        <v>1</v>
      </c>
      <c r="V229">
        <v>531.88</v>
      </c>
      <c r="W229">
        <v>0.1</v>
      </c>
      <c r="X229">
        <v>478.69200000000001</v>
      </c>
      <c r="Y229">
        <v>521.69200000000001</v>
      </c>
      <c r="Z229" t="s">
        <v>2056</v>
      </c>
      <c r="AA229" t="s">
        <v>2057</v>
      </c>
      <c r="AB229">
        <v>8</v>
      </c>
    </row>
    <row r="230" spans="1:28" x14ac:dyDescent="0.3">
      <c r="A230" t="s">
        <v>227</v>
      </c>
      <c r="B230" t="s">
        <v>228</v>
      </c>
      <c r="C230" t="s">
        <v>229</v>
      </c>
      <c r="D230" t="s">
        <v>2183</v>
      </c>
      <c r="E230">
        <v>64</v>
      </c>
      <c r="F230" t="s">
        <v>41</v>
      </c>
      <c r="G230" t="s">
        <v>42</v>
      </c>
      <c r="H230" t="s">
        <v>230</v>
      </c>
      <c r="I230" t="s">
        <v>231</v>
      </c>
      <c r="J230" t="s">
        <v>1156</v>
      </c>
      <c r="K230" s="14">
        <v>45488</v>
      </c>
      <c r="L230" t="s">
        <v>1157</v>
      </c>
      <c r="M230" t="s">
        <v>344</v>
      </c>
      <c r="N230">
        <v>372.62</v>
      </c>
      <c r="O230">
        <v>4</v>
      </c>
      <c r="P230" t="s">
        <v>36</v>
      </c>
      <c r="Q230">
        <v>1</v>
      </c>
      <c r="R230">
        <v>45</v>
      </c>
      <c r="S230">
        <v>45492</v>
      </c>
      <c r="T230" t="s">
        <v>1158</v>
      </c>
      <c r="U230">
        <v>4</v>
      </c>
      <c r="V230">
        <v>1490.48</v>
      </c>
      <c r="W230">
        <v>0.08</v>
      </c>
      <c r="X230">
        <v>1371.2416000000001</v>
      </c>
      <c r="Y230">
        <v>1416.2416000000001</v>
      </c>
      <c r="Z230" t="s">
        <v>2079</v>
      </c>
      <c r="AA230" t="s">
        <v>2061</v>
      </c>
      <c r="AB230">
        <v>7</v>
      </c>
    </row>
    <row r="231" spans="1:28" x14ac:dyDescent="0.3">
      <c r="A231" t="s">
        <v>466</v>
      </c>
      <c r="B231" t="s">
        <v>467</v>
      </c>
      <c r="C231" t="s">
        <v>468</v>
      </c>
      <c r="D231" t="s">
        <v>2207</v>
      </c>
      <c r="E231">
        <v>18</v>
      </c>
      <c r="F231" t="s">
        <v>41</v>
      </c>
      <c r="G231" t="s">
        <v>42</v>
      </c>
      <c r="H231" t="s">
        <v>469</v>
      </c>
      <c r="I231" t="s">
        <v>470</v>
      </c>
      <c r="J231" t="s">
        <v>1159</v>
      </c>
      <c r="K231" s="14">
        <v>45273</v>
      </c>
      <c r="L231" t="s">
        <v>1160</v>
      </c>
      <c r="M231" t="s">
        <v>242</v>
      </c>
      <c r="N231">
        <v>126.19</v>
      </c>
      <c r="O231">
        <v>5</v>
      </c>
      <c r="P231" t="s">
        <v>96</v>
      </c>
      <c r="Q231">
        <v>4</v>
      </c>
      <c r="R231">
        <v>47</v>
      </c>
      <c r="S231">
        <v>45280</v>
      </c>
      <c r="T231" t="s">
        <v>1161</v>
      </c>
      <c r="U231">
        <v>7</v>
      </c>
      <c r="V231">
        <v>630.95000000000005</v>
      </c>
      <c r="W231">
        <v>0.1</v>
      </c>
      <c r="X231">
        <v>567.85500000000002</v>
      </c>
      <c r="Y231">
        <v>614.85500000000002</v>
      </c>
      <c r="Z231" t="s">
        <v>2103</v>
      </c>
      <c r="AA231" t="s">
        <v>2061</v>
      </c>
      <c r="AB231">
        <v>12</v>
      </c>
    </row>
    <row r="232" spans="1:28" x14ac:dyDescent="0.3">
      <c r="A232" t="s">
        <v>1103</v>
      </c>
      <c r="B232" t="s">
        <v>1104</v>
      </c>
      <c r="C232" t="s">
        <v>1105</v>
      </c>
      <c r="D232" t="s">
        <v>2242</v>
      </c>
      <c r="E232">
        <v>18</v>
      </c>
      <c r="F232" t="s">
        <v>29</v>
      </c>
      <c r="G232" t="s">
        <v>76</v>
      </c>
      <c r="H232" t="s">
        <v>1106</v>
      </c>
      <c r="I232" t="s">
        <v>1107</v>
      </c>
      <c r="J232" t="s">
        <v>1162</v>
      </c>
      <c r="K232" s="14">
        <v>45117</v>
      </c>
      <c r="L232" t="s">
        <v>1163</v>
      </c>
      <c r="M232" t="s">
        <v>590</v>
      </c>
      <c r="N232">
        <v>403.03</v>
      </c>
      <c r="O232">
        <v>2</v>
      </c>
      <c r="P232" t="s">
        <v>58</v>
      </c>
      <c r="Q232">
        <v>7</v>
      </c>
      <c r="R232">
        <v>45</v>
      </c>
      <c r="S232">
        <v>45118</v>
      </c>
      <c r="T232" t="s">
        <v>1164</v>
      </c>
      <c r="U232">
        <v>1</v>
      </c>
      <c r="V232">
        <v>806.06</v>
      </c>
      <c r="W232">
        <v>0.15</v>
      </c>
      <c r="X232">
        <v>685.15099999999995</v>
      </c>
      <c r="Y232">
        <v>730.15099999999995</v>
      </c>
      <c r="Z232" t="s">
        <v>2138</v>
      </c>
      <c r="AA232" t="s">
        <v>2057</v>
      </c>
      <c r="AB232">
        <v>7</v>
      </c>
    </row>
    <row r="233" spans="1:28" x14ac:dyDescent="0.3">
      <c r="A233" t="s">
        <v>1103</v>
      </c>
      <c r="B233" t="s">
        <v>1104</v>
      </c>
      <c r="C233" t="s">
        <v>1105</v>
      </c>
      <c r="D233" t="s">
        <v>2242</v>
      </c>
      <c r="E233">
        <v>18</v>
      </c>
      <c r="F233" t="s">
        <v>29</v>
      </c>
      <c r="G233" t="s">
        <v>76</v>
      </c>
      <c r="H233" t="s">
        <v>1106</v>
      </c>
      <c r="I233" t="s">
        <v>1107</v>
      </c>
      <c r="J233" t="s">
        <v>1165</v>
      </c>
      <c r="K233" s="14">
        <v>45392</v>
      </c>
      <c r="L233" t="s">
        <v>1166</v>
      </c>
      <c r="M233" t="s">
        <v>287</v>
      </c>
      <c r="N233">
        <v>157.63999999999999</v>
      </c>
      <c r="O233">
        <v>2</v>
      </c>
      <c r="P233" t="s">
        <v>58</v>
      </c>
      <c r="Q233">
        <v>5</v>
      </c>
      <c r="R233">
        <v>64</v>
      </c>
      <c r="S233">
        <v>45395</v>
      </c>
      <c r="T233" t="s">
        <v>1167</v>
      </c>
      <c r="U233">
        <v>3</v>
      </c>
      <c r="V233">
        <v>315.27999999999997</v>
      </c>
      <c r="W233">
        <v>0.15</v>
      </c>
      <c r="X233">
        <v>267.988</v>
      </c>
      <c r="Y233">
        <v>331.988</v>
      </c>
      <c r="Z233" t="s">
        <v>2138</v>
      </c>
      <c r="AA233" t="s">
        <v>2057</v>
      </c>
      <c r="AB233">
        <v>4</v>
      </c>
    </row>
    <row r="234" spans="1:28" x14ac:dyDescent="0.3">
      <c r="A234" t="s">
        <v>1168</v>
      </c>
      <c r="B234" t="s">
        <v>1169</v>
      </c>
      <c r="C234" t="s">
        <v>1170</v>
      </c>
      <c r="D234" t="s">
        <v>2243</v>
      </c>
      <c r="E234">
        <v>59</v>
      </c>
      <c r="F234" t="s">
        <v>52</v>
      </c>
      <c r="G234" t="s">
        <v>168</v>
      </c>
      <c r="H234" t="s">
        <v>1171</v>
      </c>
      <c r="I234" t="s">
        <v>1172</v>
      </c>
      <c r="J234" t="s">
        <v>1173</v>
      </c>
      <c r="K234" s="14">
        <v>45251</v>
      </c>
      <c r="L234" t="s">
        <v>1174</v>
      </c>
      <c r="M234" t="s">
        <v>250</v>
      </c>
      <c r="N234">
        <v>128.13999999999999</v>
      </c>
      <c r="O234">
        <v>1</v>
      </c>
      <c r="P234" t="s">
        <v>96</v>
      </c>
      <c r="Q234">
        <v>7</v>
      </c>
      <c r="R234">
        <v>52</v>
      </c>
      <c r="S234">
        <v>45254</v>
      </c>
      <c r="T234" t="s">
        <v>1175</v>
      </c>
      <c r="U234">
        <v>3</v>
      </c>
      <c r="V234">
        <v>128.13999999999999</v>
      </c>
      <c r="W234">
        <v>0.1</v>
      </c>
      <c r="X234">
        <v>115.32599999999999</v>
      </c>
      <c r="Y234">
        <v>167.32599999999999</v>
      </c>
      <c r="Z234" t="s">
        <v>2139</v>
      </c>
      <c r="AA234" t="s">
        <v>2057</v>
      </c>
      <c r="AB234">
        <v>11</v>
      </c>
    </row>
    <row r="235" spans="1:28" x14ac:dyDescent="0.3">
      <c r="A235" t="s">
        <v>272</v>
      </c>
      <c r="B235" t="s">
        <v>273</v>
      </c>
      <c r="C235" t="s">
        <v>274</v>
      </c>
      <c r="D235" t="s">
        <v>2187</v>
      </c>
      <c r="E235">
        <v>44</v>
      </c>
      <c r="F235" t="s">
        <v>29</v>
      </c>
      <c r="G235" t="s">
        <v>220</v>
      </c>
      <c r="H235" t="s">
        <v>275</v>
      </c>
      <c r="I235" t="s">
        <v>276</v>
      </c>
      <c r="J235" t="s">
        <v>1176</v>
      </c>
      <c r="K235" s="14">
        <v>45348</v>
      </c>
      <c r="L235" t="s">
        <v>1177</v>
      </c>
      <c r="M235" t="s">
        <v>126</v>
      </c>
      <c r="N235">
        <v>257.06</v>
      </c>
      <c r="O235">
        <v>3</v>
      </c>
      <c r="P235" t="s">
        <v>63</v>
      </c>
      <c r="Q235">
        <v>5</v>
      </c>
      <c r="R235">
        <v>63</v>
      </c>
      <c r="S235">
        <v>45354</v>
      </c>
      <c r="T235" t="s">
        <v>1178</v>
      </c>
      <c r="U235">
        <v>6</v>
      </c>
      <c r="V235">
        <v>771.18000000000006</v>
      </c>
      <c r="W235">
        <v>0</v>
      </c>
      <c r="X235">
        <v>771.18000000000006</v>
      </c>
      <c r="Y235">
        <v>771.18000000000006</v>
      </c>
      <c r="Z235" t="s">
        <v>2083</v>
      </c>
      <c r="AA235" t="s">
        <v>2061</v>
      </c>
      <c r="AB235">
        <v>2</v>
      </c>
    </row>
    <row r="236" spans="1:28" x14ac:dyDescent="0.3">
      <c r="A236" t="s">
        <v>546</v>
      </c>
      <c r="B236" t="s">
        <v>547</v>
      </c>
      <c r="C236" t="s">
        <v>548</v>
      </c>
      <c r="D236" t="s">
        <v>2216</v>
      </c>
      <c r="E236">
        <v>33</v>
      </c>
      <c r="F236" t="s">
        <v>52</v>
      </c>
      <c r="G236" t="s">
        <v>168</v>
      </c>
      <c r="H236" t="s">
        <v>549</v>
      </c>
      <c r="I236" t="s">
        <v>550</v>
      </c>
      <c r="J236" t="s">
        <v>1179</v>
      </c>
      <c r="K236" s="14">
        <v>45257</v>
      </c>
      <c r="L236" t="s">
        <v>1180</v>
      </c>
      <c r="M236" t="s">
        <v>173</v>
      </c>
      <c r="N236">
        <v>272.51</v>
      </c>
      <c r="O236">
        <v>2</v>
      </c>
      <c r="P236" t="s">
        <v>96</v>
      </c>
      <c r="Q236">
        <v>4</v>
      </c>
      <c r="R236">
        <v>48</v>
      </c>
      <c r="S236">
        <v>45264</v>
      </c>
      <c r="T236" t="s">
        <v>1181</v>
      </c>
      <c r="U236">
        <v>7</v>
      </c>
      <c r="V236">
        <v>545.02</v>
      </c>
      <c r="W236">
        <v>0.1</v>
      </c>
      <c r="X236">
        <v>490.51799999999997</v>
      </c>
      <c r="Y236">
        <v>538.51800000000003</v>
      </c>
      <c r="Z236" t="s">
        <v>2112</v>
      </c>
      <c r="AA236" t="s">
        <v>2061</v>
      </c>
      <c r="AB236">
        <v>11</v>
      </c>
    </row>
    <row r="237" spans="1:28" x14ac:dyDescent="0.3">
      <c r="A237" t="s">
        <v>272</v>
      </c>
      <c r="B237" t="s">
        <v>273</v>
      </c>
      <c r="C237" t="s">
        <v>274</v>
      </c>
      <c r="D237" t="s">
        <v>2187</v>
      </c>
      <c r="E237">
        <v>44</v>
      </c>
      <c r="F237" t="s">
        <v>29</v>
      </c>
      <c r="G237" t="s">
        <v>220</v>
      </c>
      <c r="H237" t="s">
        <v>275</v>
      </c>
      <c r="I237" t="s">
        <v>276</v>
      </c>
      <c r="J237" t="s">
        <v>1182</v>
      </c>
      <c r="K237" s="14">
        <v>45390</v>
      </c>
      <c r="L237" t="s">
        <v>1183</v>
      </c>
      <c r="M237" t="s">
        <v>95</v>
      </c>
      <c r="N237">
        <v>363.64</v>
      </c>
      <c r="O237">
        <v>3</v>
      </c>
      <c r="P237" t="s">
        <v>58</v>
      </c>
      <c r="Q237">
        <v>1</v>
      </c>
      <c r="R237">
        <v>47</v>
      </c>
      <c r="S237">
        <v>45395</v>
      </c>
      <c r="T237" t="s">
        <v>1184</v>
      </c>
      <c r="U237">
        <v>5</v>
      </c>
      <c r="V237">
        <v>1090.92</v>
      </c>
      <c r="W237">
        <v>0.15</v>
      </c>
      <c r="X237">
        <v>927.28200000000004</v>
      </c>
      <c r="Y237">
        <v>974.28200000000004</v>
      </c>
      <c r="Z237" t="s">
        <v>2083</v>
      </c>
      <c r="AA237" t="s">
        <v>2061</v>
      </c>
      <c r="AB237">
        <v>4</v>
      </c>
    </row>
    <row r="238" spans="1:28" x14ac:dyDescent="0.3">
      <c r="A238" t="s">
        <v>592</v>
      </c>
      <c r="B238" t="s">
        <v>593</v>
      </c>
      <c r="C238" t="s">
        <v>594</v>
      </c>
      <c r="D238" t="s">
        <v>2218</v>
      </c>
      <c r="E238">
        <v>21</v>
      </c>
      <c r="F238" t="s">
        <v>29</v>
      </c>
      <c r="G238" t="s">
        <v>42</v>
      </c>
      <c r="H238" t="s">
        <v>595</v>
      </c>
      <c r="I238" t="s">
        <v>596</v>
      </c>
      <c r="J238" t="s">
        <v>1185</v>
      </c>
      <c r="K238" s="14">
        <v>45578</v>
      </c>
      <c r="L238" t="s">
        <v>1186</v>
      </c>
      <c r="M238" t="s">
        <v>95</v>
      </c>
      <c r="N238">
        <v>363.64</v>
      </c>
      <c r="O238">
        <v>3</v>
      </c>
      <c r="P238" t="s">
        <v>85</v>
      </c>
      <c r="Q238">
        <v>6</v>
      </c>
      <c r="R238">
        <v>64</v>
      </c>
      <c r="S238">
        <v>45585</v>
      </c>
      <c r="T238" t="s">
        <v>1187</v>
      </c>
      <c r="U238">
        <v>7</v>
      </c>
      <c r="V238">
        <v>1090.92</v>
      </c>
      <c r="W238">
        <v>0.2</v>
      </c>
      <c r="X238">
        <v>872.7360000000001</v>
      </c>
      <c r="Y238">
        <v>936.7360000000001</v>
      </c>
      <c r="Z238" t="s">
        <v>2114</v>
      </c>
      <c r="AA238" t="s">
        <v>2061</v>
      </c>
      <c r="AB238">
        <v>10</v>
      </c>
    </row>
    <row r="239" spans="1:28" x14ac:dyDescent="0.3">
      <c r="A239" t="s">
        <v>639</v>
      </c>
      <c r="B239" t="s">
        <v>148</v>
      </c>
      <c r="C239" t="s">
        <v>640</v>
      </c>
      <c r="D239" t="s">
        <v>2221</v>
      </c>
      <c r="E239">
        <v>44</v>
      </c>
      <c r="F239" t="s">
        <v>52</v>
      </c>
      <c r="G239" t="s">
        <v>90</v>
      </c>
      <c r="H239" t="s">
        <v>641</v>
      </c>
      <c r="I239" t="s">
        <v>642</v>
      </c>
      <c r="J239" t="s">
        <v>1188</v>
      </c>
      <c r="K239" s="14">
        <v>45109</v>
      </c>
      <c r="L239" t="s">
        <v>1189</v>
      </c>
      <c r="M239" t="s">
        <v>657</v>
      </c>
      <c r="N239">
        <v>235.63</v>
      </c>
      <c r="O239">
        <v>5</v>
      </c>
      <c r="P239" t="s">
        <v>85</v>
      </c>
      <c r="Q239">
        <v>6</v>
      </c>
      <c r="R239">
        <v>63</v>
      </c>
      <c r="S239">
        <v>45114</v>
      </c>
      <c r="T239" t="s">
        <v>1190</v>
      </c>
      <c r="U239">
        <v>5</v>
      </c>
      <c r="V239">
        <v>1178.1500000000001</v>
      </c>
      <c r="W239">
        <v>0.2</v>
      </c>
      <c r="X239">
        <v>942.5200000000001</v>
      </c>
      <c r="Y239">
        <v>1005.5200000000001</v>
      </c>
      <c r="Z239" t="s">
        <v>2117</v>
      </c>
      <c r="AA239" t="s">
        <v>2057</v>
      </c>
      <c r="AB239">
        <v>7</v>
      </c>
    </row>
    <row r="240" spans="1:28" x14ac:dyDescent="0.3">
      <c r="A240" t="s">
        <v>1191</v>
      </c>
      <c r="B240" t="s">
        <v>40</v>
      </c>
      <c r="C240" t="s">
        <v>1192</v>
      </c>
      <c r="D240" t="s">
        <v>2244</v>
      </c>
      <c r="E240">
        <v>34</v>
      </c>
      <c r="F240" t="s">
        <v>52</v>
      </c>
      <c r="G240" t="s">
        <v>220</v>
      </c>
      <c r="H240" t="s">
        <v>1193</v>
      </c>
      <c r="I240" t="s">
        <v>1194</v>
      </c>
      <c r="J240" t="s">
        <v>1195</v>
      </c>
      <c r="K240" s="14">
        <v>45595</v>
      </c>
      <c r="L240" t="s">
        <v>1196</v>
      </c>
      <c r="M240" t="s">
        <v>563</v>
      </c>
      <c r="N240">
        <v>133.62</v>
      </c>
      <c r="O240">
        <v>1</v>
      </c>
      <c r="P240" t="s">
        <v>36</v>
      </c>
      <c r="Q240">
        <v>1</v>
      </c>
      <c r="R240">
        <v>57</v>
      </c>
      <c r="S240">
        <v>45602</v>
      </c>
      <c r="T240" t="s">
        <v>1197</v>
      </c>
      <c r="U240">
        <v>7</v>
      </c>
      <c r="V240">
        <v>133.62</v>
      </c>
      <c r="W240">
        <v>0.08</v>
      </c>
      <c r="X240">
        <v>122.93040000000001</v>
      </c>
      <c r="Y240">
        <v>179.93040000000002</v>
      </c>
      <c r="Z240" t="s">
        <v>2140</v>
      </c>
      <c r="AA240" t="s">
        <v>2061</v>
      </c>
      <c r="AB240">
        <v>10</v>
      </c>
    </row>
    <row r="241" spans="1:28" x14ac:dyDescent="0.3">
      <c r="A241" t="s">
        <v>293</v>
      </c>
      <c r="B241" t="s">
        <v>294</v>
      </c>
      <c r="C241" t="s">
        <v>295</v>
      </c>
      <c r="D241" t="s">
        <v>2189</v>
      </c>
      <c r="E241">
        <v>48</v>
      </c>
      <c r="F241" t="s">
        <v>41</v>
      </c>
      <c r="G241" t="s">
        <v>90</v>
      </c>
      <c r="H241" t="s">
        <v>296</v>
      </c>
      <c r="I241" t="s">
        <v>297</v>
      </c>
      <c r="J241" t="s">
        <v>1198</v>
      </c>
      <c r="K241" s="14">
        <v>45616</v>
      </c>
      <c r="L241" t="s">
        <v>1199</v>
      </c>
      <c r="M241" t="s">
        <v>246</v>
      </c>
      <c r="N241">
        <v>282.63</v>
      </c>
      <c r="O241">
        <v>4</v>
      </c>
      <c r="P241" t="s">
        <v>96</v>
      </c>
      <c r="Q241">
        <v>1</v>
      </c>
      <c r="R241">
        <v>60</v>
      </c>
      <c r="S241">
        <v>45618</v>
      </c>
      <c r="T241" t="s">
        <v>1200</v>
      </c>
      <c r="U241">
        <v>2</v>
      </c>
      <c r="V241">
        <v>1130.52</v>
      </c>
      <c r="W241">
        <v>0.1</v>
      </c>
      <c r="X241">
        <v>1017.468</v>
      </c>
      <c r="Y241">
        <v>1077.4679999999998</v>
      </c>
      <c r="Z241" t="s">
        <v>2085</v>
      </c>
      <c r="AA241" t="s">
        <v>2061</v>
      </c>
      <c r="AB241">
        <v>11</v>
      </c>
    </row>
    <row r="242" spans="1:28" x14ac:dyDescent="0.3">
      <c r="A242" t="s">
        <v>316</v>
      </c>
      <c r="B242" t="s">
        <v>317</v>
      </c>
      <c r="C242" t="s">
        <v>318</v>
      </c>
      <c r="D242" t="s">
        <v>2191</v>
      </c>
      <c r="E242">
        <v>45</v>
      </c>
      <c r="F242" t="s">
        <v>29</v>
      </c>
      <c r="G242" t="s">
        <v>42</v>
      </c>
      <c r="H242" t="s">
        <v>319</v>
      </c>
      <c r="I242" t="s">
        <v>320</v>
      </c>
      <c r="J242" t="s">
        <v>1201</v>
      </c>
      <c r="K242" s="14">
        <v>45271</v>
      </c>
      <c r="L242" t="s">
        <v>1202</v>
      </c>
      <c r="M242" t="s">
        <v>47</v>
      </c>
      <c r="N242">
        <v>166.28</v>
      </c>
      <c r="O242">
        <v>3</v>
      </c>
      <c r="P242" t="s">
        <v>96</v>
      </c>
      <c r="Q242">
        <v>6</v>
      </c>
      <c r="R242">
        <v>59</v>
      </c>
      <c r="S242">
        <v>45275</v>
      </c>
      <c r="T242" t="s">
        <v>1203</v>
      </c>
      <c r="U242">
        <v>4</v>
      </c>
      <c r="V242">
        <v>498.84000000000003</v>
      </c>
      <c r="W242">
        <v>0.1</v>
      </c>
      <c r="X242">
        <v>448.95600000000002</v>
      </c>
      <c r="Y242">
        <v>507.95600000000002</v>
      </c>
      <c r="Z242" t="s">
        <v>2087</v>
      </c>
      <c r="AA242" t="s">
        <v>2057</v>
      </c>
      <c r="AB242">
        <v>12</v>
      </c>
    </row>
    <row r="243" spans="1:28" x14ac:dyDescent="0.3">
      <c r="A243" t="s">
        <v>776</v>
      </c>
      <c r="B243" t="s">
        <v>777</v>
      </c>
      <c r="C243" t="s">
        <v>778</v>
      </c>
      <c r="D243" t="s">
        <v>2232</v>
      </c>
      <c r="E243">
        <v>32</v>
      </c>
      <c r="F243" t="s">
        <v>29</v>
      </c>
      <c r="G243" t="s">
        <v>159</v>
      </c>
      <c r="H243" t="s">
        <v>779</v>
      </c>
      <c r="I243" t="s">
        <v>780</v>
      </c>
      <c r="J243" t="s">
        <v>1204</v>
      </c>
      <c r="K243" s="14">
        <v>45117</v>
      </c>
      <c r="L243" t="s">
        <v>1205</v>
      </c>
      <c r="M243" t="s">
        <v>553</v>
      </c>
      <c r="N243">
        <v>425.59</v>
      </c>
      <c r="O243">
        <v>5</v>
      </c>
      <c r="P243" t="s">
        <v>36</v>
      </c>
      <c r="Q243">
        <v>7</v>
      </c>
      <c r="R243">
        <v>57</v>
      </c>
      <c r="S243">
        <v>45124</v>
      </c>
      <c r="T243" t="s">
        <v>1206</v>
      </c>
      <c r="U243">
        <v>7</v>
      </c>
      <c r="V243">
        <v>2127.9499999999998</v>
      </c>
      <c r="W243">
        <v>0.08</v>
      </c>
      <c r="X243">
        <v>1957.7139999999999</v>
      </c>
      <c r="Y243">
        <v>2014.7139999999999</v>
      </c>
      <c r="Z243" t="s">
        <v>2128</v>
      </c>
      <c r="AA243" t="s">
        <v>2066</v>
      </c>
      <c r="AB243">
        <v>7</v>
      </c>
    </row>
    <row r="244" spans="1:28" x14ac:dyDescent="0.3">
      <c r="A244" t="s">
        <v>483</v>
      </c>
      <c r="B244" t="s">
        <v>484</v>
      </c>
      <c r="C244" t="s">
        <v>130</v>
      </c>
      <c r="D244" t="s">
        <v>2209</v>
      </c>
      <c r="E244">
        <v>68</v>
      </c>
      <c r="F244" t="s">
        <v>52</v>
      </c>
      <c r="G244" t="s">
        <v>220</v>
      </c>
      <c r="H244" t="s">
        <v>485</v>
      </c>
      <c r="I244" t="s">
        <v>486</v>
      </c>
      <c r="J244" t="s">
        <v>1207</v>
      </c>
      <c r="K244" s="14">
        <v>45417</v>
      </c>
      <c r="L244" t="s">
        <v>1208</v>
      </c>
      <c r="M244" t="s">
        <v>95</v>
      </c>
      <c r="N244">
        <v>363.64</v>
      </c>
      <c r="O244">
        <v>5</v>
      </c>
      <c r="P244" t="s">
        <v>96</v>
      </c>
      <c r="Q244">
        <v>7</v>
      </c>
      <c r="R244">
        <v>60</v>
      </c>
      <c r="S244">
        <v>45419</v>
      </c>
      <c r="T244" t="s">
        <v>1209</v>
      </c>
      <c r="U244">
        <v>2</v>
      </c>
      <c r="V244">
        <v>1818.1999999999998</v>
      </c>
      <c r="W244">
        <v>0.1</v>
      </c>
      <c r="X244">
        <v>1636.3799999999999</v>
      </c>
      <c r="Y244">
        <v>1696.3799999999999</v>
      </c>
      <c r="Z244" t="s">
        <v>2105</v>
      </c>
      <c r="AA244" t="s">
        <v>2057</v>
      </c>
      <c r="AB244">
        <v>5</v>
      </c>
    </row>
    <row r="245" spans="1:28" x14ac:dyDescent="0.3">
      <c r="A245" t="s">
        <v>1210</v>
      </c>
      <c r="B245" t="s">
        <v>1211</v>
      </c>
      <c r="C245" t="s">
        <v>1212</v>
      </c>
      <c r="D245" t="s">
        <v>2245</v>
      </c>
      <c r="E245">
        <v>50</v>
      </c>
      <c r="F245" t="s">
        <v>52</v>
      </c>
      <c r="G245" t="s">
        <v>168</v>
      </c>
      <c r="H245" t="s">
        <v>1213</v>
      </c>
      <c r="I245" t="s">
        <v>1214</v>
      </c>
      <c r="J245" t="s">
        <v>1215</v>
      </c>
      <c r="K245" s="14">
        <v>45470</v>
      </c>
      <c r="L245" t="s">
        <v>1216</v>
      </c>
      <c r="M245" t="s">
        <v>590</v>
      </c>
      <c r="N245">
        <v>403.03</v>
      </c>
      <c r="O245">
        <v>5</v>
      </c>
      <c r="P245" t="s">
        <v>85</v>
      </c>
      <c r="Q245">
        <v>2</v>
      </c>
      <c r="R245">
        <v>52</v>
      </c>
      <c r="S245">
        <v>45475</v>
      </c>
      <c r="T245" t="s">
        <v>1217</v>
      </c>
      <c r="U245">
        <v>5</v>
      </c>
      <c r="V245">
        <v>2015.1499999999999</v>
      </c>
      <c r="W245">
        <v>0.2</v>
      </c>
      <c r="X245">
        <v>1612.12</v>
      </c>
      <c r="Y245">
        <v>1664.12</v>
      </c>
      <c r="Z245" t="s">
        <v>2141</v>
      </c>
      <c r="AA245" t="s">
        <v>2061</v>
      </c>
      <c r="AB245">
        <v>6</v>
      </c>
    </row>
    <row r="246" spans="1:28" x14ac:dyDescent="0.3">
      <c r="A246" t="s">
        <v>520</v>
      </c>
      <c r="B246" t="s">
        <v>521</v>
      </c>
      <c r="C246" t="s">
        <v>522</v>
      </c>
      <c r="D246" t="s">
        <v>2213</v>
      </c>
      <c r="E246">
        <v>42</v>
      </c>
      <c r="F246" t="s">
        <v>52</v>
      </c>
      <c r="G246" t="s">
        <v>76</v>
      </c>
      <c r="H246" t="s">
        <v>523</v>
      </c>
      <c r="I246" t="s">
        <v>524</v>
      </c>
      <c r="J246" t="s">
        <v>1218</v>
      </c>
      <c r="K246" s="14">
        <v>44968</v>
      </c>
      <c r="L246" t="s">
        <v>1219</v>
      </c>
      <c r="M246" t="s">
        <v>430</v>
      </c>
      <c r="N246">
        <v>369.03</v>
      </c>
      <c r="O246">
        <v>1</v>
      </c>
      <c r="P246" t="s">
        <v>85</v>
      </c>
      <c r="Q246">
        <v>6</v>
      </c>
      <c r="R246">
        <v>38</v>
      </c>
      <c r="S246">
        <v>44974</v>
      </c>
      <c r="T246" t="s">
        <v>1220</v>
      </c>
      <c r="U246">
        <v>6</v>
      </c>
      <c r="V246">
        <v>369.03</v>
      </c>
      <c r="W246">
        <v>0.2</v>
      </c>
      <c r="X246">
        <v>295.22399999999999</v>
      </c>
      <c r="Y246">
        <v>333.22399999999999</v>
      </c>
      <c r="Z246" t="s">
        <v>2109</v>
      </c>
      <c r="AA246" t="s">
        <v>2066</v>
      </c>
      <c r="AB246">
        <v>2</v>
      </c>
    </row>
    <row r="247" spans="1:28" x14ac:dyDescent="0.3">
      <c r="A247" t="s">
        <v>1221</v>
      </c>
      <c r="B247" t="s">
        <v>1222</v>
      </c>
      <c r="C247" t="s">
        <v>1223</v>
      </c>
      <c r="D247" t="s">
        <v>2246</v>
      </c>
      <c r="E247">
        <v>19</v>
      </c>
      <c r="F247" t="s">
        <v>41</v>
      </c>
      <c r="G247" t="s">
        <v>76</v>
      </c>
      <c r="H247" t="s">
        <v>1224</v>
      </c>
      <c r="I247" t="s">
        <v>1225</v>
      </c>
      <c r="J247" t="s">
        <v>1226</v>
      </c>
      <c r="K247" s="14">
        <v>45453</v>
      </c>
      <c r="L247" t="s">
        <v>1227</v>
      </c>
      <c r="M247" t="s">
        <v>495</v>
      </c>
      <c r="N247">
        <v>421.7</v>
      </c>
      <c r="O247">
        <v>5</v>
      </c>
      <c r="P247" t="s">
        <v>96</v>
      </c>
      <c r="Q247">
        <v>6</v>
      </c>
      <c r="R247">
        <v>61</v>
      </c>
      <c r="S247">
        <v>45457</v>
      </c>
      <c r="T247" t="s">
        <v>1228</v>
      </c>
      <c r="U247">
        <v>4</v>
      </c>
      <c r="V247">
        <v>2108.5</v>
      </c>
      <c r="W247">
        <v>0.1</v>
      </c>
      <c r="X247">
        <v>1897.65</v>
      </c>
      <c r="Y247">
        <v>1958.65</v>
      </c>
      <c r="Z247" t="s">
        <v>2142</v>
      </c>
      <c r="AA247" t="s">
        <v>2057</v>
      </c>
      <c r="AB247">
        <v>6</v>
      </c>
    </row>
    <row r="248" spans="1:28" x14ac:dyDescent="0.3">
      <c r="A248" t="s">
        <v>1079</v>
      </c>
      <c r="B248" t="s">
        <v>218</v>
      </c>
      <c r="C248" t="s">
        <v>1080</v>
      </c>
      <c r="D248" t="s">
        <v>2241</v>
      </c>
      <c r="E248">
        <v>55</v>
      </c>
      <c r="F248" t="s">
        <v>41</v>
      </c>
      <c r="G248" t="s">
        <v>159</v>
      </c>
      <c r="H248" t="s">
        <v>1081</v>
      </c>
      <c r="I248" t="s">
        <v>1082</v>
      </c>
      <c r="J248" t="s">
        <v>1229</v>
      </c>
      <c r="K248" s="14">
        <v>45608</v>
      </c>
      <c r="L248" t="s">
        <v>1230</v>
      </c>
      <c r="M248" t="s">
        <v>748</v>
      </c>
      <c r="N248">
        <v>381.73</v>
      </c>
      <c r="O248">
        <v>4</v>
      </c>
      <c r="P248" t="s">
        <v>36</v>
      </c>
      <c r="Q248">
        <v>2</v>
      </c>
      <c r="R248">
        <v>58</v>
      </c>
      <c r="S248">
        <v>45613</v>
      </c>
      <c r="T248" t="s">
        <v>1231</v>
      </c>
      <c r="U248">
        <v>5</v>
      </c>
      <c r="V248">
        <v>1526.92</v>
      </c>
      <c r="W248">
        <v>0.08</v>
      </c>
      <c r="X248">
        <v>1404.7664</v>
      </c>
      <c r="Y248">
        <v>1462.7664</v>
      </c>
      <c r="Z248" t="s">
        <v>2137</v>
      </c>
      <c r="AA248" t="s">
        <v>2061</v>
      </c>
      <c r="AB248">
        <v>11</v>
      </c>
    </row>
    <row r="249" spans="1:28" x14ac:dyDescent="0.3">
      <c r="A249" t="s">
        <v>724</v>
      </c>
      <c r="B249" t="s">
        <v>725</v>
      </c>
      <c r="C249" t="s">
        <v>167</v>
      </c>
      <c r="D249" t="s">
        <v>2228</v>
      </c>
      <c r="E249">
        <v>70</v>
      </c>
      <c r="F249" t="s">
        <v>41</v>
      </c>
      <c r="G249" t="s">
        <v>90</v>
      </c>
      <c r="H249" t="s">
        <v>726</v>
      </c>
      <c r="I249" t="s">
        <v>727</v>
      </c>
      <c r="J249" t="s">
        <v>1232</v>
      </c>
      <c r="K249" s="14">
        <v>45386</v>
      </c>
      <c r="L249" t="s">
        <v>1233</v>
      </c>
      <c r="M249" t="s">
        <v>135</v>
      </c>
      <c r="N249">
        <v>175.93</v>
      </c>
      <c r="O249">
        <v>2</v>
      </c>
      <c r="P249" t="s">
        <v>96</v>
      </c>
      <c r="Q249">
        <v>7</v>
      </c>
      <c r="R249">
        <v>61</v>
      </c>
      <c r="S249">
        <v>45391</v>
      </c>
      <c r="T249" t="s">
        <v>1234</v>
      </c>
      <c r="U249">
        <v>5</v>
      </c>
      <c r="V249">
        <v>351.86</v>
      </c>
      <c r="W249">
        <v>0.1</v>
      </c>
      <c r="X249">
        <v>316.67400000000004</v>
      </c>
      <c r="Y249">
        <v>377.67400000000004</v>
      </c>
      <c r="Z249" t="s">
        <v>2124</v>
      </c>
      <c r="AA249" t="s">
        <v>2057</v>
      </c>
      <c r="AB249">
        <v>4</v>
      </c>
    </row>
    <row r="250" spans="1:28" x14ac:dyDescent="0.3">
      <c r="A250" t="s">
        <v>412</v>
      </c>
      <c r="B250" t="s">
        <v>228</v>
      </c>
      <c r="C250" t="s">
        <v>413</v>
      </c>
      <c r="D250" t="s">
        <v>2201</v>
      </c>
      <c r="E250">
        <v>28</v>
      </c>
      <c r="F250" t="s">
        <v>52</v>
      </c>
      <c r="G250" t="s">
        <v>140</v>
      </c>
      <c r="H250" t="s">
        <v>414</v>
      </c>
      <c r="I250" t="s">
        <v>415</v>
      </c>
      <c r="J250" t="s">
        <v>1235</v>
      </c>
      <c r="K250" s="14">
        <v>45322</v>
      </c>
      <c r="L250" t="s">
        <v>1236</v>
      </c>
      <c r="M250" t="s">
        <v>748</v>
      </c>
      <c r="N250">
        <v>381.73</v>
      </c>
      <c r="O250">
        <v>2</v>
      </c>
      <c r="P250" t="s">
        <v>58</v>
      </c>
      <c r="Q250">
        <v>2</v>
      </c>
      <c r="R250">
        <v>68</v>
      </c>
      <c r="S250">
        <v>45329</v>
      </c>
      <c r="T250" t="s">
        <v>1237</v>
      </c>
      <c r="U250">
        <v>7</v>
      </c>
      <c r="V250">
        <v>763.46</v>
      </c>
      <c r="W250">
        <v>0.15</v>
      </c>
      <c r="X250">
        <v>648.94100000000003</v>
      </c>
      <c r="Y250">
        <v>716.94100000000003</v>
      </c>
      <c r="Z250" t="s">
        <v>2097</v>
      </c>
      <c r="AA250" t="s">
        <v>2061</v>
      </c>
      <c r="AB250">
        <v>1</v>
      </c>
    </row>
    <row r="251" spans="1:28" x14ac:dyDescent="0.3">
      <c r="A251" t="s">
        <v>1238</v>
      </c>
      <c r="B251" t="s">
        <v>1239</v>
      </c>
      <c r="C251" t="s">
        <v>1240</v>
      </c>
      <c r="D251" t="s">
        <v>2247</v>
      </c>
      <c r="E251">
        <v>55</v>
      </c>
      <c r="F251" t="s">
        <v>41</v>
      </c>
      <c r="G251" t="s">
        <v>159</v>
      </c>
      <c r="H251" t="s">
        <v>1241</v>
      </c>
      <c r="I251" t="s">
        <v>1242</v>
      </c>
      <c r="J251" t="s">
        <v>1243</v>
      </c>
      <c r="K251" s="14">
        <v>45470</v>
      </c>
      <c r="L251" t="s">
        <v>1244</v>
      </c>
      <c r="M251" t="s">
        <v>518</v>
      </c>
      <c r="N251">
        <v>441.03</v>
      </c>
      <c r="O251">
        <v>3</v>
      </c>
      <c r="P251" t="s">
        <v>63</v>
      </c>
      <c r="Q251">
        <v>4</v>
      </c>
      <c r="R251">
        <v>47</v>
      </c>
      <c r="S251">
        <v>45473</v>
      </c>
      <c r="T251" t="s">
        <v>1245</v>
      </c>
      <c r="U251">
        <v>3</v>
      </c>
      <c r="V251">
        <v>1323.09</v>
      </c>
      <c r="W251">
        <v>0</v>
      </c>
      <c r="X251">
        <v>1323.09</v>
      </c>
      <c r="Y251">
        <v>1323.09</v>
      </c>
      <c r="Z251" t="s">
        <v>2143</v>
      </c>
      <c r="AA251" t="s">
        <v>2057</v>
      </c>
      <c r="AB251">
        <v>6</v>
      </c>
    </row>
    <row r="252" spans="1:28" x14ac:dyDescent="0.3">
      <c r="A252" t="s">
        <v>1246</v>
      </c>
      <c r="B252" t="s">
        <v>66</v>
      </c>
      <c r="C252" t="s">
        <v>1247</v>
      </c>
      <c r="D252" t="s">
        <v>2248</v>
      </c>
      <c r="E252">
        <v>40</v>
      </c>
      <c r="F252" t="s">
        <v>29</v>
      </c>
      <c r="G252" t="s">
        <v>76</v>
      </c>
      <c r="H252" t="s">
        <v>1248</v>
      </c>
      <c r="I252" t="s">
        <v>1249</v>
      </c>
      <c r="J252" t="s">
        <v>1250</v>
      </c>
      <c r="K252" s="14">
        <v>45531</v>
      </c>
      <c r="L252" t="s">
        <v>1251</v>
      </c>
      <c r="M252" t="s">
        <v>514</v>
      </c>
      <c r="N252">
        <v>136.30000000000001</v>
      </c>
      <c r="O252">
        <v>2</v>
      </c>
      <c r="P252" t="s">
        <v>36</v>
      </c>
      <c r="Q252">
        <v>6</v>
      </c>
      <c r="R252">
        <v>58</v>
      </c>
      <c r="S252">
        <v>45533</v>
      </c>
      <c r="T252" t="s">
        <v>1252</v>
      </c>
      <c r="U252">
        <v>2</v>
      </c>
      <c r="V252">
        <v>272.60000000000002</v>
      </c>
      <c r="W252">
        <v>0.08</v>
      </c>
      <c r="X252">
        <v>250.79200000000003</v>
      </c>
      <c r="Y252">
        <v>308.79200000000003</v>
      </c>
      <c r="Z252" t="s">
        <v>2144</v>
      </c>
      <c r="AA252" t="s">
        <v>2057</v>
      </c>
      <c r="AB252">
        <v>8</v>
      </c>
    </row>
    <row r="253" spans="1:28" x14ac:dyDescent="0.3">
      <c r="A253" t="s">
        <v>546</v>
      </c>
      <c r="B253" t="s">
        <v>547</v>
      </c>
      <c r="C253" t="s">
        <v>548</v>
      </c>
      <c r="D253" t="s">
        <v>2216</v>
      </c>
      <c r="E253">
        <v>33</v>
      </c>
      <c r="F253" t="s">
        <v>52</v>
      </c>
      <c r="G253" t="s">
        <v>168</v>
      </c>
      <c r="H253" t="s">
        <v>549</v>
      </c>
      <c r="I253" t="s">
        <v>550</v>
      </c>
      <c r="J253" t="s">
        <v>1253</v>
      </c>
      <c r="K253" s="14">
        <v>45383</v>
      </c>
      <c r="L253" t="s">
        <v>1254</v>
      </c>
      <c r="M253" t="s">
        <v>590</v>
      </c>
      <c r="N253">
        <v>403.03</v>
      </c>
      <c r="O253">
        <v>3</v>
      </c>
      <c r="P253" t="s">
        <v>58</v>
      </c>
      <c r="Q253">
        <v>5</v>
      </c>
      <c r="R253">
        <v>44</v>
      </c>
      <c r="S253">
        <v>45384</v>
      </c>
      <c r="T253" t="s">
        <v>1255</v>
      </c>
      <c r="U253">
        <v>1</v>
      </c>
      <c r="V253">
        <v>1209.0899999999999</v>
      </c>
      <c r="W253">
        <v>0.15</v>
      </c>
      <c r="X253">
        <v>1027.7265</v>
      </c>
      <c r="Y253">
        <v>1071.7265</v>
      </c>
      <c r="Z253" t="s">
        <v>2112</v>
      </c>
      <c r="AA253" t="s">
        <v>2057</v>
      </c>
      <c r="AB253">
        <v>4</v>
      </c>
    </row>
    <row r="254" spans="1:28" x14ac:dyDescent="0.3">
      <c r="A254" t="s">
        <v>986</v>
      </c>
      <c r="B254" t="s">
        <v>987</v>
      </c>
      <c r="C254" t="s">
        <v>988</v>
      </c>
      <c r="D254" t="s">
        <v>2239</v>
      </c>
      <c r="E254">
        <v>49</v>
      </c>
      <c r="F254" t="s">
        <v>29</v>
      </c>
      <c r="G254" t="s">
        <v>42</v>
      </c>
      <c r="H254" t="s">
        <v>989</v>
      </c>
      <c r="I254" t="s">
        <v>990</v>
      </c>
      <c r="J254" t="s">
        <v>1256</v>
      </c>
      <c r="K254" s="14">
        <v>45233</v>
      </c>
      <c r="L254" t="s">
        <v>1257</v>
      </c>
      <c r="M254" t="s">
        <v>748</v>
      </c>
      <c r="N254">
        <v>381.73</v>
      </c>
      <c r="O254">
        <v>5</v>
      </c>
      <c r="P254" t="s">
        <v>36</v>
      </c>
      <c r="Q254">
        <v>7</v>
      </c>
      <c r="R254">
        <v>45</v>
      </c>
      <c r="S254">
        <v>45236</v>
      </c>
      <c r="T254" t="s">
        <v>1258</v>
      </c>
      <c r="U254">
        <v>3</v>
      </c>
      <c r="V254">
        <v>1908.65</v>
      </c>
      <c r="W254">
        <v>0.08</v>
      </c>
      <c r="X254">
        <v>1755.9580000000001</v>
      </c>
      <c r="Y254">
        <v>1800.9580000000001</v>
      </c>
      <c r="Z254" t="s">
        <v>2135</v>
      </c>
      <c r="AA254" t="s">
        <v>2057</v>
      </c>
      <c r="AB254">
        <v>11</v>
      </c>
    </row>
    <row r="255" spans="1:28" x14ac:dyDescent="0.3">
      <c r="A255" t="s">
        <v>925</v>
      </c>
      <c r="B255" t="s">
        <v>926</v>
      </c>
      <c r="C255" t="s">
        <v>927</v>
      </c>
      <c r="D255" t="s">
        <v>2238</v>
      </c>
      <c r="E255">
        <v>24</v>
      </c>
      <c r="F255" t="s">
        <v>52</v>
      </c>
      <c r="G255" t="s">
        <v>220</v>
      </c>
      <c r="H255" t="s">
        <v>928</v>
      </c>
      <c r="I255" t="s">
        <v>929</v>
      </c>
      <c r="J255" t="s">
        <v>1259</v>
      </c>
      <c r="K255" s="14">
        <v>45668</v>
      </c>
      <c r="L255" t="s">
        <v>1260</v>
      </c>
      <c r="M255" t="s">
        <v>748</v>
      </c>
      <c r="N255">
        <v>381.73</v>
      </c>
      <c r="O255">
        <v>1</v>
      </c>
      <c r="P255" t="s">
        <v>36</v>
      </c>
      <c r="Q255">
        <v>3</v>
      </c>
      <c r="R255">
        <v>36</v>
      </c>
      <c r="S255">
        <v>45675</v>
      </c>
      <c r="T255" t="s">
        <v>1261</v>
      </c>
      <c r="U255">
        <v>7</v>
      </c>
      <c r="V255">
        <v>381.73</v>
      </c>
      <c r="W255">
        <v>0.08</v>
      </c>
      <c r="X255">
        <v>351.19159999999999</v>
      </c>
      <c r="Y255">
        <v>387.19159999999999</v>
      </c>
      <c r="Z255" t="s">
        <v>2134</v>
      </c>
      <c r="AA255" t="s">
        <v>2061</v>
      </c>
      <c r="AB255">
        <v>1</v>
      </c>
    </row>
    <row r="256" spans="1:28" x14ac:dyDescent="0.3">
      <c r="A256" t="s">
        <v>458</v>
      </c>
      <c r="B256" t="s">
        <v>459</v>
      </c>
      <c r="C256" t="s">
        <v>460</v>
      </c>
      <c r="D256" t="s">
        <v>2206</v>
      </c>
      <c r="E256">
        <v>63</v>
      </c>
      <c r="F256" t="s">
        <v>29</v>
      </c>
      <c r="G256" t="s">
        <v>140</v>
      </c>
      <c r="H256" t="s">
        <v>461</v>
      </c>
      <c r="I256" t="s">
        <v>462</v>
      </c>
      <c r="J256" t="s">
        <v>1262</v>
      </c>
      <c r="K256" s="14">
        <v>45457</v>
      </c>
      <c r="L256" t="s">
        <v>1263</v>
      </c>
      <c r="M256" t="s">
        <v>553</v>
      </c>
      <c r="N256">
        <v>425.59</v>
      </c>
      <c r="O256">
        <v>1</v>
      </c>
      <c r="P256" t="s">
        <v>85</v>
      </c>
      <c r="Q256">
        <v>7</v>
      </c>
      <c r="R256">
        <v>40</v>
      </c>
      <c r="S256">
        <v>45460</v>
      </c>
      <c r="T256" t="s">
        <v>1264</v>
      </c>
      <c r="U256">
        <v>3</v>
      </c>
      <c r="V256">
        <v>425.59</v>
      </c>
      <c r="W256">
        <v>0.2</v>
      </c>
      <c r="X256">
        <v>340.47199999999998</v>
      </c>
      <c r="Y256">
        <v>380.47199999999998</v>
      </c>
      <c r="Z256" t="s">
        <v>2102</v>
      </c>
      <c r="AA256" t="s">
        <v>2057</v>
      </c>
      <c r="AB256">
        <v>6</v>
      </c>
    </row>
    <row r="257" spans="1:28" x14ac:dyDescent="0.3">
      <c r="A257" t="s">
        <v>272</v>
      </c>
      <c r="B257" t="s">
        <v>273</v>
      </c>
      <c r="C257" t="s">
        <v>274</v>
      </c>
      <c r="D257" t="s">
        <v>2187</v>
      </c>
      <c r="E257">
        <v>44</v>
      </c>
      <c r="F257" t="s">
        <v>29</v>
      </c>
      <c r="G257" t="s">
        <v>220</v>
      </c>
      <c r="H257" t="s">
        <v>275</v>
      </c>
      <c r="I257" t="s">
        <v>276</v>
      </c>
      <c r="J257" t="s">
        <v>1265</v>
      </c>
      <c r="K257" s="14">
        <v>45659</v>
      </c>
      <c r="L257" t="s">
        <v>1266</v>
      </c>
      <c r="M257" t="s">
        <v>323</v>
      </c>
      <c r="N257">
        <v>481.48</v>
      </c>
      <c r="O257">
        <v>4</v>
      </c>
      <c r="P257" t="s">
        <v>58</v>
      </c>
      <c r="Q257">
        <v>4</v>
      </c>
      <c r="R257">
        <v>67</v>
      </c>
      <c r="S257">
        <v>45665</v>
      </c>
      <c r="T257" t="s">
        <v>1267</v>
      </c>
      <c r="U257">
        <v>6</v>
      </c>
      <c r="V257">
        <v>1925.92</v>
      </c>
      <c r="W257">
        <v>0.15</v>
      </c>
      <c r="X257">
        <v>1637.0320000000002</v>
      </c>
      <c r="Y257">
        <v>1704.0320000000002</v>
      </c>
      <c r="Z257" t="s">
        <v>2083</v>
      </c>
      <c r="AA257" t="s">
        <v>2061</v>
      </c>
      <c r="AB257">
        <v>1</v>
      </c>
    </row>
    <row r="258" spans="1:28" x14ac:dyDescent="0.3">
      <c r="A258" t="s">
        <v>156</v>
      </c>
      <c r="B258" t="s">
        <v>157</v>
      </c>
      <c r="C258" t="s">
        <v>158</v>
      </c>
      <c r="D258" t="s">
        <v>2175</v>
      </c>
      <c r="E258">
        <v>24</v>
      </c>
      <c r="F258" t="s">
        <v>29</v>
      </c>
      <c r="G258" t="s">
        <v>159</v>
      </c>
      <c r="H258" t="s">
        <v>160</v>
      </c>
      <c r="I258" t="s">
        <v>161</v>
      </c>
      <c r="J258" t="s">
        <v>1268</v>
      </c>
      <c r="K258" s="14">
        <v>45512</v>
      </c>
      <c r="L258" t="s">
        <v>1269</v>
      </c>
      <c r="M258" t="s">
        <v>495</v>
      </c>
      <c r="N258">
        <v>421.7</v>
      </c>
      <c r="O258">
        <v>2</v>
      </c>
      <c r="P258" t="s">
        <v>96</v>
      </c>
      <c r="Q258">
        <v>2</v>
      </c>
      <c r="R258">
        <v>54</v>
      </c>
      <c r="S258">
        <v>45514</v>
      </c>
      <c r="T258" t="s">
        <v>1270</v>
      </c>
      <c r="U258">
        <v>2</v>
      </c>
      <c r="V258">
        <v>843.4</v>
      </c>
      <c r="W258">
        <v>0.1</v>
      </c>
      <c r="X258">
        <v>759.06</v>
      </c>
      <c r="Y258">
        <v>813.06</v>
      </c>
      <c r="Z258" t="s">
        <v>2071</v>
      </c>
      <c r="AA258" t="s">
        <v>2066</v>
      </c>
      <c r="AB258">
        <v>8</v>
      </c>
    </row>
    <row r="259" spans="1:28" x14ac:dyDescent="0.3">
      <c r="A259" t="s">
        <v>301</v>
      </c>
      <c r="B259" t="s">
        <v>302</v>
      </c>
      <c r="C259" t="s">
        <v>303</v>
      </c>
      <c r="D259" t="s">
        <v>2190</v>
      </c>
      <c r="E259">
        <v>26</v>
      </c>
      <c r="F259" t="s">
        <v>52</v>
      </c>
      <c r="G259" t="s">
        <v>168</v>
      </c>
      <c r="H259" t="s">
        <v>304</v>
      </c>
      <c r="I259" t="s">
        <v>305</v>
      </c>
      <c r="J259" t="s">
        <v>1271</v>
      </c>
      <c r="K259" s="14">
        <v>45393</v>
      </c>
      <c r="L259" t="s">
        <v>1272</v>
      </c>
      <c r="M259" t="s">
        <v>738</v>
      </c>
      <c r="N259">
        <v>110.95</v>
      </c>
      <c r="O259">
        <v>3</v>
      </c>
      <c r="P259" t="s">
        <v>63</v>
      </c>
      <c r="Q259">
        <v>5</v>
      </c>
      <c r="R259">
        <v>47</v>
      </c>
      <c r="S259">
        <v>45399</v>
      </c>
      <c r="T259" t="s">
        <v>1273</v>
      </c>
      <c r="U259">
        <v>6</v>
      </c>
      <c r="V259">
        <v>332.85</v>
      </c>
      <c r="W259">
        <v>0</v>
      </c>
      <c r="X259">
        <v>332.85</v>
      </c>
      <c r="Y259">
        <v>332.85</v>
      </c>
      <c r="Z259" t="s">
        <v>2086</v>
      </c>
      <c r="AA259" t="s">
        <v>2061</v>
      </c>
      <c r="AB259">
        <v>4</v>
      </c>
    </row>
    <row r="260" spans="1:28" x14ac:dyDescent="0.3">
      <c r="A260" t="s">
        <v>507</v>
      </c>
      <c r="B260" t="s">
        <v>508</v>
      </c>
      <c r="C260" t="s">
        <v>509</v>
      </c>
      <c r="D260" t="s">
        <v>2212</v>
      </c>
      <c r="E260">
        <v>64</v>
      </c>
      <c r="F260" t="s">
        <v>29</v>
      </c>
      <c r="G260" t="s">
        <v>30</v>
      </c>
      <c r="H260" t="s">
        <v>510</v>
      </c>
      <c r="I260" t="s">
        <v>511</v>
      </c>
      <c r="J260" t="s">
        <v>1274</v>
      </c>
      <c r="K260" s="14">
        <v>45188</v>
      </c>
      <c r="L260" t="s">
        <v>1275</v>
      </c>
      <c r="M260" t="s">
        <v>246</v>
      </c>
      <c r="N260">
        <v>282.63</v>
      </c>
      <c r="O260">
        <v>4</v>
      </c>
      <c r="P260" t="s">
        <v>96</v>
      </c>
      <c r="Q260">
        <v>3</v>
      </c>
      <c r="R260">
        <v>52</v>
      </c>
      <c r="S260">
        <v>45191</v>
      </c>
      <c r="T260" t="s">
        <v>1276</v>
      </c>
      <c r="U260">
        <v>3</v>
      </c>
      <c r="V260">
        <v>1130.52</v>
      </c>
      <c r="W260">
        <v>0.1</v>
      </c>
      <c r="X260">
        <v>1017.468</v>
      </c>
      <c r="Y260">
        <v>1069.4679999999998</v>
      </c>
      <c r="Z260" t="s">
        <v>2108</v>
      </c>
      <c r="AA260" t="s">
        <v>2066</v>
      </c>
      <c r="AB260">
        <v>9</v>
      </c>
    </row>
    <row r="261" spans="1:28" x14ac:dyDescent="0.3">
      <c r="A261" t="s">
        <v>847</v>
      </c>
      <c r="B261" t="s">
        <v>848</v>
      </c>
      <c r="C261" t="s">
        <v>387</v>
      </c>
      <c r="D261" t="s">
        <v>2236</v>
      </c>
      <c r="E261">
        <v>37</v>
      </c>
      <c r="F261" t="s">
        <v>52</v>
      </c>
      <c r="G261" t="s">
        <v>220</v>
      </c>
      <c r="H261" t="s">
        <v>849</v>
      </c>
      <c r="I261" t="s">
        <v>850</v>
      </c>
      <c r="J261" t="s">
        <v>1277</v>
      </c>
      <c r="K261" s="14">
        <v>45335</v>
      </c>
      <c r="L261" t="s">
        <v>1278</v>
      </c>
      <c r="M261" t="s">
        <v>291</v>
      </c>
      <c r="N261">
        <v>158.53</v>
      </c>
      <c r="O261">
        <v>3</v>
      </c>
      <c r="P261" t="s">
        <v>96</v>
      </c>
      <c r="Q261">
        <v>3</v>
      </c>
      <c r="R261">
        <v>63</v>
      </c>
      <c r="S261">
        <v>45336</v>
      </c>
      <c r="T261" t="s">
        <v>1279</v>
      </c>
      <c r="U261">
        <v>1</v>
      </c>
      <c r="V261">
        <v>475.59000000000003</v>
      </c>
      <c r="W261">
        <v>0.1</v>
      </c>
      <c r="X261">
        <v>428.03100000000001</v>
      </c>
      <c r="Y261">
        <v>491.03100000000001</v>
      </c>
      <c r="Z261" t="s">
        <v>2132</v>
      </c>
      <c r="AA261" t="s">
        <v>2057</v>
      </c>
      <c r="AB261">
        <v>2</v>
      </c>
    </row>
    <row r="262" spans="1:28" x14ac:dyDescent="0.3">
      <c r="A262" t="s">
        <v>1079</v>
      </c>
      <c r="B262" t="s">
        <v>218</v>
      </c>
      <c r="C262" t="s">
        <v>1080</v>
      </c>
      <c r="D262" t="s">
        <v>2241</v>
      </c>
      <c r="E262">
        <v>55</v>
      </c>
      <c r="F262" t="s">
        <v>41</v>
      </c>
      <c r="G262" t="s">
        <v>159</v>
      </c>
      <c r="H262" t="s">
        <v>1081</v>
      </c>
      <c r="I262" t="s">
        <v>1082</v>
      </c>
      <c r="J262" t="s">
        <v>1280</v>
      </c>
      <c r="K262" s="14">
        <v>45026</v>
      </c>
      <c r="L262" t="s">
        <v>1281</v>
      </c>
      <c r="M262" t="s">
        <v>270</v>
      </c>
      <c r="N262">
        <v>62.42</v>
      </c>
      <c r="O262">
        <v>3</v>
      </c>
      <c r="P262" t="s">
        <v>36</v>
      </c>
      <c r="Q262">
        <v>3</v>
      </c>
      <c r="R262">
        <v>37</v>
      </c>
      <c r="S262">
        <v>45031</v>
      </c>
      <c r="T262" t="s">
        <v>1282</v>
      </c>
      <c r="U262">
        <v>5</v>
      </c>
      <c r="V262">
        <v>187.26</v>
      </c>
      <c r="W262">
        <v>0.08</v>
      </c>
      <c r="X262">
        <v>172.2792</v>
      </c>
      <c r="Y262">
        <v>209.2792</v>
      </c>
      <c r="Z262" t="s">
        <v>2137</v>
      </c>
      <c r="AA262" t="s">
        <v>2061</v>
      </c>
      <c r="AB262">
        <v>4</v>
      </c>
    </row>
    <row r="263" spans="1:28" x14ac:dyDescent="0.3">
      <c r="A263" t="s">
        <v>301</v>
      </c>
      <c r="B263" t="s">
        <v>302</v>
      </c>
      <c r="C263" t="s">
        <v>303</v>
      </c>
      <c r="D263" t="s">
        <v>2190</v>
      </c>
      <c r="E263">
        <v>26</v>
      </c>
      <c r="F263" t="s">
        <v>52</v>
      </c>
      <c r="G263" t="s">
        <v>168</v>
      </c>
      <c r="H263" t="s">
        <v>304</v>
      </c>
      <c r="I263" t="s">
        <v>305</v>
      </c>
      <c r="J263" t="s">
        <v>1283</v>
      </c>
      <c r="K263" s="14">
        <v>45454</v>
      </c>
      <c r="L263" t="s">
        <v>1284</v>
      </c>
      <c r="M263" t="s">
        <v>657</v>
      </c>
      <c r="N263">
        <v>235.63</v>
      </c>
      <c r="O263">
        <v>2</v>
      </c>
      <c r="P263" t="s">
        <v>58</v>
      </c>
      <c r="Q263">
        <v>4</v>
      </c>
      <c r="R263">
        <v>44</v>
      </c>
      <c r="S263">
        <v>45458</v>
      </c>
      <c r="T263" t="s">
        <v>1285</v>
      </c>
      <c r="U263">
        <v>4</v>
      </c>
      <c r="V263">
        <v>471.26</v>
      </c>
      <c r="W263">
        <v>0.15</v>
      </c>
      <c r="X263">
        <v>400.57100000000003</v>
      </c>
      <c r="Y263">
        <v>444.57100000000003</v>
      </c>
      <c r="Z263" t="s">
        <v>2086</v>
      </c>
      <c r="AA263" t="s">
        <v>2066</v>
      </c>
      <c r="AB263">
        <v>6</v>
      </c>
    </row>
    <row r="264" spans="1:28" x14ac:dyDescent="0.3">
      <c r="A264" t="s">
        <v>272</v>
      </c>
      <c r="B264" t="s">
        <v>273</v>
      </c>
      <c r="C264" t="s">
        <v>274</v>
      </c>
      <c r="D264" t="s">
        <v>2187</v>
      </c>
      <c r="E264">
        <v>44</v>
      </c>
      <c r="F264" t="s">
        <v>29</v>
      </c>
      <c r="G264" t="s">
        <v>220</v>
      </c>
      <c r="H264" t="s">
        <v>275</v>
      </c>
      <c r="I264" t="s">
        <v>276</v>
      </c>
      <c r="J264" t="s">
        <v>1286</v>
      </c>
      <c r="K264" s="14">
        <v>45547</v>
      </c>
      <c r="L264" t="s">
        <v>1287</v>
      </c>
      <c r="M264" t="s">
        <v>287</v>
      </c>
      <c r="N264">
        <v>157.63999999999999</v>
      </c>
      <c r="O264">
        <v>2</v>
      </c>
      <c r="P264" t="s">
        <v>36</v>
      </c>
      <c r="Q264">
        <v>1</v>
      </c>
      <c r="R264">
        <v>56</v>
      </c>
      <c r="S264">
        <v>45552</v>
      </c>
      <c r="T264" t="s">
        <v>1288</v>
      </c>
      <c r="U264">
        <v>5</v>
      </c>
      <c r="V264">
        <v>315.27999999999997</v>
      </c>
      <c r="W264">
        <v>0.08</v>
      </c>
      <c r="X264">
        <v>290.05759999999998</v>
      </c>
      <c r="Y264">
        <v>346.05759999999998</v>
      </c>
      <c r="Z264" t="s">
        <v>2083</v>
      </c>
      <c r="AA264" t="s">
        <v>2061</v>
      </c>
      <c r="AB264">
        <v>9</v>
      </c>
    </row>
    <row r="265" spans="1:28" x14ac:dyDescent="0.3">
      <c r="A265" t="s">
        <v>255</v>
      </c>
      <c r="B265" t="s">
        <v>256</v>
      </c>
      <c r="C265" t="s">
        <v>257</v>
      </c>
      <c r="D265" t="s">
        <v>2185</v>
      </c>
      <c r="E265">
        <v>60</v>
      </c>
      <c r="F265" t="s">
        <v>52</v>
      </c>
      <c r="G265" t="s">
        <v>30</v>
      </c>
      <c r="H265" t="s">
        <v>258</v>
      </c>
      <c r="I265" t="s">
        <v>259</v>
      </c>
      <c r="J265" t="s">
        <v>1289</v>
      </c>
      <c r="K265" s="14">
        <v>44996</v>
      </c>
      <c r="L265" t="s">
        <v>1290</v>
      </c>
      <c r="M265" t="s">
        <v>344</v>
      </c>
      <c r="N265">
        <v>372.62</v>
      </c>
      <c r="O265">
        <v>4</v>
      </c>
      <c r="P265" t="s">
        <v>58</v>
      </c>
      <c r="Q265">
        <v>2</v>
      </c>
      <c r="R265">
        <v>42</v>
      </c>
      <c r="S265">
        <v>45001</v>
      </c>
      <c r="T265" t="s">
        <v>1291</v>
      </c>
      <c r="U265">
        <v>5</v>
      </c>
      <c r="V265">
        <v>1490.48</v>
      </c>
      <c r="W265">
        <v>0.15</v>
      </c>
      <c r="X265">
        <v>1266.9079999999999</v>
      </c>
      <c r="Y265">
        <v>1308.9079999999999</v>
      </c>
      <c r="Z265" t="s">
        <v>2081</v>
      </c>
      <c r="AA265" t="s">
        <v>2061</v>
      </c>
      <c r="AB265">
        <v>3</v>
      </c>
    </row>
    <row r="266" spans="1:28" x14ac:dyDescent="0.3">
      <c r="A266" t="s">
        <v>1210</v>
      </c>
      <c r="B266" t="s">
        <v>1211</v>
      </c>
      <c r="C266" t="s">
        <v>1212</v>
      </c>
      <c r="D266" t="s">
        <v>2245</v>
      </c>
      <c r="E266">
        <v>50</v>
      </c>
      <c r="F266" t="s">
        <v>52</v>
      </c>
      <c r="G266" t="s">
        <v>168</v>
      </c>
      <c r="H266" t="s">
        <v>1213</v>
      </c>
      <c r="I266" t="s">
        <v>1214</v>
      </c>
      <c r="J266" t="s">
        <v>1292</v>
      </c>
      <c r="K266" s="14">
        <v>45672</v>
      </c>
      <c r="L266" t="s">
        <v>1293</v>
      </c>
      <c r="M266" t="s">
        <v>590</v>
      </c>
      <c r="N266">
        <v>403.03</v>
      </c>
      <c r="O266">
        <v>2</v>
      </c>
      <c r="P266" t="s">
        <v>85</v>
      </c>
      <c r="Q266">
        <v>3</v>
      </c>
      <c r="R266">
        <v>61</v>
      </c>
      <c r="S266">
        <v>45677</v>
      </c>
      <c r="T266" t="s">
        <v>1294</v>
      </c>
      <c r="U266">
        <v>5</v>
      </c>
      <c r="V266">
        <v>806.06</v>
      </c>
      <c r="W266">
        <v>0.2</v>
      </c>
      <c r="X266">
        <v>644.84799999999996</v>
      </c>
      <c r="Y266">
        <v>705.84799999999996</v>
      </c>
      <c r="Z266" t="s">
        <v>2141</v>
      </c>
      <c r="AA266" t="s">
        <v>2061</v>
      </c>
      <c r="AB266">
        <v>1</v>
      </c>
    </row>
    <row r="267" spans="1:28" x14ac:dyDescent="0.3">
      <c r="A267" t="s">
        <v>209</v>
      </c>
      <c r="B267" t="s">
        <v>210</v>
      </c>
      <c r="C267" t="s">
        <v>211</v>
      </c>
      <c r="D267" t="s">
        <v>2181</v>
      </c>
      <c r="E267">
        <v>39</v>
      </c>
      <c r="F267" t="s">
        <v>41</v>
      </c>
      <c r="G267" t="s">
        <v>159</v>
      </c>
      <c r="H267" t="s">
        <v>212</v>
      </c>
      <c r="I267" t="s">
        <v>213</v>
      </c>
      <c r="J267" t="s">
        <v>1295</v>
      </c>
      <c r="K267" s="14">
        <v>45366</v>
      </c>
      <c r="L267" t="s">
        <v>1296</v>
      </c>
      <c r="M267" t="s">
        <v>199</v>
      </c>
      <c r="N267">
        <v>20.7</v>
      </c>
      <c r="O267">
        <v>3</v>
      </c>
      <c r="P267" t="s">
        <v>63</v>
      </c>
      <c r="Q267">
        <v>1</v>
      </c>
      <c r="R267">
        <v>67</v>
      </c>
      <c r="S267">
        <v>45372</v>
      </c>
      <c r="T267" t="s">
        <v>1297</v>
      </c>
      <c r="U267">
        <v>6</v>
      </c>
      <c r="V267">
        <v>62.099999999999994</v>
      </c>
      <c r="W267">
        <v>0</v>
      </c>
      <c r="X267">
        <v>62.099999999999994</v>
      </c>
      <c r="Y267">
        <v>62.099999999999994</v>
      </c>
      <c r="Z267" t="s">
        <v>2077</v>
      </c>
      <c r="AA267" t="s">
        <v>2061</v>
      </c>
      <c r="AB267">
        <v>3</v>
      </c>
    </row>
    <row r="268" spans="1:28" x14ac:dyDescent="0.3">
      <c r="A268" t="s">
        <v>184</v>
      </c>
      <c r="B268" t="s">
        <v>185</v>
      </c>
      <c r="C268" t="s">
        <v>186</v>
      </c>
      <c r="D268" t="s">
        <v>2178</v>
      </c>
      <c r="E268">
        <v>42</v>
      </c>
      <c r="F268" t="s">
        <v>41</v>
      </c>
      <c r="G268" t="s">
        <v>168</v>
      </c>
      <c r="H268" t="s">
        <v>187</v>
      </c>
      <c r="I268" t="s">
        <v>188</v>
      </c>
      <c r="J268" t="s">
        <v>1298</v>
      </c>
      <c r="K268" s="14">
        <v>45541</v>
      </c>
      <c r="L268" t="s">
        <v>1299</v>
      </c>
      <c r="M268" t="s">
        <v>514</v>
      </c>
      <c r="N268">
        <v>136.30000000000001</v>
      </c>
      <c r="O268">
        <v>2</v>
      </c>
      <c r="P268" t="s">
        <v>85</v>
      </c>
      <c r="Q268">
        <v>2</v>
      </c>
      <c r="R268">
        <v>45</v>
      </c>
      <c r="S268">
        <v>45546</v>
      </c>
      <c r="T268" t="s">
        <v>1300</v>
      </c>
      <c r="U268">
        <v>5</v>
      </c>
      <c r="V268">
        <v>272.60000000000002</v>
      </c>
      <c r="W268">
        <v>0.2</v>
      </c>
      <c r="X268">
        <v>218.08</v>
      </c>
      <c r="Y268">
        <v>263.08000000000004</v>
      </c>
      <c r="Z268" t="s">
        <v>2074</v>
      </c>
      <c r="AA268" t="s">
        <v>2061</v>
      </c>
      <c r="AB268">
        <v>9</v>
      </c>
    </row>
    <row r="269" spans="1:28" x14ac:dyDescent="0.3">
      <c r="A269" t="s">
        <v>705</v>
      </c>
      <c r="B269" t="s">
        <v>706</v>
      </c>
      <c r="C269" t="s">
        <v>707</v>
      </c>
      <c r="D269" t="s">
        <v>2226</v>
      </c>
      <c r="E269">
        <v>26</v>
      </c>
      <c r="F269" t="s">
        <v>52</v>
      </c>
      <c r="G269" t="s">
        <v>76</v>
      </c>
      <c r="H269" t="s">
        <v>708</v>
      </c>
      <c r="I269" t="s">
        <v>709</v>
      </c>
      <c r="J269" t="s">
        <v>1301</v>
      </c>
      <c r="K269" s="14">
        <v>45389</v>
      </c>
      <c r="L269" t="s">
        <v>1302</v>
      </c>
      <c r="M269" t="s">
        <v>738</v>
      </c>
      <c r="N269">
        <v>110.95</v>
      </c>
      <c r="O269">
        <v>2</v>
      </c>
      <c r="P269" t="s">
        <v>85</v>
      </c>
      <c r="Q269">
        <v>3</v>
      </c>
      <c r="R269">
        <v>36</v>
      </c>
      <c r="S269">
        <v>45394</v>
      </c>
      <c r="T269" t="s">
        <v>1303</v>
      </c>
      <c r="U269">
        <v>5</v>
      </c>
      <c r="V269">
        <v>221.9</v>
      </c>
      <c r="W269">
        <v>0.2</v>
      </c>
      <c r="X269">
        <v>177.52</v>
      </c>
      <c r="Y269">
        <v>213.52</v>
      </c>
      <c r="Z269" t="s">
        <v>2122</v>
      </c>
      <c r="AA269" t="s">
        <v>2061</v>
      </c>
      <c r="AB269">
        <v>4</v>
      </c>
    </row>
    <row r="270" spans="1:28" x14ac:dyDescent="0.3">
      <c r="A270" t="s">
        <v>227</v>
      </c>
      <c r="B270" t="s">
        <v>228</v>
      </c>
      <c r="C270" t="s">
        <v>229</v>
      </c>
      <c r="D270" t="s">
        <v>2183</v>
      </c>
      <c r="E270">
        <v>64</v>
      </c>
      <c r="F270" t="s">
        <v>41</v>
      </c>
      <c r="G270" t="s">
        <v>42</v>
      </c>
      <c r="H270" t="s">
        <v>230</v>
      </c>
      <c r="I270" t="s">
        <v>231</v>
      </c>
      <c r="J270" t="s">
        <v>1304</v>
      </c>
      <c r="K270" s="14">
        <v>45351</v>
      </c>
      <c r="L270" t="s">
        <v>1305</v>
      </c>
      <c r="M270" t="s">
        <v>344</v>
      </c>
      <c r="N270">
        <v>372.62</v>
      </c>
      <c r="O270">
        <v>3</v>
      </c>
      <c r="P270" t="s">
        <v>63</v>
      </c>
      <c r="Q270">
        <v>5</v>
      </c>
      <c r="R270">
        <v>54</v>
      </c>
      <c r="S270">
        <v>45352</v>
      </c>
      <c r="T270" t="s">
        <v>1306</v>
      </c>
      <c r="U270">
        <v>1</v>
      </c>
      <c r="V270">
        <v>1117.8600000000001</v>
      </c>
      <c r="W270">
        <v>0</v>
      </c>
      <c r="X270">
        <v>1117.8600000000001</v>
      </c>
      <c r="Y270">
        <v>1117.8600000000001</v>
      </c>
      <c r="Z270" t="s">
        <v>2079</v>
      </c>
      <c r="AA270" t="s">
        <v>2057</v>
      </c>
      <c r="AB270">
        <v>2</v>
      </c>
    </row>
    <row r="271" spans="1:28" x14ac:dyDescent="0.3">
      <c r="A271" t="s">
        <v>1307</v>
      </c>
      <c r="B271" t="s">
        <v>1308</v>
      </c>
      <c r="C271" t="s">
        <v>1309</v>
      </c>
      <c r="D271" t="s">
        <v>2249</v>
      </c>
      <c r="E271">
        <v>63</v>
      </c>
      <c r="F271" t="s">
        <v>29</v>
      </c>
      <c r="G271" t="s">
        <v>168</v>
      </c>
      <c r="H271" t="s">
        <v>1310</v>
      </c>
      <c r="I271" t="s">
        <v>1311</v>
      </c>
      <c r="J271" t="s">
        <v>1312</v>
      </c>
      <c r="K271" s="14">
        <v>45083</v>
      </c>
      <c r="L271" t="s">
        <v>1313</v>
      </c>
      <c r="M271" t="s">
        <v>287</v>
      </c>
      <c r="N271">
        <v>157.63999999999999</v>
      </c>
      <c r="O271">
        <v>2</v>
      </c>
      <c r="P271" t="s">
        <v>36</v>
      </c>
      <c r="Q271">
        <v>4</v>
      </c>
      <c r="R271">
        <v>61</v>
      </c>
      <c r="S271">
        <v>45090</v>
      </c>
      <c r="T271" t="s">
        <v>1314</v>
      </c>
      <c r="U271">
        <v>7</v>
      </c>
      <c r="V271">
        <v>315.27999999999997</v>
      </c>
      <c r="W271">
        <v>0.08</v>
      </c>
      <c r="X271">
        <v>290.05759999999998</v>
      </c>
      <c r="Y271">
        <v>351.05759999999998</v>
      </c>
      <c r="Z271" t="s">
        <v>2145</v>
      </c>
      <c r="AA271" t="s">
        <v>2061</v>
      </c>
      <c r="AB271">
        <v>6</v>
      </c>
    </row>
    <row r="272" spans="1:28" x14ac:dyDescent="0.3">
      <c r="A272" t="s">
        <v>1221</v>
      </c>
      <c r="B272" t="s">
        <v>1222</v>
      </c>
      <c r="C272" t="s">
        <v>1223</v>
      </c>
      <c r="D272" t="s">
        <v>2246</v>
      </c>
      <c r="E272">
        <v>19</v>
      </c>
      <c r="F272" t="s">
        <v>41</v>
      </c>
      <c r="G272" t="s">
        <v>76</v>
      </c>
      <c r="H272" t="s">
        <v>1224</v>
      </c>
      <c r="I272" t="s">
        <v>1225</v>
      </c>
      <c r="J272" t="s">
        <v>1315</v>
      </c>
      <c r="K272" s="14">
        <v>44997</v>
      </c>
      <c r="L272" t="s">
        <v>1316</v>
      </c>
      <c r="M272" t="s">
        <v>145</v>
      </c>
      <c r="N272">
        <v>190.1</v>
      </c>
      <c r="O272">
        <v>3</v>
      </c>
      <c r="P272" t="s">
        <v>36</v>
      </c>
      <c r="Q272">
        <v>4</v>
      </c>
      <c r="R272">
        <v>63</v>
      </c>
      <c r="S272">
        <v>45002</v>
      </c>
      <c r="T272" t="s">
        <v>1317</v>
      </c>
      <c r="U272">
        <v>5</v>
      </c>
      <c r="V272">
        <v>570.29999999999995</v>
      </c>
      <c r="W272">
        <v>0.08</v>
      </c>
      <c r="X272">
        <v>524.67599999999993</v>
      </c>
      <c r="Y272">
        <v>587.67599999999993</v>
      </c>
      <c r="Z272" t="s">
        <v>2142</v>
      </c>
      <c r="AA272" t="s">
        <v>2061</v>
      </c>
      <c r="AB272">
        <v>3</v>
      </c>
    </row>
    <row r="273" spans="1:28" x14ac:dyDescent="0.3">
      <c r="A273" t="s">
        <v>1318</v>
      </c>
      <c r="B273" t="s">
        <v>1319</v>
      </c>
      <c r="C273" t="s">
        <v>1320</v>
      </c>
      <c r="D273" t="s">
        <v>2250</v>
      </c>
      <c r="E273">
        <v>43</v>
      </c>
      <c r="F273" t="s">
        <v>29</v>
      </c>
      <c r="G273" t="s">
        <v>140</v>
      </c>
      <c r="H273" t="s">
        <v>1321</v>
      </c>
      <c r="I273" t="s">
        <v>1322</v>
      </c>
      <c r="J273" t="s">
        <v>1323</v>
      </c>
      <c r="K273" s="14">
        <v>45428</v>
      </c>
      <c r="L273" t="s">
        <v>1324</v>
      </c>
      <c r="M273" t="s">
        <v>941</v>
      </c>
      <c r="N273">
        <v>107.47</v>
      </c>
      <c r="O273">
        <v>1</v>
      </c>
      <c r="P273" t="s">
        <v>36</v>
      </c>
      <c r="Q273">
        <v>4</v>
      </c>
      <c r="R273">
        <v>36</v>
      </c>
      <c r="S273">
        <v>45430</v>
      </c>
      <c r="T273" t="s">
        <v>1325</v>
      </c>
      <c r="U273">
        <v>2</v>
      </c>
      <c r="V273">
        <v>107.47</v>
      </c>
      <c r="W273">
        <v>0.08</v>
      </c>
      <c r="X273">
        <v>98.872399999999999</v>
      </c>
      <c r="Y273">
        <v>134.8724</v>
      </c>
      <c r="Z273" t="s">
        <v>2146</v>
      </c>
      <c r="AA273" t="s">
        <v>2057</v>
      </c>
      <c r="AB273">
        <v>5</v>
      </c>
    </row>
    <row r="274" spans="1:28" x14ac:dyDescent="0.3">
      <c r="A274" t="s">
        <v>385</v>
      </c>
      <c r="B274" t="s">
        <v>386</v>
      </c>
      <c r="C274" t="s">
        <v>387</v>
      </c>
      <c r="D274" t="s">
        <v>2198</v>
      </c>
      <c r="E274">
        <v>47</v>
      </c>
      <c r="F274" t="s">
        <v>41</v>
      </c>
      <c r="G274" t="s">
        <v>90</v>
      </c>
      <c r="H274" t="s">
        <v>388</v>
      </c>
      <c r="I274" t="s">
        <v>389</v>
      </c>
      <c r="J274" t="s">
        <v>1326</v>
      </c>
      <c r="K274" s="14">
        <v>45012</v>
      </c>
      <c r="L274" t="s">
        <v>1327</v>
      </c>
      <c r="M274" t="s">
        <v>135</v>
      </c>
      <c r="N274">
        <v>175.93</v>
      </c>
      <c r="O274">
        <v>3</v>
      </c>
      <c r="P274" t="s">
        <v>63</v>
      </c>
      <c r="Q274">
        <v>3</v>
      </c>
      <c r="R274">
        <v>58</v>
      </c>
      <c r="S274">
        <v>45017</v>
      </c>
      <c r="T274" t="s">
        <v>1328</v>
      </c>
      <c r="U274">
        <v>5</v>
      </c>
      <c r="V274">
        <v>527.79</v>
      </c>
      <c r="W274">
        <v>0</v>
      </c>
      <c r="X274">
        <v>527.79</v>
      </c>
      <c r="Y274">
        <v>527.79</v>
      </c>
      <c r="Z274" t="s">
        <v>2094</v>
      </c>
      <c r="AA274" t="s">
        <v>2061</v>
      </c>
      <c r="AB274">
        <v>3</v>
      </c>
    </row>
    <row r="275" spans="1:28" x14ac:dyDescent="0.3">
      <c r="A275" t="s">
        <v>1210</v>
      </c>
      <c r="B275" t="s">
        <v>1211</v>
      </c>
      <c r="C275" t="s">
        <v>1212</v>
      </c>
      <c r="D275" t="s">
        <v>2245</v>
      </c>
      <c r="E275">
        <v>50</v>
      </c>
      <c r="F275" t="s">
        <v>52</v>
      </c>
      <c r="G275" t="s">
        <v>168</v>
      </c>
      <c r="H275" t="s">
        <v>1213</v>
      </c>
      <c r="I275" t="s">
        <v>1214</v>
      </c>
      <c r="J275" t="s">
        <v>1329</v>
      </c>
      <c r="K275" s="14">
        <v>45481</v>
      </c>
      <c r="L275" t="s">
        <v>1330</v>
      </c>
      <c r="M275" t="s">
        <v>686</v>
      </c>
      <c r="N275">
        <v>424.82</v>
      </c>
      <c r="O275">
        <v>3</v>
      </c>
      <c r="P275" t="s">
        <v>63</v>
      </c>
      <c r="Q275">
        <v>3</v>
      </c>
      <c r="R275">
        <v>42</v>
      </c>
      <c r="S275">
        <v>45482</v>
      </c>
      <c r="T275" t="s">
        <v>1331</v>
      </c>
      <c r="U275">
        <v>1</v>
      </c>
      <c r="V275">
        <v>1274.46</v>
      </c>
      <c r="W275">
        <v>0</v>
      </c>
      <c r="X275">
        <v>1274.46</v>
      </c>
      <c r="Y275">
        <v>1274.46</v>
      </c>
      <c r="Z275" t="s">
        <v>2141</v>
      </c>
      <c r="AA275" t="s">
        <v>2057</v>
      </c>
      <c r="AB275">
        <v>7</v>
      </c>
    </row>
    <row r="276" spans="1:28" x14ac:dyDescent="0.3">
      <c r="A276" t="s">
        <v>1332</v>
      </c>
      <c r="B276" t="s">
        <v>1333</v>
      </c>
      <c r="C276" t="s">
        <v>395</v>
      </c>
      <c r="D276" t="s">
        <v>2251</v>
      </c>
      <c r="E276">
        <v>18</v>
      </c>
      <c r="F276" t="s">
        <v>41</v>
      </c>
      <c r="G276" t="s">
        <v>220</v>
      </c>
      <c r="H276" t="s">
        <v>1334</v>
      </c>
      <c r="I276" t="s">
        <v>1335</v>
      </c>
      <c r="J276" t="s">
        <v>1336</v>
      </c>
      <c r="K276" s="14">
        <v>45332</v>
      </c>
      <c r="L276" t="s">
        <v>1337</v>
      </c>
      <c r="M276" t="s">
        <v>323</v>
      </c>
      <c r="N276">
        <v>481.48</v>
      </c>
      <c r="O276">
        <v>4</v>
      </c>
      <c r="P276" t="s">
        <v>63</v>
      </c>
      <c r="Q276">
        <v>2</v>
      </c>
      <c r="R276">
        <v>61</v>
      </c>
      <c r="S276">
        <v>45338</v>
      </c>
      <c r="T276" t="s">
        <v>1338</v>
      </c>
      <c r="U276">
        <v>6</v>
      </c>
      <c r="V276">
        <v>1925.92</v>
      </c>
      <c r="W276">
        <v>0</v>
      </c>
      <c r="X276">
        <v>1925.92</v>
      </c>
      <c r="Y276">
        <v>1925.92</v>
      </c>
      <c r="Z276" t="s">
        <v>2147</v>
      </c>
      <c r="AA276" t="s">
        <v>2061</v>
      </c>
      <c r="AB276">
        <v>2</v>
      </c>
    </row>
    <row r="277" spans="1:28" x14ac:dyDescent="0.3">
      <c r="A277" t="s">
        <v>1210</v>
      </c>
      <c r="B277" t="s">
        <v>1211</v>
      </c>
      <c r="C277" t="s">
        <v>1212</v>
      </c>
      <c r="D277" t="s">
        <v>2245</v>
      </c>
      <c r="E277">
        <v>50</v>
      </c>
      <c r="F277" t="s">
        <v>52</v>
      </c>
      <c r="G277" t="s">
        <v>168</v>
      </c>
      <c r="H277" t="s">
        <v>1213</v>
      </c>
      <c r="I277" t="s">
        <v>1214</v>
      </c>
      <c r="J277" t="s">
        <v>1339</v>
      </c>
      <c r="K277" s="14">
        <v>45599</v>
      </c>
      <c r="L277" t="s">
        <v>1340</v>
      </c>
      <c r="M277" t="s">
        <v>182</v>
      </c>
      <c r="N277">
        <v>104.18</v>
      </c>
      <c r="O277">
        <v>1</v>
      </c>
      <c r="P277" t="s">
        <v>36</v>
      </c>
      <c r="Q277">
        <v>1</v>
      </c>
      <c r="R277">
        <v>48</v>
      </c>
      <c r="S277">
        <v>45603</v>
      </c>
      <c r="T277" t="s">
        <v>1341</v>
      </c>
      <c r="U277">
        <v>4</v>
      </c>
      <c r="V277">
        <v>104.18</v>
      </c>
      <c r="W277">
        <v>0.08</v>
      </c>
      <c r="X277">
        <v>95.845600000000005</v>
      </c>
      <c r="Y277">
        <v>143.84559999999999</v>
      </c>
      <c r="Z277" t="s">
        <v>2141</v>
      </c>
      <c r="AA277" t="s">
        <v>2061</v>
      </c>
      <c r="AB277">
        <v>11</v>
      </c>
    </row>
    <row r="278" spans="1:28" x14ac:dyDescent="0.3">
      <c r="A278" t="s">
        <v>1342</v>
      </c>
      <c r="B278" t="s">
        <v>508</v>
      </c>
      <c r="C278" t="s">
        <v>1343</v>
      </c>
      <c r="D278" t="s">
        <v>2252</v>
      </c>
      <c r="E278">
        <v>40</v>
      </c>
      <c r="F278" t="s">
        <v>52</v>
      </c>
      <c r="G278" t="s">
        <v>220</v>
      </c>
      <c r="H278" t="s">
        <v>1344</v>
      </c>
      <c r="I278" t="s">
        <v>1345</v>
      </c>
      <c r="J278" t="s">
        <v>1346</v>
      </c>
      <c r="K278" s="14">
        <v>45422</v>
      </c>
      <c r="L278" t="s">
        <v>1347</v>
      </c>
      <c r="M278" t="s">
        <v>553</v>
      </c>
      <c r="N278">
        <v>425.59</v>
      </c>
      <c r="O278">
        <v>2</v>
      </c>
      <c r="P278" t="s">
        <v>36</v>
      </c>
      <c r="Q278">
        <v>3</v>
      </c>
      <c r="R278">
        <v>47</v>
      </c>
      <c r="S278">
        <v>45423</v>
      </c>
      <c r="T278" t="s">
        <v>1348</v>
      </c>
      <c r="U278">
        <v>1</v>
      </c>
      <c r="V278">
        <v>851.18</v>
      </c>
      <c r="W278">
        <v>0.08</v>
      </c>
      <c r="X278">
        <v>783.0856</v>
      </c>
      <c r="Y278">
        <v>830.0856</v>
      </c>
      <c r="Z278" t="s">
        <v>2148</v>
      </c>
      <c r="AA278" t="s">
        <v>2057</v>
      </c>
      <c r="AB278">
        <v>5</v>
      </c>
    </row>
    <row r="279" spans="1:28" x14ac:dyDescent="0.3">
      <c r="A279" t="s">
        <v>1221</v>
      </c>
      <c r="B279" t="s">
        <v>1222</v>
      </c>
      <c r="C279" t="s">
        <v>1223</v>
      </c>
      <c r="D279" t="s">
        <v>2246</v>
      </c>
      <c r="E279">
        <v>19</v>
      </c>
      <c r="F279" t="s">
        <v>41</v>
      </c>
      <c r="G279" t="s">
        <v>76</v>
      </c>
      <c r="H279" t="s">
        <v>1224</v>
      </c>
      <c r="I279" t="s">
        <v>1225</v>
      </c>
      <c r="J279" t="s">
        <v>1349</v>
      </c>
      <c r="K279" s="14">
        <v>45017</v>
      </c>
      <c r="L279" t="s">
        <v>1350</v>
      </c>
      <c r="M279" t="s">
        <v>225</v>
      </c>
      <c r="N279">
        <v>461.07</v>
      </c>
      <c r="O279">
        <v>4</v>
      </c>
      <c r="P279" t="s">
        <v>63</v>
      </c>
      <c r="Q279">
        <v>6</v>
      </c>
      <c r="R279">
        <v>46</v>
      </c>
      <c r="S279">
        <v>45022</v>
      </c>
      <c r="T279" t="s">
        <v>1351</v>
      </c>
      <c r="U279">
        <v>5</v>
      </c>
      <c r="V279">
        <v>1844.28</v>
      </c>
      <c r="W279">
        <v>0</v>
      </c>
      <c r="X279">
        <v>1844.28</v>
      </c>
      <c r="Y279">
        <v>1844.28</v>
      </c>
      <c r="Z279" t="s">
        <v>2142</v>
      </c>
      <c r="AA279" t="s">
        <v>2057</v>
      </c>
      <c r="AB279">
        <v>4</v>
      </c>
    </row>
    <row r="280" spans="1:28" x14ac:dyDescent="0.3">
      <c r="A280" t="s">
        <v>147</v>
      </c>
      <c r="B280" t="s">
        <v>148</v>
      </c>
      <c r="C280" t="s">
        <v>149</v>
      </c>
      <c r="D280" t="s">
        <v>2174</v>
      </c>
      <c r="E280">
        <v>44</v>
      </c>
      <c r="F280" t="s">
        <v>41</v>
      </c>
      <c r="G280" t="s">
        <v>90</v>
      </c>
      <c r="H280" t="s">
        <v>150</v>
      </c>
      <c r="I280" t="s">
        <v>151</v>
      </c>
      <c r="J280" t="s">
        <v>1352</v>
      </c>
      <c r="K280" s="14">
        <v>45422</v>
      </c>
      <c r="L280" t="s">
        <v>1353</v>
      </c>
      <c r="M280" t="s">
        <v>270</v>
      </c>
      <c r="N280">
        <v>62.42</v>
      </c>
      <c r="O280">
        <v>4</v>
      </c>
      <c r="P280" t="s">
        <v>58</v>
      </c>
      <c r="Q280">
        <v>1</v>
      </c>
      <c r="R280">
        <v>67</v>
      </c>
      <c r="S280">
        <v>45426</v>
      </c>
      <c r="T280" t="s">
        <v>1354</v>
      </c>
      <c r="U280">
        <v>4</v>
      </c>
      <c r="V280">
        <v>249.68</v>
      </c>
      <c r="W280">
        <v>0.15</v>
      </c>
      <c r="X280">
        <v>212.22800000000001</v>
      </c>
      <c r="Y280">
        <v>279.22800000000001</v>
      </c>
      <c r="Z280" t="s">
        <v>2070</v>
      </c>
      <c r="AA280" t="s">
        <v>2061</v>
      </c>
      <c r="AB280">
        <v>5</v>
      </c>
    </row>
    <row r="281" spans="1:28" x14ac:dyDescent="0.3">
      <c r="A281" t="s">
        <v>38</v>
      </c>
      <c r="B281" t="s">
        <v>39</v>
      </c>
      <c r="C281" t="s">
        <v>40</v>
      </c>
      <c r="D281" t="s">
        <v>2164</v>
      </c>
      <c r="E281">
        <v>53</v>
      </c>
      <c r="F281" t="s">
        <v>41</v>
      </c>
      <c r="G281" t="s">
        <v>42</v>
      </c>
      <c r="H281" t="s">
        <v>43</v>
      </c>
      <c r="I281" t="s">
        <v>44</v>
      </c>
      <c r="J281" t="s">
        <v>1355</v>
      </c>
      <c r="K281" s="14">
        <v>45186</v>
      </c>
      <c r="L281" t="s">
        <v>1356</v>
      </c>
      <c r="M281" t="s">
        <v>126</v>
      </c>
      <c r="N281">
        <v>257.06</v>
      </c>
      <c r="O281">
        <v>1</v>
      </c>
      <c r="P281" t="s">
        <v>85</v>
      </c>
      <c r="Q281">
        <v>5</v>
      </c>
      <c r="R281">
        <v>64</v>
      </c>
      <c r="S281">
        <v>45188</v>
      </c>
      <c r="T281" t="s">
        <v>1357</v>
      </c>
      <c r="U281">
        <v>2</v>
      </c>
      <c r="V281">
        <v>257.06</v>
      </c>
      <c r="W281">
        <v>0.2</v>
      </c>
      <c r="X281">
        <v>205.648</v>
      </c>
      <c r="Y281">
        <v>269.64800000000002</v>
      </c>
      <c r="Z281" t="s">
        <v>2058</v>
      </c>
      <c r="AA281" t="s">
        <v>2057</v>
      </c>
      <c r="AB281">
        <v>9</v>
      </c>
    </row>
    <row r="282" spans="1:28" x14ac:dyDescent="0.3">
      <c r="A282" t="s">
        <v>546</v>
      </c>
      <c r="B282" t="s">
        <v>547</v>
      </c>
      <c r="C282" t="s">
        <v>548</v>
      </c>
      <c r="D282" t="s">
        <v>2216</v>
      </c>
      <c r="E282">
        <v>33</v>
      </c>
      <c r="F282" t="s">
        <v>52</v>
      </c>
      <c r="G282" t="s">
        <v>168</v>
      </c>
      <c r="H282" t="s">
        <v>549</v>
      </c>
      <c r="I282" t="s">
        <v>550</v>
      </c>
      <c r="J282" t="s">
        <v>1358</v>
      </c>
      <c r="K282" s="14">
        <v>45677</v>
      </c>
      <c r="L282" t="s">
        <v>1359</v>
      </c>
      <c r="M282" t="s">
        <v>173</v>
      </c>
      <c r="N282">
        <v>272.51</v>
      </c>
      <c r="O282">
        <v>4</v>
      </c>
      <c r="P282" t="s">
        <v>85</v>
      </c>
      <c r="Q282">
        <v>6</v>
      </c>
      <c r="R282">
        <v>39</v>
      </c>
      <c r="S282">
        <v>45679</v>
      </c>
      <c r="T282" t="s">
        <v>1360</v>
      </c>
      <c r="U282">
        <v>2</v>
      </c>
      <c r="V282">
        <v>1090.04</v>
      </c>
      <c r="W282">
        <v>0.2</v>
      </c>
      <c r="X282">
        <v>872.03199999999993</v>
      </c>
      <c r="Y282">
        <v>911.03199999999993</v>
      </c>
      <c r="Z282" t="s">
        <v>2112</v>
      </c>
      <c r="AA282" t="s">
        <v>2057</v>
      </c>
      <c r="AB282">
        <v>1</v>
      </c>
    </row>
    <row r="283" spans="1:28" x14ac:dyDescent="0.3">
      <c r="A283" t="s">
        <v>236</v>
      </c>
      <c r="B283" t="s">
        <v>66</v>
      </c>
      <c r="C283" t="s">
        <v>237</v>
      </c>
      <c r="D283" t="s">
        <v>2184</v>
      </c>
      <c r="E283">
        <v>52</v>
      </c>
      <c r="F283" t="s">
        <v>52</v>
      </c>
      <c r="G283" t="s">
        <v>42</v>
      </c>
      <c r="H283" t="s">
        <v>238</v>
      </c>
      <c r="I283" t="s">
        <v>239</v>
      </c>
      <c r="J283" t="s">
        <v>1361</v>
      </c>
      <c r="K283" s="14">
        <v>45242</v>
      </c>
      <c r="L283" t="s">
        <v>1362</v>
      </c>
      <c r="M283" t="s">
        <v>590</v>
      </c>
      <c r="N283">
        <v>403.03</v>
      </c>
      <c r="O283">
        <v>2</v>
      </c>
      <c r="P283" t="s">
        <v>36</v>
      </c>
      <c r="Q283">
        <v>4</v>
      </c>
      <c r="R283">
        <v>70</v>
      </c>
      <c r="S283">
        <v>45246</v>
      </c>
      <c r="T283" t="s">
        <v>1363</v>
      </c>
      <c r="U283">
        <v>4</v>
      </c>
      <c r="V283">
        <v>806.06</v>
      </c>
      <c r="W283">
        <v>0.08</v>
      </c>
      <c r="X283">
        <v>741.5752</v>
      </c>
      <c r="Y283">
        <v>811.5752</v>
      </c>
      <c r="Z283" t="s">
        <v>2080</v>
      </c>
      <c r="AA283" t="s">
        <v>2066</v>
      </c>
      <c r="AB283">
        <v>11</v>
      </c>
    </row>
    <row r="284" spans="1:28" x14ac:dyDescent="0.3">
      <c r="A284" t="s">
        <v>1221</v>
      </c>
      <c r="B284" t="s">
        <v>1222</v>
      </c>
      <c r="C284" t="s">
        <v>1223</v>
      </c>
      <c r="D284" t="s">
        <v>2246</v>
      </c>
      <c r="E284">
        <v>19</v>
      </c>
      <c r="F284" t="s">
        <v>41</v>
      </c>
      <c r="G284" t="s">
        <v>76</v>
      </c>
      <c r="H284" t="s">
        <v>1224</v>
      </c>
      <c r="I284" t="s">
        <v>1225</v>
      </c>
      <c r="J284" t="s">
        <v>1364</v>
      </c>
      <c r="K284" s="14">
        <v>45201</v>
      </c>
      <c r="L284" t="s">
        <v>1365</v>
      </c>
      <c r="M284" t="s">
        <v>225</v>
      </c>
      <c r="N284">
        <v>461.07</v>
      </c>
      <c r="O284">
        <v>3</v>
      </c>
      <c r="P284" t="s">
        <v>96</v>
      </c>
      <c r="Q284">
        <v>1</v>
      </c>
      <c r="R284">
        <v>61</v>
      </c>
      <c r="S284">
        <v>45202</v>
      </c>
      <c r="T284" t="s">
        <v>1366</v>
      </c>
      <c r="U284">
        <v>1</v>
      </c>
      <c r="V284">
        <v>1383.21</v>
      </c>
      <c r="W284">
        <v>0.1</v>
      </c>
      <c r="X284">
        <v>1244.8890000000001</v>
      </c>
      <c r="Y284">
        <v>1305.8890000000001</v>
      </c>
      <c r="Z284" t="s">
        <v>2142</v>
      </c>
      <c r="AA284" t="s">
        <v>2066</v>
      </c>
      <c r="AB284">
        <v>10</v>
      </c>
    </row>
    <row r="285" spans="1:28" x14ac:dyDescent="0.3">
      <c r="A285" t="s">
        <v>1210</v>
      </c>
      <c r="B285" t="s">
        <v>1211</v>
      </c>
      <c r="C285" t="s">
        <v>1212</v>
      </c>
      <c r="D285" t="s">
        <v>2245</v>
      </c>
      <c r="E285">
        <v>50</v>
      </c>
      <c r="F285" t="s">
        <v>52</v>
      </c>
      <c r="G285" t="s">
        <v>168</v>
      </c>
      <c r="H285" t="s">
        <v>1213</v>
      </c>
      <c r="I285" t="s">
        <v>1214</v>
      </c>
      <c r="J285" t="s">
        <v>1367</v>
      </c>
      <c r="K285" s="14">
        <v>45522</v>
      </c>
      <c r="L285" t="s">
        <v>1368</v>
      </c>
      <c r="M285" t="s">
        <v>518</v>
      </c>
      <c r="N285">
        <v>441.03</v>
      </c>
      <c r="O285">
        <v>3</v>
      </c>
      <c r="P285" t="s">
        <v>85</v>
      </c>
      <c r="Q285">
        <v>4</v>
      </c>
      <c r="R285">
        <v>40</v>
      </c>
      <c r="S285">
        <v>45528</v>
      </c>
      <c r="T285" t="s">
        <v>1369</v>
      </c>
      <c r="U285">
        <v>6</v>
      </c>
      <c r="V285">
        <v>1323.09</v>
      </c>
      <c r="W285">
        <v>0.2</v>
      </c>
      <c r="X285">
        <v>1058.472</v>
      </c>
      <c r="Y285">
        <v>1098.472</v>
      </c>
      <c r="Z285" t="s">
        <v>2141</v>
      </c>
      <c r="AA285" t="s">
        <v>2061</v>
      </c>
      <c r="AB285">
        <v>8</v>
      </c>
    </row>
    <row r="286" spans="1:28" x14ac:dyDescent="0.3">
      <c r="A286" t="s">
        <v>137</v>
      </c>
      <c r="B286" t="s">
        <v>138</v>
      </c>
      <c r="C286" t="s">
        <v>139</v>
      </c>
      <c r="D286" t="s">
        <v>2173</v>
      </c>
      <c r="E286">
        <v>25</v>
      </c>
      <c r="F286" t="s">
        <v>52</v>
      </c>
      <c r="G286" t="s">
        <v>140</v>
      </c>
      <c r="H286" t="s">
        <v>141</v>
      </c>
      <c r="I286" t="s">
        <v>142</v>
      </c>
      <c r="J286" t="s">
        <v>1370</v>
      </c>
      <c r="K286" s="14">
        <v>45090</v>
      </c>
      <c r="L286" t="s">
        <v>1371</v>
      </c>
      <c r="M286" t="s">
        <v>135</v>
      </c>
      <c r="N286">
        <v>175.93</v>
      </c>
      <c r="O286">
        <v>4</v>
      </c>
      <c r="P286" t="s">
        <v>85</v>
      </c>
      <c r="Q286">
        <v>6</v>
      </c>
      <c r="R286">
        <v>45</v>
      </c>
      <c r="S286">
        <v>45097</v>
      </c>
      <c r="T286" t="s">
        <v>1372</v>
      </c>
      <c r="U286">
        <v>7</v>
      </c>
      <c r="V286">
        <v>703.72</v>
      </c>
      <c r="W286">
        <v>0.2</v>
      </c>
      <c r="X286">
        <v>562.976</v>
      </c>
      <c r="Y286">
        <v>607.976</v>
      </c>
      <c r="Z286" t="s">
        <v>2069</v>
      </c>
      <c r="AA286" t="s">
        <v>2061</v>
      </c>
      <c r="AB286">
        <v>6</v>
      </c>
    </row>
    <row r="287" spans="1:28" x14ac:dyDescent="0.3">
      <c r="A287" t="s">
        <v>1221</v>
      </c>
      <c r="B287" t="s">
        <v>1222</v>
      </c>
      <c r="C287" t="s">
        <v>1223</v>
      </c>
      <c r="D287" t="s">
        <v>2246</v>
      </c>
      <c r="E287">
        <v>19</v>
      </c>
      <c r="F287" t="s">
        <v>41</v>
      </c>
      <c r="G287" t="s">
        <v>76</v>
      </c>
      <c r="H287" t="s">
        <v>1224</v>
      </c>
      <c r="I287" t="s">
        <v>1225</v>
      </c>
      <c r="J287" t="s">
        <v>1373</v>
      </c>
      <c r="K287" s="14">
        <v>45049</v>
      </c>
      <c r="L287" t="s">
        <v>1374</v>
      </c>
      <c r="M287" t="s">
        <v>430</v>
      </c>
      <c r="N287">
        <v>369.03</v>
      </c>
      <c r="O287">
        <v>3</v>
      </c>
      <c r="P287" t="s">
        <v>36</v>
      </c>
      <c r="Q287">
        <v>6</v>
      </c>
      <c r="R287">
        <v>50</v>
      </c>
      <c r="S287">
        <v>45052</v>
      </c>
      <c r="T287" t="s">
        <v>1375</v>
      </c>
      <c r="U287">
        <v>3</v>
      </c>
      <c r="V287">
        <v>1107.0899999999999</v>
      </c>
      <c r="W287">
        <v>0.08</v>
      </c>
      <c r="X287">
        <v>1018.5228</v>
      </c>
      <c r="Y287">
        <v>1068.5228</v>
      </c>
      <c r="Z287" t="s">
        <v>2142</v>
      </c>
      <c r="AA287" t="s">
        <v>2057</v>
      </c>
      <c r="AB287">
        <v>5</v>
      </c>
    </row>
    <row r="288" spans="1:28" x14ac:dyDescent="0.3">
      <c r="A288" t="s">
        <v>716</v>
      </c>
      <c r="B288" t="s">
        <v>717</v>
      </c>
      <c r="C288" t="s">
        <v>718</v>
      </c>
      <c r="D288" t="s">
        <v>2227</v>
      </c>
      <c r="E288">
        <v>32</v>
      </c>
      <c r="F288" t="s">
        <v>41</v>
      </c>
      <c r="G288" t="s">
        <v>30</v>
      </c>
      <c r="H288" t="s">
        <v>719</v>
      </c>
      <c r="I288" t="s">
        <v>720</v>
      </c>
      <c r="J288" t="s">
        <v>1376</v>
      </c>
      <c r="K288" s="14">
        <v>45676</v>
      </c>
      <c r="L288" t="s">
        <v>1377</v>
      </c>
      <c r="M288" t="s">
        <v>323</v>
      </c>
      <c r="N288">
        <v>481.48</v>
      </c>
      <c r="O288">
        <v>2</v>
      </c>
      <c r="P288" t="s">
        <v>85</v>
      </c>
      <c r="Q288">
        <v>3</v>
      </c>
      <c r="R288">
        <v>58</v>
      </c>
      <c r="S288">
        <v>45683</v>
      </c>
      <c r="T288" t="s">
        <v>1378</v>
      </c>
      <c r="U288">
        <v>7</v>
      </c>
      <c r="V288">
        <v>962.96</v>
      </c>
      <c r="W288">
        <v>0.2</v>
      </c>
      <c r="X288">
        <v>770.36800000000005</v>
      </c>
      <c r="Y288">
        <v>828.36800000000005</v>
      </c>
      <c r="Z288" t="s">
        <v>2123</v>
      </c>
      <c r="AA288" t="s">
        <v>2061</v>
      </c>
      <c r="AB288">
        <v>1</v>
      </c>
    </row>
    <row r="289" spans="1:28" x14ac:dyDescent="0.3">
      <c r="A289" t="s">
        <v>986</v>
      </c>
      <c r="B289" t="s">
        <v>987</v>
      </c>
      <c r="C289" t="s">
        <v>988</v>
      </c>
      <c r="D289" t="s">
        <v>2239</v>
      </c>
      <c r="E289">
        <v>49</v>
      </c>
      <c r="F289" t="s">
        <v>29</v>
      </c>
      <c r="G289" t="s">
        <v>42</v>
      </c>
      <c r="H289" t="s">
        <v>989</v>
      </c>
      <c r="I289" t="s">
        <v>990</v>
      </c>
      <c r="J289" t="s">
        <v>1379</v>
      </c>
      <c r="K289" s="14">
        <v>45092</v>
      </c>
      <c r="L289" t="s">
        <v>1380</v>
      </c>
      <c r="M289" t="s">
        <v>553</v>
      </c>
      <c r="N289">
        <v>425.59</v>
      </c>
      <c r="O289">
        <v>3</v>
      </c>
      <c r="P289" t="s">
        <v>36</v>
      </c>
      <c r="Q289">
        <v>6</v>
      </c>
      <c r="R289">
        <v>55</v>
      </c>
      <c r="S289">
        <v>45099</v>
      </c>
      <c r="T289" t="s">
        <v>1381</v>
      </c>
      <c r="U289">
        <v>7</v>
      </c>
      <c r="V289">
        <v>1276.77</v>
      </c>
      <c r="W289">
        <v>0.08</v>
      </c>
      <c r="X289">
        <v>1174.6284000000001</v>
      </c>
      <c r="Y289">
        <v>1229.6284000000001</v>
      </c>
      <c r="Z289" t="s">
        <v>2135</v>
      </c>
      <c r="AA289" t="s">
        <v>2061</v>
      </c>
      <c r="AB289">
        <v>6</v>
      </c>
    </row>
    <row r="290" spans="1:28" x14ac:dyDescent="0.3">
      <c r="A290" t="s">
        <v>333</v>
      </c>
      <c r="B290" t="s">
        <v>334</v>
      </c>
      <c r="C290" t="s">
        <v>335</v>
      </c>
      <c r="D290" t="s">
        <v>2193</v>
      </c>
      <c r="E290">
        <v>23</v>
      </c>
      <c r="F290" t="s">
        <v>29</v>
      </c>
      <c r="G290" t="s">
        <v>30</v>
      </c>
      <c r="H290" t="s">
        <v>336</v>
      </c>
      <c r="I290" t="s">
        <v>337</v>
      </c>
      <c r="J290" t="s">
        <v>1382</v>
      </c>
      <c r="K290" s="14">
        <v>45659</v>
      </c>
      <c r="L290" t="s">
        <v>1383</v>
      </c>
      <c r="M290" t="s">
        <v>984</v>
      </c>
      <c r="N290">
        <v>33.49</v>
      </c>
      <c r="O290">
        <v>2</v>
      </c>
      <c r="P290" t="s">
        <v>36</v>
      </c>
      <c r="Q290">
        <v>2</v>
      </c>
      <c r="R290">
        <v>45</v>
      </c>
      <c r="S290">
        <v>45660</v>
      </c>
      <c r="T290" t="s">
        <v>1384</v>
      </c>
      <c r="U290">
        <v>1</v>
      </c>
      <c r="V290">
        <v>66.98</v>
      </c>
      <c r="W290">
        <v>0.08</v>
      </c>
      <c r="X290">
        <v>61.621600000000001</v>
      </c>
      <c r="Y290">
        <v>106.6216</v>
      </c>
      <c r="Z290" t="s">
        <v>2089</v>
      </c>
      <c r="AA290" t="s">
        <v>2057</v>
      </c>
      <c r="AB290">
        <v>1</v>
      </c>
    </row>
    <row r="291" spans="1:28" x14ac:dyDescent="0.3">
      <c r="A291" t="s">
        <v>490</v>
      </c>
      <c r="B291" t="s">
        <v>186</v>
      </c>
      <c r="C291" t="s">
        <v>327</v>
      </c>
      <c r="D291" t="s">
        <v>2210</v>
      </c>
      <c r="E291">
        <v>39</v>
      </c>
      <c r="F291" t="s">
        <v>52</v>
      </c>
      <c r="G291" t="s">
        <v>42</v>
      </c>
      <c r="H291" t="s">
        <v>491</v>
      </c>
      <c r="I291" t="s">
        <v>492</v>
      </c>
      <c r="J291" t="s">
        <v>1385</v>
      </c>
      <c r="K291" s="14">
        <v>45024</v>
      </c>
      <c r="L291" t="s">
        <v>1386</v>
      </c>
      <c r="M291" t="s">
        <v>62</v>
      </c>
      <c r="N291">
        <v>405</v>
      </c>
      <c r="O291">
        <v>4</v>
      </c>
      <c r="P291" t="s">
        <v>96</v>
      </c>
      <c r="Q291">
        <v>7</v>
      </c>
      <c r="R291">
        <v>70</v>
      </c>
      <c r="S291">
        <v>45029</v>
      </c>
      <c r="T291" t="s">
        <v>1387</v>
      </c>
      <c r="U291">
        <v>5</v>
      </c>
      <c r="V291">
        <v>1620</v>
      </c>
      <c r="W291">
        <v>0.1</v>
      </c>
      <c r="X291">
        <v>1458</v>
      </c>
      <c r="Y291">
        <v>1528</v>
      </c>
      <c r="Z291" t="s">
        <v>2106</v>
      </c>
      <c r="AA291" t="s">
        <v>2057</v>
      </c>
      <c r="AB291">
        <v>4</v>
      </c>
    </row>
    <row r="292" spans="1:28" x14ac:dyDescent="0.3">
      <c r="A292" t="s">
        <v>401</v>
      </c>
      <c r="B292" t="s">
        <v>402</v>
      </c>
      <c r="C292" t="s">
        <v>403</v>
      </c>
      <c r="D292" t="s">
        <v>2200</v>
      </c>
      <c r="E292">
        <v>70</v>
      </c>
      <c r="F292" t="s">
        <v>29</v>
      </c>
      <c r="G292" t="s">
        <v>30</v>
      </c>
      <c r="H292" t="s">
        <v>404</v>
      </c>
      <c r="I292" t="s">
        <v>405</v>
      </c>
      <c r="J292" t="s">
        <v>1388</v>
      </c>
      <c r="K292" s="14">
        <v>45455</v>
      </c>
      <c r="L292" t="s">
        <v>1389</v>
      </c>
      <c r="M292" t="s">
        <v>323</v>
      </c>
      <c r="N292">
        <v>481.48</v>
      </c>
      <c r="O292">
        <v>3</v>
      </c>
      <c r="P292" t="s">
        <v>85</v>
      </c>
      <c r="Q292">
        <v>5</v>
      </c>
      <c r="R292">
        <v>49</v>
      </c>
      <c r="S292">
        <v>45462</v>
      </c>
      <c r="T292" t="s">
        <v>1390</v>
      </c>
      <c r="U292">
        <v>7</v>
      </c>
      <c r="V292">
        <v>1444.44</v>
      </c>
      <c r="W292">
        <v>0.2</v>
      </c>
      <c r="X292">
        <v>1155.5520000000001</v>
      </c>
      <c r="Y292">
        <v>1204.5520000000001</v>
      </c>
      <c r="Z292" t="s">
        <v>2096</v>
      </c>
      <c r="AA292" t="s">
        <v>2061</v>
      </c>
      <c r="AB292">
        <v>6</v>
      </c>
    </row>
    <row r="293" spans="1:28" x14ac:dyDescent="0.3">
      <c r="A293" t="s">
        <v>393</v>
      </c>
      <c r="B293" t="s">
        <v>394</v>
      </c>
      <c r="C293" t="s">
        <v>395</v>
      </c>
      <c r="D293" t="s">
        <v>2199</v>
      </c>
      <c r="E293">
        <v>40</v>
      </c>
      <c r="F293" t="s">
        <v>52</v>
      </c>
      <c r="G293" t="s">
        <v>168</v>
      </c>
      <c r="H293" t="s">
        <v>396</v>
      </c>
      <c r="I293" t="s">
        <v>397</v>
      </c>
      <c r="J293" t="s">
        <v>1391</v>
      </c>
      <c r="K293" s="14">
        <v>45058</v>
      </c>
      <c r="L293" t="s">
        <v>1392</v>
      </c>
      <c r="M293" t="s">
        <v>563</v>
      </c>
      <c r="N293">
        <v>133.62</v>
      </c>
      <c r="O293">
        <v>2</v>
      </c>
      <c r="P293" t="s">
        <v>96</v>
      </c>
      <c r="Q293">
        <v>4</v>
      </c>
      <c r="R293">
        <v>36</v>
      </c>
      <c r="S293">
        <v>45059</v>
      </c>
      <c r="T293" t="s">
        <v>1393</v>
      </c>
      <c r="U293">
        <v>1</v>
      </c>
      <c r="V293">
        <v>267.24</v>
      </c>
      <c r="W293">
        <v>0.1</v>
      </c>
      <c r="X293">
        <v>240.51600000000002</v>
      </c>
      <c r="Y293">
        <v>276.51600000000002</v>
      </c>
      <c r="Z293" t="s">
        <v>2095</v>
      </c>
      <c r="AA293" t="s">
        <v>2057</v>
      </c>
      <c r="AB293">
        <v>5</v>
      </c>
    </row>
    <row r="294" spans="1:28" x14ac:dyDescent="0.3">
      <c r="A294" t="s">
        <v>1079</v>
      </c>
      <c r="B294" t="s">
        <v>218</v>
      </c>
      <c r="C294" t="s">
        <v>1080</v>
      </c>
      <c r="D294" t="s">
        <v>2241</v>
      </c>
      <c r="E294">
        <v>55</v>
      </c>
      <c r="F294" t="s">
        <v>41</v>
      </c>
      <c r="G294" t="s">
        <v>159</v>
      </c>
      <c r="H294" t="s">
        <v>1081</v>
      </c>
      <c r="I294" t="s">
        <v>1082</v>
      </c>
      <c r="J294" t="s">
        <v>1394</v>
      </c>
      <c r="K294" s="14">
        <v>45414</v>
      </c>
      <c r="L294" t="s">
        <v>1395</v>
      </c>
      <c r="M294" t="s">
        <v>270</v>
      </c>
      <c r="N294">
        <v>62.42</v>
      </c>
      <c r="O294">
        <v>4</v>
      </c>
      <c r="P294" t="s">
        <v>96</v>
      </c>
      <c r="Q294">
        <v>6</v>
      </c>
      <c r="R294">
        <v>43</v>
      </c>
      <c r="S294">
        <v>45420</v>
      </c>
      <c r="T294" t="s">
        <v>1396</v>
      </c>
      <c r="U294">
        <v>6</v>
      </c>
      <c r="V294">
        <v>249.68</v>
      </c>
      <c r="W294">
        <v>0.1</v>
      </c>
      <c r="X294">
        <v>224.71199999999999</v>
      </c>
      <c r="Y294">
        <v>267.71199999999999</v>
      </c>
      <c r="Z294" t="s">
        <v>2137</v>
      </c>
      <c r="AA294" t="s">
        <v>2066</v>
      </c>
      <c r="AB294">
        <v>5</v>
      </c>
    </row>
    <row r="295" spans="1:28" x14ac:dyDescent="0.3">
      <c r="A295" t="s">
        <v>1168</v>
      </c>
      <c r="B295" t="s">
        <v>1169</v>
      </c>
      <c r="C295" t="s">
        <v>1170</v>
      </c>
      <c r="D295" t="s">
        <v>2243</v>
      </c>
      <c r="E295">
        <v>59</v>
      </c>
      <c r="F295" t="s">
        <v>52</v>
      </c>
      <c r="G295" t="s">
        <v>168</v>
      </c>
      <c r="H295" t="s">
        <v>1171</v>
      </c>
      <c r="I295" t="s">
        <v>1172</v>
      </c>
      <c r="J295" t="s">
        <v>1397</v>
      </c>
      <c r="K295" s="14">
        <v>45527</v>
      </c>
      <c r="L295" t="s">
        <v>1398</v>
      </c>
      <c r="M295" t="s">
        <v>356</v>
      </c>
      <c r="N295">
        <v>496.59</v>
      </c>
      <c r="O295">
        <v>2</v>
      </c>
      <c r="P295" t="s">
        <v>36</v>
      </c>
      <c r="Q295">
        <v>3</v>
      </c>
      <c r="R295">
        <v>55</v>
      </c>
      <c r="S295">
        <v>45528</v>
      </c>
      <c r="T295" t="s">
        <v>1399</v>
      </c>
      <c r="U295">
        <v>1</v>
      </c>
      <c r="V295">
        <v>993.18</v>
      </c>
      <c r="W295">
        <v>0.08</v>
      </c>
      <c r="X295">
        <v>913.72559999999999</v>
      </c>
      <c r="Y295">
        <v>968.72559999999999</v>
      </c>
      <c r="Z295" t="s">
        <v>2139</v>
      </c>
      <c r="AA295" t="s">
        <v>2057</v>
      </c>
      <c r="AB295">
        <v>8</v>
      </c>
    </row>
    <row r="296" spans="1:28" x14ac:dyDescent="0.3">
      <c r="A296" t="s">
        <v>520</v>
      </c>
      <c r="B296" t="s">
        <v>521</v>
      </c>
      <c r="C296" t="s">
        <v>522</v>
      </c>
      <c r="D296" t="s">
        <v>2213</v>
      </c>
      <c r="E296">
        <v>42</v>
      </c>
      <c r="F296" t="s">
        <v>52</v>
      </c>
      <c r="G296" t="s">
        <v>76</v>
      </c>
      <c r="H296" t="s">
        <v>523</v>
      </c>
      <c r="I296" t="s">
        <v>524</v>
      </c>
      <c r="J296" t="s">
        <v>1400</v>
      </c>
      <c r="K296" s="14">
        <v>45233</v>
      </c>
      <c r="L296" t="s">
        <v>1401</v>
      </c>
      <c r="M296" t="s">
        <v>383</v>
      </c>
      <c r="N296">
        <v>431.44</v>
      </c>
      <c r="O296">
        <v>4</v>
      </c>
      <c r="P296" t="s">
        <v>63</v>
      </c>
      <c r="Q296">
        <v>3</v>
      </c>
      <c r="R296">
        <v>65</v>
      </c>
      <c r="S296">
        <v>45239</v>
      </c>
      <c r="T296" t="s">
        <v>1402</v>
      </c>
      <c r="U296">
        <v>6</v>
      </c>
      <c r="V296">
        <v>1725.76</v>
      </c>
      <c r="W296">
        <v>0</v>
      </c>
      <c r="X296">
        <v>1725.76</v>
      </c>
      <c r="Y296">
        <v>1725.76</v>
      </c>
      <c r="Z296" t="s">
        <v>2109</v>
      </c>
      <c r="AA296" t="s">
        <v>2061</v>
      </c>
      <c r="AB296">
        <v>11</v>
      </c>
    </row>
    <row r="297" spans="1:28" x14ac:dyDescent="0.3">
      <c r="A297" t="s">
        <v>385</v>
      </c>
      <c r="B297" t="s">
        <v>386</v>
      </c>
      <c r="C297" t="s">
        <v>387</v>
      </c>
      <c r="D297" t="s">
        <v>2198</v>
      </c>
      <c r="E297">
        <v>47</v>
      </c>
      <c r="F297" t="s">
        <v>41</v>
      </c>
      <c r="G297" t="s">
        <v>90</v>
      </c>
      <c r="H297" t="s">
        <v>388</v>
      </c>
      <c r="I297" t="s">
        <v>389</v>
      </c>
      <c r="J297" t="s">
        <v>1403</v>
      </c>
      <c r="K297" s="14">
        <v>45513</v>
      </c>
      <c r="L297" t="s">
        <v>1404</v>
      </c>
      <c r="M297" t="s">
        <v>686</v>
      </c>
      <c r="N297">
        <v>424.82</v>
      </c>
      <c r="O297">
        <v>2</v>
      </c>
      <c r="P297" t="s">
        <v>63</v>
      </c>
      <c r="Q297">
        <v>2</v>
      </c>
      <c r="R297">
        <v>57</v>
      </c>
      <c r="S297">
        <v>45520</v>
      </c>
      <c r="T297" t="s">
        <v>1405</v>
      </c>
      <c r="U297">
        <v>7</v>
      </c>
      <c r="V297">
        <v>849.64</v>
      </c>
      <c r="W297">
        <v>0</v>
      </c>
      <c r="X297">
        <v>849.64</v>
      </c>
      <c r="Y297">
        <v>849.64</v>
      </c>
      <c r="Z297" t="s">
        <v>2094</v>
      </c>
      <c r="AA297" t="s">
        <v>2061</v>
      </c>
      <c r="AB297">
        <v>8</v>
      </c>
    </row>
    <row r="298" spans="1:28" x14ac:dyDescent="0.3">
      <c r="A298" t="s">
        <v>1079</v>
      </c>
      <c r="B298" t="s">
        <v>218</v>
      </c>
      <c r="C298" t="s">
        <v>1080</v>
      </c>
      <c r="D298" t="s">
        <v>2241</v>
      </c>
      <c r="E298">
        <v>55</v>
      </c>
      <c r="F298" t="s">
        <v>41</v>
      </c>
      <c r="G298" t="s">
        <v>159</v>
      </c>
      <c r="H298" t="s">
        <v>1081</v>
      </c>
      <c r="I298" t="s">
        <v>1082</v>
      </c>
      <c r="J298" t="s">
        <v>1406</v>
      </c>
      <c r="K298" s="14">
        <v>45567</v>
      </c>
      <c r="L298" t="s">
        <v>1407</v>
      </c>
      <c r="M298" t="s">
        <v>495</v>
      </c>
      <c r="N298">
        <v>421.7</v>
      </c>
      <c r="O298">
        <v>3</v>
      </c>
      <c r="P298" t="s">
        <v>36</v>
      </c>
      <c r="Q298">
        <v>5</v>
      </c>
      <c r="R298">
        <v>54</v>
      </c>
      <c r="S298">
        <v>45571</v>
      </c>
      <c r="T298" t="s">
        <v>1408</v>
      </c>
      <c r="U298">
        <v>4</v>
      </c>
      <c r="V298">
        <v>1265.0999999999999</v>
      </c>
      <c r="W298">
        <v>0.08</v>
      </c>
      <c r="X298">
        <v>1163.8919999999998</v>
      </c>
      <c r="Y298">
        <v>1217.8919999999998</v>
      </c>
      <c r="Z298" t="s">
        <v>2137</v>
      </c>
      <c r="AA298" t="s">
        <v>2057</v>
      </c>
      <c r="AB298">
        <v>10</v>
      </c>
    </row>
    <row r="299" spans="1:28" x14ac:dyDescent="0.3">
      <c r="A299" t="s">
        <v>1238</v>
      </c>
      <c r="B299" t="s">
        <v>1239</v>
      </c>
      <c r="C299" t="s">
        <v>1240</v>
      </c>
      <c r="D299" t="s">
        <v>2247</v>
      </c>
      <c r="E299">
        <v>55</v>
      </c>
      <c r="F299" t="s">
        <v>41</v>
      </c>
      <c r="G299" t="s">
        <v>159</v>
      </c>
      <c r="H299" t="s">
        <v>1241</v>
      </c>
      <c r="I299" t="s">
        <v>1242</v>
      </c>
      <c r="J299" t="s">
        <v>1409</v>
      </c>
      <c r="K299" s="14">
        <v>45157</v>
      </c>
      <c r="L299" t="s">
        <v>1410</v>
      </c>
      <c r="M299" t="s">
        <v>344</v>
      </c>
      <c r="N299">
        <v>372.62</v>
      </c>
      <c r="O299">
        <v>1</v>
      </c>
      <c r="P299" t="s">
        <v>96</v>
      </c>
      <c r="Q299">
        <v>5</v>
      </c>
      <c r="R299">
        <v>45</v>
      </c>
      <c r="S299">
        <v>45164</v>
      </c>
      <c r="T299" t="s">
        <v>1411</v>
      </c>
      <c r="U299">
        <v>7</v>
      </c>
      <c r="V299">
        <v>372.62</v>
      </c>
      <c r="W299">
        <v>0.1</v>
      </c>
      <c r="X299">
        <v>335.358</v>
      </c>
      <c r="Y299">
        <v>380.358</v>
      </c>
      <c r="Z299" t="s">
        <v>2143</v>
      </c>
      <c r="AA299" t="s">
        <v>2061</v>
      </c>
      <c r="AB299">
        <v>8</v>
      </c>
    </row>
    <row r="300" spans="1:28" x14ac:dyDescent="0.3">
      <c r="A300" t="s">
        <v>1210</v>
      </c>
      <c r="B300" t="s">
        <v>1211</v>
      </c>
      <c r="C300" t="s">
        <v>1212</v>
      </c>
      <c r="D300" t="s">
        <v>2245</v>
      </c>
      <c r="E300">
        <v>50</v>
      </c>
      <c r="F300" t="s">
        <v>52</v>
      </c>
      <c r="G300" t="s">
        <v>168</v>
      </c>
      <c r="H300" t="s">
        <v>1213</v>
      </c>
      <c r="I300" t="s">
        <v>1214</v>
      </c>
      <c r="J300" t="s">
        <v>1412</v>
      </c>
      <c r="K300" s="14">
        <v>45557</v>
      </c>
      <c r="L300" t="s">
        <v>1413</v>
      </c>
      <c r="M300" t="s">
        <v>182</v>
      </c>
      <c r="N300">
        <v>104.18</v>
      </c>
      <c r="O300">
        <v>1</v>
      </c>
      <c r="P300" t="s">
        <v>36</v>
      </c>
      <c r="Q300">
        <v>3</v>
      </c>
      <c r="R300">
        <v>60</v>
      </c>
      <c r="S300">
        <v>45563</v>
      </c>
      <c r="T300" t="s">
        <v>1414</v>
      </c>
      <c r="U300">
        <v>6</v>
      </c>
      <c r="V300">
        <v>104.18</v>
      </c>
      <c r="W300">
        <v>0.08</v>
      </c>
      <c r="X300">
        <v>95.845600000000005</v>
      </c>
      <c r="Y300">
        <v>155.84559999999999</v>
      </c>
      <c r="Z300" t="s">
        <v>2141</v>
      </c>
      <c r="AA300" t="s">
        <v>2061</v>
      </c>
      <c r="AB300">
        <v>9</v>
      </c>
    </row>
    <row r="301" spans="1:28" x14ac:dyDescent="0.3">
      <c r="A301" t="s">
        <v>839</v>
      </c>
      <c r="B301" t="s">
        <v>840</v>
      </c>
      <c r="C301" t="s">
        <v>841</v>
      </c>
      <c r="D301" t="s">
        <v>2235</v>
      </c>
      <c r="E301">
        <v>26</v>
      </c>
      <c r="F301" t="s">
        <v>41</v>
      </c>
      <c r="G301" t="s">
        <v>159</v>
      </c>
      <c r="H301" t="s">
        <v>842</v>
      </c>
      <c r="I301" t="s">
        <v>843</v>
      </c>
      <c r="J301" t="s">
        <v>1415</v>
      </c>
      <c r="K301" s="14">
        <v>45104</v>
      </c>
      <c r="L301" t="s">
        <v>1416</v>
      </c>
      <c r="M301" t="s">
        <v>135</v>
      </c>
      <c r="N301">
        <v>175.93</v>
      </c>
      <c r="O301">
        <v>2</v>
      </c>
      <c r="P301" t="s">
        <v>36</v>
      </c>
      <c r="Q301">
        <v>5</v>
      </c>
      <c r="R301">
        <v>49</v>
      </c>
      <c r="S301">
        <v>45106</v>
      </c>
      <c r="T301" t="s">
        <v>1417</v>
      </c>
      <c r="U301">
        <v>2</v>
      </c>
      <c r="V301">
        <v>351.86</v>
      </c>
      <c r="W301">
        <v>0.08</v>
      </c>
      <c r="X301">
        <v>323.71120000000002</v>
      </c>
      <c r="Y301">
        <v>372.71120000000002</v>
      </c>
      <c r="Z301" t="s">
        <v>2131</v>
      </c>
      <c r="AA301" t="s">
        <v>2057</v>
      </c>
      <c r="AB301">
        <v>6</v>
      </c>
    </row>
    <row r="302" spans="1:28" x14ac:dyDescent="0.3">
      <c r="A302" t="s">
        <v>1103</v>
      </c>
      <c r="B302" t="s">
        <v>1104</v>
      </c>
      <c r="C302" t="s">
        <v>1105</v>
      </c>
      <c r="D302" t="s">
        <v>2242</v>
      </c>
      <c r="E302">
        <v>18</v>
      </c>
      <c r="F302" t="s">
        <v>29</v>
      </c>
      <c r="G302" t="s">
        <v>76</v>
      </c>
      <c r="H302" t="s">
        <v>1106</v>
      </c>
      <c r="I302" t="s">
        <v>1107</v>
      </c>
      <c r="J302" t="s">
        <v>1418</v>
      </c>
      <c r="K302" s="14">
        <v>45563</v>
      </c>
      <c r="L302" t="s">
        <v>1419</v>
      </c>
      <c r="M302" t="s">
        <v>270</v>
      </c>
      <c r="N302">
        <v>62.42</v>
      </c>
      <c r="O302">
        <v>1</v>
      </c>
      <c r="P302" t="s">
        <v>36</v>
      </c>
      <c r="Q302">
        <v>3</v>
      </c>
      <c r="R302">
        <v>46</v>
      </c>
      <c r="S302">
        <v>45565</v>
      </c>
      <c r="T302" t="s">
        <v>1420</v>
      </c>
      <c r="U302">
        <v>2</v>
      </c>
      <c r="V302">
        <v>62.42</v>
      </c>
      <c r="W302">
        <v>0.08</v>
      </c>
      <c r="X302">
        <v>57.426400000000001</v>
      </c>
      <c r="Y302">
        <v>103.4264</v>
      </c>
      <c r="Z302" t="s">
        <v>2138</v>
      </c>
      <c r="AA302" t="s">
        <v>2057</v>
      </c>
      <c r="AB302">
        <v>9</v>
      </c>
    </row>
    <row r="303" spans="1:28" x14ac:dyDescent="0.3">
      <c r="A303" t="s">
        <v>420</v>
      </c>
      <c r="B303" t="s">
        <v>421</v>
      </c>
      <c r="C303" t="s">
        <v>422</v>
      </c>
      <c r="D303" t="s">
        <v>2202</v>
      </c>
      <c r="E303">
        <v>52</v>
      </c>
      <c r="F303" t="s">
        <v>52</v>
      </c>
      <c r="G303" t="s">
        <v>220</v>
      </c>
      <c r="H303" t="s">
        <v>423</v>
      </c>
      <c r="I303" t="s">
        <v>424</v>
      </c>
      <c r="J303" t="s">
        <v>1421</v>
      </c>
      <c r="K303" s="14">
        <v>45279</v>
      </c>
      <c r="L303" t="s">
        <v>1422</v>
      </c>
      <c r="M303" t="s">
        <v>199</v>
      </c>
      <c r="N303">
        <v>20.7</v>
      </c>
      <c r="O303">
        <v>2</v>
      </c>
      <c r="P303" t="s">
        <v>36</v>
      </c>
      <c r="Q303">
        <v>7</v>
      </c>
      <c r="R303">
        <v>39</v>
      </c>
      <c r="S303">
        <v>45286</v>
      </c>
      <c r="T303" t="s">
        <v>1423</v>
      </c>
      <c r="U303">
        <v>7</v>
      </c>
      <c r="V303">
        <v>41.4</v>
      </c>
      <c r="W303">
        <v>0.08</v>
      </c>
      <c r="X303">
        <v>38.088000000000001</v>
      </c>
      <c r="Y303">
        <v>77.087999999999994</v>
      </c>
      <c r="Z303" t="s">
        <v>2098</v>
      </c>
      <c r="AA303" t="s">
        <v>2066</v>
      </c>
      <c r="AB303">
        <v>12</v>
      </c>
    </row>
    <row r="304" spans="1:28" x14ac:dyDescent="0.3">
      <c r="A304" t="s">
        <v>156</v>
      </c>
      <c r="B304" t="s">
        <v>157</v>
      </c>
      <c r="C304" t="s">
        <v>158</v>
      </c>
      <c r="D304" t="s">
        <v>2175</v>
      </c>
      <c r="E304">
        <v>24</v>
      </c>
      <c r="F304" t="s">
        <v>29</v>
      </c>
      <c r="G304" t="s">
        <v>159</v>
      </c>
      <c r="H304" t="s">
        <v>160</v>
      </c>
      <c r="I304" t="s">
        <v>161</v>
      </c>
      <c r="J304" t="s">
        <v>1424</v>
      </c>
      <c r="K304" s="14">
        <v>45206</v>
      </c>
      <c r="L304" t="s">
        <v>1425</v>
      </c>
      <c r="M304" t="s">
        <v>145</v>
      </c>
      <c r="N304">
        <v>190.1</v>
      </c>
      <c r="O304">
        <v>1</v>
      </c>
      <c r="P304" t="s">
        <v>85</v>
      </c>
      <c r="Q304">
        <v>3</v>
      </c>
      <c r="R304">
        <v>63</v>
      </c>
      <c r="S304">
        <v>45207</v>
      </c>
      <c r="T304" t="s">
        <v>1426</v>
      </c>
      <c r="U304">
        <v>1</v>
      </c>
      <c r="V304">
        <v>190.1</v>
      </c>
      <c r="W304">
        <v>0.2</v>
      </c>
      <c r="X304">
        <v>152.07999999999998</v>
      </c>
      <c r="Y304">
        <v>215.07999999999998</v>
      </c>
      <c r="Z304" t="s">
        <v>2071</v>
      </c>
      <c r="AA304" t="s">
        <v>2057</v>
      </c>
      <c r="AB304">
        <v>10</v>
      </c>
    </row>
    <row r="305" spans="1:28" x14ac:dyDescent="0.3">
      <c r="A305" t="s">
        <v>1191</v>
      </c>
      <c r="B305" t="s">
        <v>40</v>
      </c>
      <c r="C305" t="s">
        <v>1192</v>
      </c>
      <c r="D305" t="s">
        <v>2244</v>
      </c>
      <c r="E305">
        <v>34</v>
      </c>
      <c r="F305" t="s">
        <v>52</v>
      </c>
      <c r="G305" t="s">
        <v>220</v>
      </c>
      <c r="H305" t="s">
        <v>1193</v>
      </c>
      <c r="I305" t="s">
        <v>1194</v>
      </c>
      <c r="J305" t="s">
        <v>1427</v>
      </c>
      <c r="K305" s="14">
        <v>45324</v>
      </c>
      <c r="L305" t="s">
        <v>1428</v>
      </c>
      <c r="M305" t="s">
        <v>291</v>
      </c>
      <c r="N305">
        <v>158.53</v>
      </c>
      <c r="O305">
        <v>3</v>
      </c>
      <c r="P305" t="s">
        <v>85</v>
      </c>
      <c r="Q305">
        <v>6</v>
      </c>
      <c r="R305">
        <v>38</v>
      </c>
      <c r="S305">
        <v>45331</v>
      </c>
      <c r="T305" t="s">
        <v>1429</v>
      </c>
      <c r="U305">
        <v>7</v>
      </c>
      <c r="V305">
        <v>475.59000000000003</v>
      </c>
      <c r="W305">
        <v>0.2</v>
      </c>
      <c r="X305">
        <v>380.47200000000004</v>
      </c>
      <c r="Y305">
        <v>418.47200000000004</v>
      </c>
      <c r="Z305" t="s">
        <v>2140</v>
      </c>
      <c r="AA305" t="s">
        <v>2061</v>
      </c>
      <c r="AB305">
        <v>2</v>
      </c>
    </row>
    <row r="306" spans="1:28" x14ac:dyDescent="0.3">
      <c r="A306" t="s">
        <v>1221</v>
      </c>
      <c r="B306" t="s">
        <v>1222</v>
      </c>
      <c r="C306" t="s">
        <v>1223</v>
      </c>
      <c r="D306" t="s">
        <v>2246</v>
      </c>
      <c r="E306">
        <v>19</v>
      </c>
      <c r="F306" t="s">
        <v>41</v>
      </c>
      <c r="G306" t="s">
        <v>76</v>
      </c>
      <c r="H306" t="s">
        <v>1224</v>
      </c>
      <c r="I306" t="s">
        <v>1225</v>
      </c>
      <c r="J306" t="s">
        <v>1430</v>
      </c>
      <c r="K306" s="14">
        <v>45272</v>
      </c>
      <c r="L306" t="s">
        <v>1431</v>
      </c>
      <c r="M306" t="s">
        <v>418</v>
      </c>
      <c r="N306">
        <v>44.5</v>
      </c>
      <c r="O306">
        <v>1</v>
      </c>
      <c r="P306" t="s">
        <v>96</v>
      </c>
      <c r="Q306">
        <v>4</v>
      </c>
      <c r="R306">
        <v>49</v>
      </c>
      <c r="S306">
        <v>45278</v>
      </c>
      <c r="T306" t="s">
        <v>1432</v>
      </c>
      <c r="U306">
        <v>6</v>
      </c>
      <c r="V306">
        <v>44.5</v>
      </c>
      <c r="W306">
        <v>0.1</v>
      </c>
      <c r="X306">
        <v>40.049999999999997</v>
      </c>
      <c r="Y306">
        <v>89.05</v>
      </c>
      <c r="Z306" t="s">
        <v>2142</v>
      </c>
      <c r="AA306" t="s">
        <v>2061</v>
      </c>
      <c r="AB306">
        <v>12</v>
      </c>
    </row>
    <row r="307" spans="1:28" x14ac:dyDescent="0.3">
      <c r="A307" t="s">
        <v>325</v>
      </c>
      <c r="B307" t="s">
        <v>326</v>
      </c>
      <c r="C307" t="s">
        <v>327</v>
      </c>
      <c r="D307" t="s">
        <v>2192</v>
      </c>
      <c r="E307">
        <v>29</v>
      </c>
      <c r="F307" t="s">
        <v>52</v>
      </c>
      <c r="G307" t="s">
        <v>90</v>
      </c>
      <c r="H307" t="s">
        <v>328</v>
      </c>
      <c r="I307" t="s">
        <v>329</v>
      </c>
      <c r="J307" t="s">
        <v>1433</v>
      </c>
      <c r="K307" s="14">
        <v>45616</v>
      </c>
      <c r="L307" t="s">
        <v>1434</v>
      </c>
      <c r="M307" t="s">
        <v>308</v>
      </c>
      <c r="N307">
        <v>129.75</v>
      </c>
      <c r="O307">
        <v>2</v>
      </c>
      <c r="P307" t="s">
        <v>63</v>
      </c>
      <c r="Q307">
        <v>4</v>
      </c>
      <c r="R307">
        <v>53</v>
      </c>
      <c r="S307">
        <v>45620</v>
      </c>
      <c r="T307" t="s">
        <v>1435</v>
      </c>
      <c r="U307">
        <v>4</v>
      </c>
      <c r="V307">
        <v>259.5</v>
      </c>
      <c r="W307">
        <v>0</v>
      </c>
      <c r="X307">
        <v>259.5</v>
      </c>
      <c r="Y307">
        <v>259.5</v>
      </c>
      <c r="Z307" t="s">
        <v>2088</v>
      </c>
      <c r="AA307" t="s">
        <v>2066</v>
      </c>
      <c r="AB307">
        <v>11</v>
      </c>
    </row>
    <row r="308" spans="1:28" x14ac:dyDescent="0.3">
      <c r="A308" t="s">
        <v>1079</v>
      </c>
      <c r="B308" t="s">
        <v>218</v>
      </c>
      <c r="C308" t="s">
        <v>1080</v>
      </c>
      <c r="D308" t="s">
        <v>2241</v>
      </c>
      <c r="E308">
        <v>55</v>
      </c>
      <c r="F308" t="s">
        <v>41</v>
      </c>
      <c r="G308" t="s">
        <v>159</v>
      </c>
      <c r="H308" t="s">
        <v>1081</v>
      </c>
      <c r="I308" t="s">
        <v>1082</v>
      </c>
      <c r="J308" t="s">
        <v>1436</v>
      </c>
      <c r="K308" s="14">
        <v>45324</v>
      </c>
      <c r="L308" t="s">
        <v>1437</v>
      </c>
      <c r="M308" t="s">
        <v>135</v>
      </c>
      <c r="N308">
        <v>175.93</v>
      </c>
      <c r="O308">
        <v>2</v>
      </c>
      <c r="P308" t="s">
        <v>63</v>
      </c>
      <c r="Q308">
        <v>6</v>
      </c>
      <c r="R308">
        <v>50</v>
      </c>
      <c r="S308">
        <v>45325</v>
      </c>
      <c r="T308" t="s">
        <v>1438</v>
      </c>
      <c r="U308">
        <v>1</v>
      </c>
      <c r="V308">
        <v>351.86</v>
      </c>
      <c r="W308">
        <v>0</v>
      </c>
      <c r="X308">
        <v>351.86</v>
      </c>
      <c r="Y308">
        <v>351.86</v>
      </c>
      <c r="Z308" t="s">
        <v>2137</v>
      </c>
      <c r="AA308" t="s">
        <v>2057</v>
      </c>
      <c r="AB308">
        <v>2</v>
      </c>
    </row>
    <row r="309" spans="1:28" x14ac:dyDescent="0.3">
      <c r="A309" t="s">
        <v>847</v>
      </c>
      <c r="B309" t="s">
        <v>848</v>
      </c>
      <c r="C309" t="s">
        <v>387</v>
      </c>
      <c r="D309" t="s">
        <v>2236</v>
      </c>
      <c r="E309">
        <v>37</v>
      </c>
      <c r="F309" t="s">
        <v>52</v>
      </c>
      <c r="G309" t="s">
        <v>220</v>
      </c>
      <c r="H309" t="s">
        <v>849</v>
      </c>
      <c r="I309" t="s">
        <v>850</v>
      </c>
      <c r="J309" t="s">
        <v>1439</v>
      </c>
      <c r="K309" s="14">
        <v>45671</v>
      </c>
      <c r="L309" t="s">
        <v>1440</v>
      </c>
      <c r="M309" t="s">
        <v>495</v>
      </c>
      <c r="N309">
        <v>421.7</v>
      </c>
      <c r="O309">
        <v>5</v>
      </c>
      <c r="P309" t="s">
        <v>58</v>
      </c>
      <c r="Q309">
        <v>2</v>
      </c>
      <c r="R309">
        <v>56</v>
      </c>
      <c r="S309">
        <v>45674</v>
      </c>
      <c r="T309" t="s">
        <v>1441</v>
      </c>
      <c r="U309">
        <v>3</v>
      </c>
      <c r="V309">
        <v>2108.5</v>
      </c>
      <c r="W309">
        <v>0.15</v>
      </c>
      <c r="X309">
        <v>1792.2249999999999</v>
      </c>
      <c r="Y309">
        <v>1848.2249999999999</v>
      </c>
      <c r="Z309" t="s">
        <v>2132</v>
      </c>
      <c r="AA309" t="s">
        <v>2061</v>
      </c>
      <c r="AB309">
        <v>1</v>
      </c>
    </row>
    <row r="310" spans="1:28" x14ac:dyDescent="0.3">
      <c r="A310" t="s">
        <v>592</v>
      </c>
      <c r="B310" t="s">
        <v>593</v>
      </c>
      <c r="C310" t="s">
        <v>594</v>
      </c>
      <c r="D310" t="s">
        <v>2218</v>
      </c>
      <c r="E310">
        <v>21</v>
      </c>
      <c r="F310" t="s">
        <v>29</v>
      </c>
      <c r="G310" t="s">
        <v>42</v>
      </c>
      <c r="H310" t="s">
        <v>595</v>
      </c>
      <c r="I310" t="s">
        <v>596</v>
      </c>
      <c r="J310" t="s">
        <v>1442</v>
      </c>
      <c r="K310" s="14">
        <v>45064</v>
      </c>
      <c r="L310" t="s">
        <v>1443</v>
      </c>
      <c r="M310" t="s">
        <v>637</v>
      </c>
      <c r="N310">
        <v>445.81</v>
      </c>
      <c r="O310">
        <v>1</v>
      </c>
      <c r="P310" t="s">
        <v>85</v>
      </c>
      <c r="Q310">
        <v>7</v>
      </c>
      <c r="R310">
        <v>41</v>
      </c>
      <c r="S310">
        <v>45071</v>
      </c>
      <c r="T310" t="s">
        <v>1444</v>
      </c>
      <c r="U310">
        <v>7</v>
      </c>
      <c r="V310">
        <v>445.81</v>
      </c>
      <c r="W310">
        <v>0.2</v>
      </c>
      <c r="X310">
        <v>356.64800000000002</v>
      </c>
      <c r="Y310">
        <v>397.64800000000002</v>
      </c>
      <c r="Z310" t="s">
        <v>2114</v>
      </c>
      <c r="AA310" t="s">
        <v>2066</v>
      </c>
      <c r="AB310">
        <v>5</v>
      </c>
    </row>
    <row r="311" spans="1:28" x14ac:dyDescent="0.3">
      <c r="A311" t="s">
        <v>679</v>
      </c>
      <c r="B311" t="s">
        <v>680</v>
      </c>
      <c r="C311" t="s">
        <v>681</v>
      </c>
      <c r="D311" t="s">
        <v>2224</v>
      </c>
      <c r="E311">
        <v>68</v>
      </c>
      <c r="F311" t="s">
        <v>29</v>
      </c>
      <c r="G311" t="s">
        <v>220</v>
      </c>
      <c r="H311" t="s">
        <v>682</v>
      </c>
      <c r="I311" t="s">
        <v>683</v>
      </c>
      <c r="J311" t="s">
        <v>1445</v>
      </c>
      <c r="K311" s="14">
        <v>44973</v>
      </c>
      <c r="L311" t="s">
        <v>1446</v>
      </c>
      <c r="M311" t="s">
        <v>553</v>
      </c>
      <c r="N311">
        <v>425.59</v>
      </c>
      <c r="O311">
        <v>2</v>
      </c>
      <c r="P311" t="s">
        <v>63</v>
      </c>
      <c r="Q311">
        <v>2</v>
      </c>
      <c r="R311">
        <v>67</v>
      </c>
      <c r="S311">
        <v>44977</v>
      </c>
      <c r="T311" t="s">
        <v>1447</v>
      </c>
      <c r="U311">
        <v>4</v>
      </c>
      <c r="V311">
        <v>851.18</v>
      </c>
      <c r="W311">
        <v>0</v>
      </c>
      <c r="X311">
        <v>851.18</v>
      </c>
      <c r="Y311">
        <v>851.18</v>
      </c>
      <c r="Z311" t="s">
        <v>2120</v>
      </c>
      <c r="AA311" t="s">
        <v>2061</v>
      </c>
      <c r="AB311">
        <v>2</v>
      </c>
    </row>
    <row r="312" spans="1:28" x14ac:dyDescent="0.3">
      <c r="A312" t="s">
        <v>358</v>
      </c>
      <c r="B312" t="s">
        <v>359</v>
      </c>
      <c r="C312" t="s">
        <v>360</v>
      </c>
      <c r="D312" t="s">
        <v>2195</v>
      </c>
      <c r="E312">
        <v>32</v>
      </c>
      <c r="F312" t="s">
        <v>41</v>
      </c>
      <c r="G312" t="s">
        <v>168</v>
      </c>
      <c r="H312" t="s">
        <v>361</v>
      </c>
      <c r="I312" t="s">
        <v>362</v>
      </c>
      <c r="J312" t="s">
        <v>1448</v>
      </c>
      <c r="K312" s="14">
        <v>45515</v>
      </c>
      <c r="L312" t="s">
        <v>1449</v>
      </c>
      <c r="M312" t="s">
        <v>553</v>
      </c>
      <c r="N312">
        <v>425.59</v>
      </c>
      <c r="O312">
        <v>1</v>
      </c>
      <c r="P312" t="s">
        <v>36</v>
      </c>
      <c r="Q312">
        <v>1</v>
      </c>
      <c r="R312">
        <v>62</v>
      </c>
      <c r="S312">
        <v>45518</v>
      </c>
      <c r="T312" t="s">
        <v>1450</v>
      </c>
      <c r="U312">
        <v>3</v>
      </c>
      <c r="V312">
        <v>425.59</v>
      </c>
      <c r="W312">
        <v>0.08</v>
      </c>
      <c r="X312">
        <v>391.5428</v>
      </c>
      <c r="Y312">
        <v>453.5428</v>
      </c>
      <c r="Z312" t="s">
        <v>2091</v>
      </c>
      <c r="AA312" t="s">
        <v>2061</v>
      </c>
      <c r="AB312">
        <v>8</v>
      </c>
    </row>
    <row r="313" spans="1:28" x14ac:dyDescent="0.3">
      <c r="A313" t="s">
        <v>1079</v>
      </c>
      <c r="B313" t="s">
        <v>218</v>
      </c>
      <c r="C313" t="s">
        <v>1080</v>
      </c>
      <c r="D313" t="s">
        <v>2241</v>
      </c>
      <c r="E313">
        <v>55</v>
      </c>
      <c r="F313" t="s">
        <v>41</v>
      </c>
      <c r="G313" t="s">
        <v>159</v>
      </c>
      <c r="H313" t="s">
        <v>1081</v>
      </c>
      <c r="I313" t="s">
        <v>1082</v>
      </c>
      <c r="J313" t="s">
        <v>1451</v>
      </c>
      <c r="K313" s="14">
        <v>44976</v>
      </c>
      <c r="L313" t="s">
        <v>1452</v>
      </c>
      <c r="M313" t="s">
        <v>250</v>
      </c>
      <c r="N313">
        <v>128.13999999999999</v>
      </c>
      <c r="O313">
        <v>1</v>
      </c>
      <c r="P313" t="s">
        <v>96</v>
      </c>
      <c r="Q313">
        <v>1</v>
      </c>
      <c r="R313">
        <v>39</v>
      </c>
      <c r="S313">
        <v>44982</v>
      </c>
      <c r="T313" t="s">
        <v>1453</v>
      </c>
      <c r="U313">
        <v>6</v>
      </c>
      <c r="V313">
        <v>128.13999999999999</v>
      </c>
      <c r="W313">
        <v>0.1</v>
      </c>
      <c r="X313">
        <v>115.32599999999999</v>
      </c>
      <c r="Y313">
        <v>154.32599999999999</v>
      </c>
      <c r="Z313" t="s">
        <v>2137</v>
      </c>
      <c r="AA313" t="s">
        <v>2061</v>
      </c>
      <c r="AB313">
        <v>2</v>
      </c>
    </row>
    <row r="314" spans="1:28" x14ac:dyDescent="0.3">
      <c r="A314" t="s">
        <v>1210</v>
      </c>
      <c r="B314" t="s">
        <v>1211</v>
      </c>
      <c r="C314" t="s">
        <v>1212</v>
      </c>
      <c r="D314" t="s">
        <v>2245</v>
      </c>
      <c r="E314">
        <v>50</v>
      </c>
      <c r="F314" t="s">
        <v>52</v>
      </c>
      <c r="G314" t="s">
        <v>168</v>
      </c>
      <c r="H314" t="s">
        <v>1213</v>
      </c>
      <c r="I314" t="s">
        <v>1214</v>
      </c>
      <c r="J314" t="s">
        <v>1454</v>
      </c>
      <c r="K314" s="14">
        <v>45684</v>
      </c>
      <c r="L314" t="s">
        <v>1455</v>
      </c>
      <c r="M314" t="s">
        <v>657</v>
      </c>
      <c r="N314">
        <v>235.63</v>
      </c>
      <c r="O314">
        <v>1</v>
      </c>
      <c r="P314" t="s">
        <v>85</v>
      </c>
      <c r="Q314">
        <v>7</v>
      </c>
      <c r="R314">
        <v>46</v>
      </c>
      <c r="S314">
        <v>45689</v>
      </c>
      <c r="T314" t="s">
        <v>1456</v>
      </c>
      <c r="U314">
        <v>5</v>
      </c>
      <c r="V314">
        <v>235.63</v>
      </c>
      <c r="W314">
        <v>0.2</v>
      </c>
      <c r="X314">
        <v>188.50399999999999</v>
      </c>
      <c r="Y314">
        <v>234.50399999999999</v>
      </c>
      <c r="Z314" t="s">
        <v>2141</v>
      </c>
      <c r="AA314" t="s">
        <v>2057</v>
      </c>
      <c r="AB314">
        <v>1</v>
      </c>
    </row>
    <row r="315" spans="1:28" x14ac:dyDescent="0.3">
      <c r="A315" t="s">
        <v>1457</v>
      </c>
      <c r="B315" t="s">
        <v>273</v>
      </c>
      <c r="C315" t="s">
        <v>1458</v>
      </c>
      <c r="D315" t="s">
        <v>2253</v>
      </c>
      <c r="E315">
        <v>30</v>
      </c>
      <c r="F315" t="s">
        <v>29</v>
      </c>
      <c r="G315" t="s">
        <v>220</v>
      </c>
      <c r="H315" t="s">
        <v>1459</v>
      </c>
      <c r="I315" t="s">
        <v>1460</v>
      </c>
      <c r="J315" t="s">
        <v>1461</v>
      </c>
      <c r="K315" s="14">
        <v>45400</v>
      </c>
      <c r="L315" t="s">
        <v>1462</v>
      </c>
      <c r="M315" t="s">
        <v>287</v>
      </c>
      <c r="N315">
        <v>157.63999999999999</v>
      </c>
      <c r="O315">
        <v>2</v>
      </c>
      <c r="P315" t="s">
        <v>85</v>
      </c>
      <c r="Q315">
        <v>1</v>
      </c>
      <c r="R315">
        <v>57</v>
      </c>
      <c r="S315">
        <v>45401</v>
      </c>
      <c r="T315" t="s">
        <v>1463</v>
      </c>
      <c r="U315">
        <v>1</v>
      </c>
      <c r="V315">
        <v>315.27999999999997</v>
      </c>
      <c r="W315">
        <v>0.2</v>
      </c>
      <c r="X315">
        <v>252.22399999999999</v>
      </c>
      <c r="Y315">
        <v>309.22399999999999</v>
      </c>
      <c r="Z315" t="s">
        <v>2149</v>
      </c>
      <c r="AA315" t="s">
        <v>2066</v>
      </c>
      <c r="AB315">
        <v>4</v>
      </c>
    </row>
    <row r="316" spans="1:28" x14ac:dyDescent="0.3">
      <c r="A316" t="s">
        <v>894</v>
      </c>
      <c r="B316" t="s">
        <v>148</v>
      </c>
      <c r="C316" t="s">
        <v>895</v>
      </c>
      <c r="D316" t="s">
        <v>2237</v>
      </c>
      <c r="E316">
        <v>29</v>
      </c>
      <c r="F316" t="s">
        <v>29</v>
      </c>
      <c r="G316" t="s">
        <v>42</v>
      </c>
      <c r="H316" t="s">
        <v>896</v>
      </c>
      <c r="I316" t="s">
        <v>897</v>
      </c>
      <c r="J316" t="s">
        <v>1464</v>
      </c>
      <c r="K316" s="14">
        <v>45108</v>
      </c>
      <c r="L316" t="s">
        <v>1465</v>
      </c>
      <c r="M316" t="s">
        <v>234</v>
      </c>
      <c r="N316">
        <v>132.97</v>
      </c>
      <c r="O316">
        <v>3</v>
      </c>
      <c r="P316" t="s">
        <v>58</v>
      </c>
      <c r="Q316">
        <v>3</v>
      </c>
      <c r="R316">
        <v>36</v>
      </c>
      <c r="S316">
        <v>45110</v>
      </c>
      <c r="T316" t="s">
        <v>1466</v>
      </c>
      <c r="U316">
        <v>2</v>
      </c>
      <c r="V316">
        <v>398.90999999999997</v>
      </c>
      <c r="W316">
        <v>0.15</v>
      </c>
      <c r="X316">
        <v>339.07349999999997</v>
      </c>
      <c r="Y316">
        <v>375.07349999999997</v>
      </c>
      <c r="Z316" t="s">
        <v>2133</v>
      </c>
      <c r="AA316" t="s">
        <v>2057</v>
      </c>
      <c r="AB316">
        <v>7</v>
      </c>
    </row>
    <row r="317" spans="1:28" x14ac:dyDescent="0.3">
      <c r="A317" t="s">
        <v>358</v>
      </c>
      <c r="B317" t="s">
        <v>359</v>
      </c>
      <c r="C317" t="s">
        <v>360</v>
      </c>
      <c r="D317" t="s">
        <v>2195</v>
      </c>
      <c r="E317">
        <v>32</v>
      </c>
      <c r="F317" t="s">
        <v>41</v>
      </c>
      <c r="G317" t="s">
        <v>168</v>
      </c>
      <c r="H317" t="s">
        <v>361</v>
      </c>
      <c r="I317" t="s">
        <v>362</v>
      </c>
      <c r="J317" t="s">
        <v>1467</v>
      </c>
      <c r="K317" s="14">
        <v>45143</v>
      </c>
      <c r="L317" t="s">
        <v>1468</v>
      </c>
      <c r="M317" t="s">
        <v>323</v>
      </c>
      <c r="N317">
        <v>481.48</v>
      </c>
      <c r="O317">
        <v>1</v>
      </c>
      <c r="P317" t="s">
        <v>58</v>
      </c>
      <c r="Q317">
        <v>4</v>
      </c>
      <c r="R317">
        <v>67</v>
      </c>
      <c r="S317">
        <v>45150</v>
      </c>
      <c r="T317" t="s">
        <v>1469</v>
      </c>
      <c r="U317">
        <v>7</v>
      </c>
      <c r="V317">
        <v>481.48</v>
      </c>
      <c r="W317">
        <v>0.15</v>
      </c>
      <c r="X317">
        <v>409.25800000000004</v>
      </c>
      <c r="Y317">
        <v>476.25800000000004</v>
      </c>
      <c r="Z317" t="s">
        <v>2091</v>
      </c>
      <c r="AA317" t="s">
        <v>2061</v>
      </c>
      <c r="AB317">
        <v>8</v>
      </c>
    </row>
    <row r="318" spans="1:28" x14ac:dyDescent="0.3">
      <c r="A318" t="s">
        <v>137</v>
      </c>
      <c r="B318" t="s">
        <v>138</v>
      </c>
      <c r="C318" t="s">
        <v>139</v>
      </c>
      <c r="D318" t="s">
        <v>2173</v>
      </c>
      <c r="E318">
        <v>25</v>
      </c>
      <c r="F318" t="s">
        <v>52</v>
      </c>
      <c r="G318" t="s">
        <v>140</v>
      </c>
      <c r="H318" t="s">
        <v>141</v>
      </c>
      <c r="I318" t="s">
        <v>142</v>
      </c>
      <c r="J318" t="s">
        <v>1470</v>
      </c>
      <c r="K318" s="14">
        <v>45211</v>
      </c>
      <c r="L318" t="s">
        <v>1471</v>
      </c>
      <c r="M318" t="s">
        <v>323</v>
      </c>
      <c r="N318">
        <v>481.48</v>
      </c>
      <c r="O318">
        <v>2</v>
      </c>
      <c r="P318" t="s">
        <v>96</v>
      </c>
      <c r="Q318">
        <v>7</v>
      </c>
      <c r="R318">
        <v>66</v>
      </c>
      <c r="S318">
        <v>45218</v>
      </c>
      <c r="T318" t="s">
        <v>1472</v>
      </c>
      <c r="U318">
        <v>7</v>
      </c>
      <c r="V318">
        <v>962.96</v>
      </c>
      <c r="W318">
        <v>0.1</v>
      </c>
      <c r="X318">
        <v>866.66399999999999</v>
      </c>
      <c r="Y318">
        <v>932.66399999999999</v>
      </c>
      <c r="Z318" t="s">
        <v>2069</v>
      </c>
      <c r="AA318" t="s">
        <v>2066</v>
      </c>
      <c r="AB318">
        <v>10</v>
      </c>
    </row>
    <row r="319" spans="1:28" x14ac:dyDescent="0.3">
      <c r="A319" t="s">
        <v>1473</v>
      </c>
      <c r="B319" t="s">
        <v>593</v>
      </c>
      <c r="C319" t="s">
        <v>1474</v>
      </c>
      <c r="D319" t="s">
        <v>2254</v>
      </c>
      <c r="E319">
        <v>57</v>
      </c>
      <c r="F319" t="s">
        <v>52</v>
      </c>
      <c r="G319" t="s">
        <v>140</v>
      </c>
      <c r="H319" t="s">
        <v>1475</v>
      </c>
      <c r="I319" t="s">
        <v>1476</v>
      </c>
      <c r="J319" t="s">
        <v>1477</v>
      </c>
      <c r="K319" s="14">
        <v>45147</v>
      </c>
      <c r="L319" t="s">
        <v>1478</v>
      </c>
      <c r="M319" t="s">
        <v>291</v>
      </c>
      <c r="N319">
        <v>158.53</v>
      </c>
      <c r="O319">
        <v>5</v>
      </c>
      <c r="P319" t="s">
        <v>85</v>
      </c>
      <c r="Q319">
        <v>1</v>
      </c>
      <c r="R319">
        <v>46</v>
      </c>
      <c r="S319">
        <v>45151</v>
      </c>
      <c r="T319" t="s">
        <v>1479</v>
      </c>
      <c r="U319">
        <v>4</v>
      </c>
      <c r="V319">
        <v>792.65</v>
      </c>
      <c r="W319">
        <v>0.2</v>
      </c>
      <c r="X319">
        <v>634.12</v>
      </c>
      <c r="Y319">
        <v>680.12</v>
      </c>
      <c r="Z319" t="s">
        <v>2150</v>
      </c>
      <c r="AA319" t="s">
        <v>2061</v>
      </c>
      <c r="AB319">
        <v>8</v>
      </c>
    </row>
    <row r="320" spans="1:28" x14ac:dyDescent="0.3">
      <c r="A320" t="s">
        <v>1318</v>
      </c>
      <c r="B320" t="s">
        <v>1319</v>
      </c>
      <c r="C320" t="s">
        <v>1320</v>
      </c>
      <c r="D320" t="s">
        <v>2250</v>
      </c>
      <c r="E320">
        <v>43</v>
      </c>
      <c r="F320" t="s">
        <v>29</v>
      </c>
      <c r="G320" t="s">
        <v>140</v>
      </c>
      <c r="H320" t="s">
        <v>1321</v>
      </c>
      <c r="I320" t="s">
        <v>1322</v>
      </c>
      <c r="J320" t="s">
        <v>1480</v>
      </c>
      <c r="K320" s="14">
        <v>45637</v>
      </c>
      <c r="L320" t="s">
        <v>1481</v>
      </c>
      <c r="M320" t="s">
        <v>173</v>
      </c>
      <c r="N320">
        <v>272.51</v>
      </c>
      <c r="O320">
        <v>2</v>
      </c>
      <c r="P320" t="s">
        <v>85</v>
      </c>
      <c r="Q320">
        <v>5</v>
      </c>
      <c r="R320">
        <v>37</v>
      </c>
      <c r="S320">
        <v>45640</v>
      </c>
      <c r="T320" t="s">
        <v>1482</v>
      </c>
      <c r="U320">
        <v>3</v>
      </c>
      <c r="V320">
        <v>545.02</v>
      </c>
      <c r="W320">
        <v>0.2</v>
      </c>
      <c r="X320">
        <v>436.01599999999996</v>
      </c>
      <c r="Y320">
        <v>473.01599999999996</v>
      </c>
      <c r="Z320" t="s">
        <v>2146</v>
      </c>
      <c r="AA320" t="s">
        <v>2057</v>
      </c>
      <c r="AB320">
        <v>12</v>
      </c>
    </row>
    <row r="321" spans="1:28" x14ac:dyDescent="0.3">
      <c r="A321" t="s">
        <v>1210</v>
      </c>
      <c r="B321" t="s">
        <v>1211</v>
      </c>
      <c r="C321" t="s">
        <v>1212</v>
      </c>
      <c r="D321" t="s">
        <v>2245</v>
      </c>
      <c r="E321">
        <v>50</v>
      </c>
      <c r="F321" t="s">
        <v>52</v>
      </c>
      <c r="G321" t="s">
        <v>168</v>
      </c>
      <c r="H321" t="s">
        <v>1213</v>
      </c>
      <c r="I321" t="s">
        <v>1214</v>
      </c>
      <c r="J321" t="s">
        <v>1483</v>
      </c>
      <c r="K321" s="14">
        <v>45656</v>
      </c>
      <c r="L321" t="s">
        <v>1484</v>
      </c>
      <c r="M321" t="s">
        <v>182</v>
      </c>
      <c r="N321">
        <v>104.18</v>
      </c>
      <c r="O321">
        <v>2</v>
      </c>
      <c r="P321" t="s">
        <v>58</v>
      </c>
      <c r="Q321">
        <v>5</v>
      </c>
      <c r="R321">
        <v>65</v>
      </c>
      <c r="S321">
        <v>45657</v>
      </c>
      <c r="T321" t="s">
        <v>1485</v>
      </c>
      <c r="U321">
        <v>1</v>
      </c>
      <c r="V321">
        <v>208.36</v>
      </c>
      <c r="W321">
        <v>0.15</v>
      </c>
      <c r="X321">
        <v>177.10600000000002</v>
      </c>
      <c r="Y321">
        <v>242.10600000000002</v>
      </c>
      <c r="Z321" t="s">
        <v>2141</v>
      </c>
      <c r="AA321" t="s">
        <v>2057</v>
      </c>
      <c r="AB321">
        <v>12</v>
      </c>
    </row>
    <row r="322" spans="1:28" x14ac:dyDescent="0.3">
      <c r="A322" t="s">
        <v>165</v>
      </c>
      <c r="B322" t="s">
        <v>166</v>
      </c>
      <c r="C322" t="s">
        <v>167</v>
      </c>
      <c r="D322" t="s">
        <v>2176</v>
      </c>
      <c r="E322">
        <v>46</v>
      </c>
      <c r="F322" t="s">
        <v>29</v>
      </c>
      <c r="G322" t="s">
        <v>168</v>
      </c>
      <c r="H322" t="s">
        <v>169</v>
      </c>
      <c r="I322" t="s">
        <v>170</v>
      </c>
      <c r="J322" t="s">
        <v>1486</v>
      </c>
      <c r="K322" s="14">
        <v>45479</v>
      </c>
      <c r="L322" t="s">
        <v>1487</v>
      </c>
      <c r="M322" t="s">
        <v>774</v>
      </c>
      <c r="N322">
        <v>20</v>
      </c>
      <c r="O322">
        <v>2</v>
      </c>
      <c r="P322" t="s">
        <v>96</v>
      </c>
      <c r="Q322">
        <v>3</v>
      </c>
      <c r="R322">
        <v>38</v>
      </c>
      <c r="S322">
        <v>45485</v>
      </c>
      <c r="T322" t="s">
        <v>1488</v>
      </c>
      <c r="U322">
        <v>6</v>
      </c>
      <c r="V322">
        <v>40</v>
      </c>
      <c r="W322">
        <v>0.1</v>
      </c>
      <c r="X322">
        <v>36</v>
      </c>
      <c r="Y322">
        <v>74</v>
      </c>
      <c r="Z322" t="s">
        <v>2072</v>
      </c>
      <c r="AA322" t="s">
        <v>2061</v>
      </c>
      <c r="AB322">
        <v>7</v>
      </c>
    </row>
    <row r="323" spans="1:28" x14ac:dyDescent="0.3">
      <c r="A323" t="s">
        <v>435</v>
      </c>
      <c r="B323" t="s">
        <v>436</v>
      </c>
      <c r="C323" t="s">
        <v>437</v>
      </c>
      <c r="D323" t="s">
        <v>2203</v>
      </c>
      <c r="E323">
        <v>28</v>
      </c>
      <c r="F323" t="s">
        <v>52</v>
      </c>
      <c r="G323" t="s">
        <v>76</v>
      </c>
      <c r="H323" t="s">
        <v>438</v>
      </c>
      <c r="I323" t="s">
        <v>439</v>
      </c>
      <c r="J323" t="s">
        <v>1489</v>
      </c>
      <c r="K323" s="14">
        <v>45501</v>
      </c>
      <c r="L323" t="s">
        <v>1490</v>
      </c>
      <c r="M323" t="s">
        <v>686</v>
      </c>
      <c r="N323">
        <v>424.82</v>
      </c>
      <c r="O323">
        <v>1</v>
      </c>
      <c r="P323" t="s">
        <v>36</v>
      </c>
      <c r="Q323">
        <v>5</v>
      </c>
      <c r="R323">
        <v>49</v>
      </c>
      <c r="S323">
        <v>45508</v>
      </c>
      <c r="T323" t="s">
        <v>1491</v>
      </c>
      <c r="U323">
        <v>7</v>
      </c>
      <c r="V323">
        <v>424.82</v>
      </c>
      <c r="W323">
        <v>0.08</v>
      </c>
      <c r="X323">
        <v>390.83440000000002</v>
      </c>
      <c r="Y323">
        <v>439.83440000000002</v>
      </c>
      <c r="Z323" t="s">
        <v>2099</v>
      </c>
      <c r="AA323" t="s">
        <v>2061</v>
      </c>
      <c r="AB323">
        <v>7</v>
      </c>
    </row>
    <row r="324" spans="1:28" x14ac:dyDescent="0.3">
      <c r="A324" t="s">
        <v>1307</v>
      </c>
      <c r="B324" t="s">
        <v>1308</v>
      </c>
      <c r="C324" t="s">
        <v>1309</v>
      </c>
      <c r="D324" t="s">
        <v>2249</v>
      </c>
      <c r="E324">
        <v>63</v>
      </c>
      <c r="F324" t="s">
        <v>29</v>
      </c>
      <c r="G324" t="s">
        <v>168</v>
      </c>
      <c r="H324" t="s">
        <v>1310</v>
      </c>
      <c r="I324" t="s">
        <v>1311</v>
      </c>
      <c r="J324" t="s">
        <v>1492</v>
      </c>
      <c r="K324" s="14">
        <v>45107</v>
      </c>
      <c r="L324" t="s">
        <v>1493</v>
      </c>
      <c r="M324" t="s">
        <v>154</v>
      </c>
      <c r="N324">
        <v>220.27</v>
      </c>
      <c r="O324">
        <v>5</v>
      </c>
      <c r="P324" t="s">
        <v>85</v>
      </c>
      <c r="Q324">
        <v>6</v>
      </c>
      <c r="R324">
        <v>57</v>
      </c>
      <c r="S324">
        <v>45109</v>
      </c>
      <c r="T324" t="s">
        <v>1494</v>
      </c>
      <c r="U324">
        <v>2</v>
      </c>
      <c r="V324">
        <v>1101.3500000000001</v>
      </c>
      <c r="W324">
        <v>0.2</v>
      </c>
      <c r="X324">
        <v>881.08000000000015</v>
      </c>
      <c r="Y324">
        <v>938.08000000000015</v>
      </c>
      <c r="Z324" t="s">
        <v>2145</v>
      </c>
      <c r="AA324" t="s">
        <v>2057</v>
      </c>
      <c r="AB324">
        <v>6</v>
      </c>
    </row>
    <row r="325" spans="1:28" x14ac:dyDescent="0.3">
      <c r="A325" t="s">
        <v>393</v>
      </c>
      <c r="B325" t="s">
        <v>394</v>
      </c>
      <c r="C325" t="s">
        <v>395</v>
      </c>
      <c r="D325" t="s">
        <v>2199</v>
      </c>
      <c r="E325">
        <v>40</v>
      </c>
      <c r="F325" t="s">
        <v>52</v>
      </c>
      <c r="G325" t="s">
        <v>168</v>
      </c>
      <c r="H325" t="s">
        <v>396</v>
      </c>
      <c r="I325" t="s">
        <v>397</v>
      </c>
      <c r="J325" t="s">
        <v>1495</v>
      </c>
      <c r="K325" s="14">
        <v>45527</v>
      </c>
      <c r="L325" t="s">
        <v>1496</v>
      </c>
      <c r="M325" t="s">
        <v>553</v>
      </c>
      <c r="N325">
        <v>425.59</v>
      </c>
      <c r="O325">
        <v>5</v>
      </c>
      <c r="P325" t="s">
        <v>63</v>
      </c>
      <c r="Q325">
        <v>4</v>
      </c>
      <c r="R325">
        <v>43</v>
      </c>
      <c r="S325">
        <v>45531</v>
      </c>
      <c r="T325" t="s">
        <v>1497</v>
      </c>
      <c r="U325">
        <v>4</v>
      </c>
      <c r="V325">
        <v>2127.9499999999998</v>
      </c>
      <c r="W325">
        <v>0</v>
      </c>
      <c r="X325">
        <v>2127.9499999999998</v>
      </c>
      <c r="Y325">
        <v>2127.9499999999998</v>
      </c>
      <c r="Z325" t="s">
        <v>2095</v>
      </c>
      <c r="AA325" t="s">
        <v>2066</v>
      </c>
      <c r="AB325">
        <v>8</v>
      </c>
    </row>
    <row r="326" spans="1:28" x14ac:dyDescent="0.3">
      <c r="A326" t="s">
        <v>1457</v>
      </c>
      <c r="B326" t="s">
        <v>273</v>
      </c>
      <c r="C326" t="s">
        <v>1458</v>
      </c>
      <c r="D326" t="s">
        <v>2253</v>
      </c>
      <c r="E326">
        <v>30</v>
      </c>
      <c r="F326" t="s">
        <v>29</v>
      </c>
      <c r="G326" t="s">
        <v>220</v>
      </c>
      <c r="H326" t="s">
        <v>1459</v>
      </c>
      <c r="I326" t="s">
        <v>1460</v>
      </c>
      <c r="J326" t="s">
        <v>1498</v>
      </c>
      <c r="K326" s="14">
        <v>45420</v>
      </c>
      <c r="L326" t="s">
        <v>1499</v>
      </c>
      <c r="M326" t="s">
        <v>114</v>
      </c>
      <c r="N326">
        <v>48.45</v>
      </c>
      <c r="O326">
        <v>3</v>
      </c>
      <c r="P326" t="s">
        <v>96</v>
      </c>
      <c r="Q326">
        <v>2</v>
      </c>
      <c r="R326">
        <v>63</v>
      </c>
      <c r="S326">
        <v>45422</v>
      </c>
      <c r="T326" t="s">
        <v>1500</v>
      </c>
      <c r="U326">
        <v>2</v>
      </c>
      <c r="V326">
        <v>145.35000000000002</v>
      </c>
      <c r="W326">
        <v>0.1</v>
      </c>
      <c r="X326">
        <v>130.81500000000003</v>
      </c>
      <c r="Y326">
        <v>193.81500000000003</v>
      </c>
      <c r="Z326" t="s">
        <v>2149</v>
      </c>
      <c r="AA326" t="s">
        <v>2066</v>
      </c>
      <c r="AB326">
        <v>5</v>
      </c>
    </row>
    <row r="327" spans="1:28" x14ac:dyDescent="0.3">
      <c r="A327" t="s">
        <v>1238</v>
      </c>
      <c r="B327" t="s">
        <v>1239</v>
      </c>
      <c r="C327" t="s">
        <v>1240</v>
      </c>
      <c r="D327" t="s">
        <v>2247</v>
      </c>
      <c r="E327">
        <v>55</v>
      </c>
      <c r="F327" t="s">
        <v>41</v>
      </c>
      <c r="G327" t="s">
        <v>159</v>
      </c>
      <c r="H327" t="s">
        <v>1241</v>
      </c>
      <c r="I327" t="s">
        <v>1242</v>
      </c>
      <c r="J327" t="s">
        <v>1501</v>
      </c>
      <c r="K327" s="14">
        <v>45186</v>
      </c>
      <c r="L327" t="s">
        <v>1502</v>
      </c>
      <c r="M327" t="s">
        <v>182</v>
      </c>
      <c r="N327">
        <v>104.18</v>
      </c>
      <c r="O327">
        <v>2</v>
      </c>
      <c r="P327" t="s">
        <v>36</v>
      </c>
      <c r="Q327">
        <v>4</v>
      </c>
      <c r="R327">
        <v>43</v>
      </c>
      <c r="S327">
        <v>45190</v>
      </c>
      <c r="T327" t="s">
        <v>1503</v>
      </c>
      <c r="U327">
        <v>4</v>
      </c>
      <c r="V327">
        <v>208.36</v>
      </c>
      <c r="W327">
        <v>0.08</v>
      </c>
      <c r="X327">
        <v>191.69120000000001</v>
      </c>
      <c r="Y327">
        <v>234.69120000000001</v>
      </c>
      <c r="Z327" t="s">
        <v>2143</v>
      </c>
      <c r="AA327" t="s">
        <v>2066</v>
      </c>
      <c r="AB327">
        <v>9</v>
      </c>
    </row>
    <row r="328" spans="1:28" x14ac:dyDescent="0.3">
      <c r="A328" t="s">
        <v>1246</v>
      </c>
      <c r="B328" t="s">
        <v>66</v>
      </c>
      <c r="C328" t="s">
        <v>1247</v>
      </c>
      <c r="D328" t="s">
        <v>2248</v>
      </c>
      <c r="E328">
        <v>40</v>
      </c>
      <c r="F328" t="s">
        <v>29</v>
      </c>
      <c r="G328" t="s">
        <v>76</v>
      </c>
      <c r="H328" t="s">
        <v>1248</v>
      </c>
      <c r="I328" t="s">
        <v>1249</v>
      </c>
      <c r="J328" t="s">
        <v>1504</v>
      </c>
      <c r="K328" s="14">
        <v>45195</v>
      </c>
      <c r="L328" t="s">
        <v>1505</v>
      </c>
      <c r="M328" t="s">
        <v>637</v>
      </c>
      <c r="N328">
        <v>445.81</v>
      </c>
      <c r="O328">
        <v>1</v>
      </c>
      <c r="P328" t="s">
        <v>63</v>
      </c>
      <c r="Q328">
        <v>1</v>
      </c>
      <c r="R328">
        <v>51</v>
      </c>
      <c r="S328">
        <v>45198</v>
      </c>
      <c r="T328" t="s">
        <v>1506</v>
      </c>
      <c r="U328">
        <v>3</v>
      </c>
      <c r="V328">
        <v>445.81</v>
      </c>
      <c r="W328">
        <v>0</v>
      </c>
      <c r="X328">
        <v>445.81</v>
      </c>
      <c r="Y328">
        <v>445.81</v>
      </c>
      <c r="Z328" t="s">
        <v>2144</v>
      </c>
      <c r="AA328" t="s">
        <v>2061</v>
      </c>
      <c r="AB328">
        <v>9</v>
      </c>
    </row>
    <row r="329" spans="1:28" x14ac:dyDescent="0.3">
      <c r="A329" t="s">
        <v>1342</v>
      </c>
      <c r="B329" t="s">
        <v>508</v>
      </c>
      <c r="C329" t="s">
        <v>1343</v>
      </c>
      <c r="D329" t="s">
        <v>2252</v>
      </c>
      <c r="E329">
        <v>40</v>
      </c>
      <c r="F329" t="s">
        <v>52</v>
      </c>
      <c r="G329" t="s">
        <v>220</v>
      </c>
      <c r="H329" t="s">
        <v>1344</v>
      </c>
      <c r="I329" t="s">
        <v>1345</v>
      </c>
      <c r="J329" t="s">
        <v>1507</v>
      </c>
      <c r="K329" s="14">
        <v>45573</v>
      </c>
      <c r="L329" t="s">
        <v>1508</v>
      </c>
      <c r="M329" t="s">
        <v>234</v>
      </c>
      <c r="N329">
        <v>132.97</v>
      </c>
      <c r="O329">
        <v>2</v>
      </c>
      <c r="P329" t="s">
        <v>96</v>
      </c>
      <c r="Q329">
        <v>6</v>
      </c>
      <c r="R329">
        <v>69</v>
      </c>
      <c r="S329">
        <v>45578</v>
      </c>
      <c r="T329" t="s">
        <v>1509</v>
      </c>
      <c r="U329">
        <v>5</v>
      </c>
      <c r="V329">
        <v>265.94</v>
      </c>
      <c r="W329">
        <v>0.1</v>
      </c>
      <c r="X329">
        <v>239.346</v>
      </c>
      <c r="Y329">
        <v>308.346</v>
      </c>
      <c r="Z329" t="s">
        <v>2148</v>
      </c>
      <c r="AA329" t="s">
        <v>2057</v>
      </c>
      <c r="AB329">
        <v>10</v>
      </c>
    </row>
    <row r="330" spans="1:28" x14ac:dyDescent="0.3">
      <c r="A330" t="s">
        <v>1238</v>
      </c>
      <c r="B330" t="s">
        <v>1239</v>
      </c>
      <c r="C330" t="s">
        <v>1240</v>
      </c>
      <c r="D330" t="s">
        <v>2247</v>
      </c>
      <c r="E330">
        <v>55</v>
      </c>
      <c r="F330" t="s">
        <v>41</v>
      </c>
      <c r="G330" t="s">
        <v>159</v>
      </c>
      <c r="H330" t="s">
        <v>1241</v>
      </c>
      <c r="I330" t="s">
        <v>1242</v>
      </c>
      <c r="J330" t="s">
        <v>1510</v>
      </c>
      <c r="K330" s="14">
        <v>45384</v>
      </c>
      <c r="L330" t="s">
        <v>1511</v>
      </c>
      <c r="M330" t="s">
        <v>495</v>
      </c>
      <c r="N330">
        <v>421.7</v>
      </c>
      <c r="O330">
        <v>4</v>
      </c>
      <c r="P330" t="s">
        <v>36</v>
      </c>
      <c r="Q330">
        <v>5</v>
      </c>
      <c r="R330">
        <v>55</v>
      </c>
      <c r="S330">
        <v>45389</v>
      </c>
      <c r="T330" t="s">
        <v>1512</v>
      </c>
      <c r="U330">
        <v>5</v>
      </c>
      <c r="V330">
        <v>1686.8</v>
      </c>
      <c r="W330">
        <v>0.08</v>
      </c>
      <c r="X330">
        <v>1551.856</v>
      </c>
      <c r="Y330">
        <v>1606.856</v>
      </c>
      <c r="Z330" t="s">
        <v>2143</v>
      </c>
      <c r="AA330" t="s">
        <v>2066</v>
      </c>
      <c r="AB330">
        <v>4</v>
      </c>
    </row>
    <row r="331" spans="1:28" x14ac:dyDescent="0.3">
      <c r="A331" t="s">
        <v>1238</v>
      </c>
      <c r="B331" t="s">
        <v>1239</v>
      </c>
      <c r="C331" t="s">
        <v>1240</v>
      </c>
      <c r="D331" t="s">
        <v>2247</v>
      </c>
      <c r="E331">
        <v>55</v>
      </c>
      <c r="F331" t="s">
        <v>41</v>
      </c>
      <c r="G331" t="s">
        <v>159</v>
      </c>
      <c r="H331" t="s">
        <v>1241</v>
      </c>
      <c r="I331" t="s">
        <v>1242</v>
      </c>
      <c r="J331" t="s">
        <v>1513</v>
      </c>
      <c r="K331" s="14">
        <v>45388</v>
      </c>
      <c r="L331" t="s">
        <v>1514</v>
      </c>
      <c r="M331" t="s">
        <v>573</v>
      </c>
      <c r="N331">
        <v>477.52</v>
      </c>
      <c r="O331">
        <v>1</v>
      </c>
      <c r="P331" t="s">
        <v>63</v>
      </c>
      <c r="Q331">
        <v>7</v>
      </c>
      <c r="R331">
        <v>48</v>
      </c>
      <c r="S331">
        <v>45393</v>
      </c>
      <c r="T331" t="s">
        <v>1515</v>
      </c>
      <c r="U331">
        <v>5</v>
      </c>
      <c r="V331">
        <v>477.52</v>
      </c>
      <c r="W331">
        <v>0</v>
      </c>
      <c r="X331">
        <v>477.52</v>
      </c>
      <c r="Y331">
        <v>477.52</v>
      </c>
      <c r="Z331" t="s">
        <v>2143</v>
      </c>
      <c r="AA331" t="s">
        <v>2057</v>
      </c>
      <c r="AB331">
        <v>4</v>
      </c>
    </row>
    <row r="332" spans="1:28" x14ac:dyDescent="0.3">
      <c r="A332" t="s">
        <v>458</v>
      </c>
      <c r="B332" t="s">
        <v>459</v>
      </c>
      <c r="C332" t="s">
        <v>460</v>
      </c>
      <c r="D332" t="s">
        <v>2206</v>
      </c>
      <c r="E332">
        <v>63</v>
      </c>
      <c r="F332" t="s">
        <v>29</v>
      </c>
      <c r="G332" t="s">
        <v>140</v>
      </c>
      <c r="H332" t="s">
        <v>461</v>
      </c>
      <c r="I332" t="s">
        <v>462</v>
      </c>
      <c r="J332" t="s">
        <v>1516</v>
      </c>
      <c r="K332" s="14">
        <v>45623</v>
      </c>
      <c r="L332" t="s">
        <v>1517</v>
      </c>
      <c r="M332" t="s">
        <v>774</v>
      </c>
      <c r="N332">
        <v>20</v>
      </c>
      <c r="O332">
        <v>2</v>
      </c>
      <c r="P332" t="s">
        <v>63</v>
      </c>
      <c r="Q332">
        <v>5</v>
      </c>
      <c r="R332">
        <v>55</v>
      </c>
      <c r="S332">
        <v>45629</v>
      </c>
      <c r="T332" t="s">
        <v>1518</v>
      </c>
      <c r="U332">
        <v>6</v>
      </c>
      <c r="V332">
        <v>40</v>
      </c>
      <c r="W332">
        <v>0</v>
      </c>
      <c r="X332">
        <v>40</v>
      </c>
      <c r="Y332">
        <v>40</v>
      </c>
      <c r="Z332" t="s">
        <v>2102</v>
      </c>
      <c r="AA332" t="s">
        <v>2061</v>
      </c>
      <c r="AB332">
        <v>11</v>
      </c>
    </row>
    <row r="333" spans="1:28" x14ac:dyDescent="0.3">
      <c r="A333" t="s">
        <v>255</v>
      </c>
      <c r="B333" t="s">
        <v>256</v>
      </c>
      <c r="C333" t="s">
        <v>257</v>
      </c>
      <c r="D333" t="s">
        <v>2185</v>
      </c>
      <c r="E333">
        <v>60</v>
      </c>
      <c r="F333" t="s">
        <v>52</v>
      </c>
      <c r="G333" t="s">
        <v>30</v>
      </c>
      <c r="H333" t="s">
        <v>258</v>
      </c>
      <c r="I333" t="s">
        <v>259</v>
      </c>
      <c r="J333" t="s">
        <v>1519</v>
      </c>
      <c r="K333" s="14">
        <v>45498</v>
      </c>
      <c r="L333" t="s">
        <v>1520</v>
      </c>
      <c r="M333" t="s">
        <v>657</v>
      </c>
      <c r="N333">
        <v>235.63</v>
      </c>
      <c r="O333">
        <v>1</v>
      </c>
      <c r="P333" t="s">
        <v>96</v>
      </c>
      <c r="Q333">
        <v>1</v>
      </c>
      <c r="R333">
        <v>38</v>
      </c>
      <c r="S333">
        <v>45504</v>
      </c>
      <c r="T333" t="s">
        <v>1521</v>
      </c>
      <c r="U333">
        <v>6</v>
      </c>
      <c r="V333">
        <v>235.63</v>
      </c>
      <c r="W333">
        <v>0.1</v>
      </c>
      <c r="X333">
        <v>212.06700000000001</v>
      </c>
      <c r="Y333">
        <v>250.06700000000001</v>
      </c>
      <c r="Z333" t="s">
        <v>2081</v>
      </c>
      <c r="AA333" t="s">
        <v>2061</v>
      </c>
      <c r="AB333">
        <v>7</v>
      </c>
    </row>
    <row r="334" spans="1:28" x14ac:dyDescent="0.3">
      <c r="A334" t="s">
        <v>1210</v>
      </c>
      <c r="B334" t="s">
        <v>1211</v>
      </c>
      <c r="C334" t="s">
        <v>1212</v>
      </c>
      <c r="D334" t="s">
        <v>2245</v>
      </c>
      <c r="E334">
        <v>50</v>
      </c>
      <c r="F334" t="s">
        <v>52</v>
      </c>
      <c r="G334" t="s">
        <v>168</v>
      </c>
      <c r="H334" t="s">
        <v>1213</v>
      </c>
      <c r="I334" t="s">
        <v>1214</v>
      </c>
      <c r="J334" t="s">
        <v>1522</v>
      </c>
      <c r="K334" s="14">
        <v>45289</v>
      </c>
      <c r="L334" t="s">
        <v>1523</v>
      </c>
      <c r="M334" t="s">
        <v>984</v>
      </c>
      <c r="N334">
        <v>33.49</v>
      </c>
      <c r="O334">
        <v>4</v>
      </c>
      <c r="P334" t="s">
        <v>58</v>
      </c>
      <c r="Q334">
        <v>4</v>
      </c>
      <c r="R334">
        <v>67</v>
      </c>
      <c r="S334">
        <v>45294</v>
      </c>
      <c r="T334" t="s">
        <v>1524</v>
      </c>
      <c r="U334">
        <v>5</v>
      </c>
      <c r="V334">
        <v>133.96</v>
      </c>
      <c r="W334">
        <v>0.15</v>
      </c>
      <c r="X334">
        <v>113.86600000000001</v>
      </c>
      <c r="Y334">
        <v>180.86600000000001</v>
      </c>
      <c r="Z334" t="s">
        <v>2141</v>
      </c>
      <c r="AA334" t="s">
        <v>2061</v>
      </c>
      <c r="AB334">
        <v>12</v>
      </c>
    </row>
    <row r="335" spans="1:28" x14ac:dyDescent="0.3">
      <c r="A335" t="s">
        <v>333</v>
      </c>
      <c r="B335" t="s">
        <v>334</v>
      </c>
      <c r="C335" t="s">
        <v>335</v>
      </c>
      <c r="D335" t="s">
        <v>2193</v>
      </c>
      <c r="E335">
        <v>23</v>
      </c>
      <c r="F335" t="s">
        <v>29</v>
      </c>
      <c r="G335" t="s">
        <v>30</v>
      </c>
      <c r="H335" t="s">
        <v>336</v>
      </c>
      <c r="I335" t="s">
        <v>337</v>
      </c>
      <c r="J335" t="s">
        <v>1525</v>
      </c>
      <c r="K335" s="14">
        <v>45271</v>
      </c>
      <c r="L335" t="s">
        <v>1526</v>
      </c>
      <c r="M335" t="s">
        <v>514</v>
      </c>
      <c r="N335">
        <v>136.30000000000001</v>
      </c>
      <c r="O335">
        <v>4</v>
      </c>
      <c r="P335" t="s">
        <v>96</v>
      </c>
      <c r="Q335">
        <v>1</v>
      </c>
      <c r="R335">
        <v>35</v>
      </c>
      <c r="S335">
        <v>45275</v>
      </c>
      <c r="T335" t="s">
        <v>1527</v>
      </c>
      <c r="U335">
        <v>4</v>
      </c>
      <c r="V335">
        <v>545.20000000000005</v>
      </c>
      <c r="W335">
        <v>0.1</v>
      </c>
      <c r="X335">
        <v>490.68000000000006</v>
      </c>
      <c r="Y335">
        <v>525.68000000000006</v>
      </c>
      <c r="Z335" t="s">
        <v>2089</v>
      </c>
      <c r="AA335" t="s">
        <v>2061</v>
      </c>
      <c r="AB335">
        <v>12</v>
      </c>
    </row>
    <row r="336" spans="1:28" x14ac:dyDescent="0.3">
      <c r="A336" t="s">
        <v>986</v>
      </c>
      <c r="B336" t="s">
        <v>987</v>
      </c>
      <c r="C336" t="s">
        <v>988</v>
      </c>
      <c r="D336" t="s">
        <v>2239</v>
      </c>
      <c r="E336">
        <v>49</v>
      </c>
      <c r="F336" t="s">
        <v>29</v>
      </c>
      <c r="G336" t="s">
        <v>42</v>
      </c>
      <c r="H336" t="s">
        <v>989</v>
      </c>
      <c r="I336" t="s">
        <v>990</v>
      </c>
      <c r="J336" t="s">
        <v>1528</v>
      </c>
      <c r="K336" s="14">
        <v>45122</v>
      </c>
      <c r="L336" t="s">
        <v>1529</v>
      </c>
      <c r="M336" t="s">
        <v>246</v>
      </c>
      <c r="N336">
        <v>282.63</v>
      </c>
      <c r="O336">
        <v>4</v>
      </c>
      <c r="P336" t="s">
        <v>96</v>
      </c>
      <c r="Q336">
        <v>1</v>
      </c>
      <c r="R336">
        <v>48</v>
      </c>
      <c r="S336">
        <v>45125</v>
      </c>
      <c r="T336" t="s">
        <v>1530</v>
      </c>
      <c r="U336">
        <v>3</v>
      </c>
      <c r="V336">
        <v>1130.52</v>
      </c>
      <c r="W336">
        <v>0.1</v>
      </c>
      <c r="X336">
        <v>1017.468</v>
      </c>
      <c r="Y336">
        <v>1065.4679999999998</v>
      </c>
      <c r="Z336" t="s">
        <v>2135</v>
      </c>
      <c r="AA336" t="s">
        <v>2061</v>
      </c>
      <c r="AB336">
        <v>7</v>
      </c>
    </row>
    <row r="337" spans="1:28" x14ac:dyDescent="0.3">
      <c r="A337" t="s">
        <v>839</v>
      </c>
      <c r="B337" t="s">
        <v>840</v>
      </c>
      <c r="C337" t="s">
        <v>841</v>
      </c>
      <c r="D337" t="s">
        <v>2235</v>
      </c>
      <c r="E337">
        <v>26</v>
      </c>
      <c r="F337" t="s">
        <v>41</v>
      </c>
      <c r="G337" t="s">
        <v>159</v>
      </c>
      <c r="H337" t="s">
        <v>842</v>
      </c>
      <c r="I337" t="s">
        <v>843</v>
      </c>
      <c r="J337" t="s">
        <v>1531</v>
      </c>
      <c r="K337" s="14">
        <v>45627</v>
      </c>
      <c r="L337" t="s">
        <v>1532</v>
      </c>
      <c r="M337" t="s">
        <v>173</v>
      </c>
      <c r="N337">
        <v>272.51</v>
      </c>
      <c r="O337">
        <v>5</v>
      </c>
      <c r="P337" t="s">
        <v>96</v>
      </c>
      <c r="Q337">
        <v>4</v>
      </c>
      <c r="R337">
        <v>45</v>
      </c>
      <c r="S337">
        <v>45630</v>
      </c>
      <c r="T337" t="s">
        <v>1533</v>
      </c>
      <c r="U337">
        <v>3</v>
      </c>
      <c r="V337">
        <v>1362.55</v>
      </c>
      <c r="W337">
        <v>0.1</v>
      </c>
      <c r="X337">
        <v>1226.2950000000001</v>
      </c>
      <c r="Y337">
        <v>1271.2950000000001</v>
      </c>
      <c r="Z337" t="s">
        <v>2131</v>
      </c>
      <c r="AA337" t="s">
        <v>2057</v>
      </c>
      <c r="AB337">
        <v>12</v>
      </c>
    </row>
    <row r="338" spans="1:28" x14ac:dyDescent="0.3">
      <c r="A338" t="s">
        <v>831</v>
      </c>
      <c r="B338" t="s">
        <v>832</v>
      </c>
      <c r="C338" t="s">
        <v>833</v>
      </c>
      <c r="D338" t="s">
        <v>2234</v>
      </c>
      <c r="E338">
        <v>60</v>
      </c>
      <c r="F338" t="s">
        <v>29</v>
      </c>
      <c r="G338" t="s">
        <v>140</v>
      </c>
      <c r="H338" t="s">
        <v>834</v>
      </c>
      <c r="I338" t="s">
        <v>835</v>
      </c>
      <c r="J338" t="s">
        <v>1534</v>
      </c>
      <c r="K338" s="14">
        <v>45053</v>
      </c>
      <c r="L338" t="s">
        <v>1535</v>
      </c>
      <c r="M338" t="s">
        <v>105</v>
      </c>
      <c r="N338">
        <v>275.44</v>
      </c>
      <c r="O338">
        <v>2</v>
      </c>
      <c r="P338" t="s">
        <v>58</v>
      </c>
      <c r="Q338">
        <v>4</v>
      </c>
      <c r="R338">
        <v>54</v>
      </c>
      <c r="S338">
        <v>45059</v>
      </c>
      <c r="T338" t="s">
        <v>1536</v>
      </c>
      <c r="U338">
        <v>6</v>
      </c>
      <c r="V338">
        <v>550.88</v>
      </c>
      <c r="W338">
        <v>0.15</v>
      </c>
      <c r="X338">
        <v>468.24799999999999</v>
      </c>
      <c r="Y338">
        <v>522.24800000000005</v>
      </c>
      <c r="Z338" t="s">
        <v>2130</v>
      </c>
      <c r="AA338" t="s">
        <v>2061</v>
      </c>
      <c r="AB338">
        <v>5</v>
      </c>
    </row>
    <row r="339" spans="1:28" x14ac:dyDescent="0.3">
      <c r="A339" t="s">
        <v>366</v>
      </c>
      <c r="B339" t="s">
        <v>367</v>
      </c>
      <c r="C339" t="s">
        <v>368</v>
      </c>
      <c r="D339" t="s">
        <v>2196</v>
      </c>
      <c r="E339">
        <v>31</v>
      </c>
      <c r="F339" t="s">
        <v>52</v>
      </c>
      <c r="G339" t="s">
        <v>140</v>
      </c>
      <c r="H339" t="s">
        <v>369</v>
      </c>
      <c r="I339" t="s">
        <v>370</v>
      </c>
      <c r="J339" t="s">
        <v>1537</v>
      </c>
      <c r="K339" s="14">
        <v>45148</v>
      </c>
      <c r="L339" t="s">
        <v>1538</v>
      </c>
      <c r="M339" t="s">
        <v>518</v>
      </c>
      <c r="N339">
        <v>441.03</v>
      </c>
      <c r="O339">
        <v>2</v>
      </c>
      <c r="P339" t="s">
        <v>36</v>
      </c>
      <c r="Q339">
        <v>3</v>
      </c>
      <c r="R339">
        <v>62</v>
      </c>
      <c r="S339">
        <v>45151</v>
      </c>
      <c r="T339" t="s">
        <v>1539</v>
      </c>
      <c r="U339">
        <v>3</v>
      </c>
      <c r="V339">
        <v>882.06</v>
      </c>
      <c r="W339">
        <v>0.08</v>
      </c>
      <c r="X339">
        <v>811.49519999999995</v>
      </c>
      <c r="Y339">
        <v>873.49519999999995</v>
      </c>
      <c r="Z339" t="s">
        <v>2092</v>
      </c>
      <c r="AA339" t="s">
        <v>2066</v>
      </c>
      <c r="AB339">
        <v>8</v>
      </c>
    </row>
    <row r="340" spans="1:28" x14ac:dyDescent="0.3">
      <c r="A340" t="s">
        <v>393</v>
      </c>
      <c r="B340" t="s">
        <v>394</v>
      </c>
      <c r="C340" t="s">
        <v>395</v>
      </c>
      <c r="D340" t="s">
        <v>2199</v>
      </c>
      <c r="E340">
        <v>40</v>
      </c>
      <c r="F340" t="s">
        <v>52</v>
      </c>
      <c r="G340" t="s">
        <v>168</v>
      </c>
      <c r="H340" t="s">
        <v>396</v>
      </c>
      <c r="I340" t="s">
        <v>397</v>
      </c>
      <c r="J340" t="s">
        <v>1540</v>
      </c>
      <c r="K340" s="14">
        <v>45285</v>
      </c>
      <c r="L340" t="s">
        <v>1541</v>
      </c>
      <c r="M340" t="s">
        <v>308</v>
      </c>
      <c r="N340">
        <v>129.75</v>
      </c>
      <c r="O340">
        <v>2</v>
      </c>
      <c r="P340" t="s">
        <v>58</v>
      </c>
      <c r="Q340">
        <v>1</v>
      </c>
      <c r="R340">
        <v>62</v>
      </c>
      <c r="S340">
        <v>45290</v>
      </c>
      <c r="T340" t="s">
        <v>1542</v>
      </c>
      <c r="U340">
        <v>5</v>
      </c>
      <c r="V340">
        <v>259.5</v>
      </c>
      <c r="W340">
        <v>0.15</v>
      </c>
      <c r="X340">
        <v>220.57499999999999</v>
      </c>
      <c r="Y340">
        <v>282.57499999999999</v>
      </c>
      <c r="Z340" t="s">
        <v>2095</v>
      </c>
      <c r="AA340" t="s">
        <v>2061</v>
      </c>
      <c r="AB340">
        <v>12</v>
      </c>
    </row>
    <row r="341" spans="1:28" x14ac:dyDescent="0.3">
      <c r="A341" t="s">
        <v>1332</v>
      </c>
      <c r="B341" t="s">
        <v>1333</v>
      </c>
      <c r="C341" t="s">
        <v>395</v>
      </c>
      <c r="D341" t="s">
        <v>2251</v>
      </c>
      <c r="E341">
        <v>18</v>
      </c>
      <c r="F341" t="s">
        <v>41</v>
      </c>
      <c r="G341" t="s">
        <v>220</v>
      </c>
      <c r="H341" t="s">
        <v>1334</v>
      </c>
      <c r="I341" t="s">
        <v>1335</v>
      </c>
      <c r="J341" t="s">
        <v>1543</v>
      </c>
      <c r="K341" s="14">
        <v>45682</v>
      </c>
      <c r="L341" t="s">
        <v>1544</v>
      </c>
      <c r="M341" t="s">
        <v>573</v>
      </c>
      <c r="N341">
        <v>477.52</v>
      </c>
      <c r="O341">
        <v>3</v>
      </c>
      <c r="P341" t="s">
        <v>85</v>
      </c>
      <c r="Q341">
        <v>7</v>
      </c>
      <c r="R341">
        <v>41</v>
      </c>
      <c r="S341">
        <v>45686</v>
      </c>
      <c r="T341" t="s">
        <v>1545</v>
      </c>
      <c r="U341">
        <v>4</v>
      </c>
      <c r="V341">
        <v>1432.56</v>
      </c>
      <c r="W341">
        <v>0.2</v>
      </c>
      <c r="X341">
        <v>1146.048</v>
      </c>
      <c r="Y341">
        <v>1187.048</v>
      </c>
      <c r="Z341" t="s">
        <v>2147</v>
      </c>
      <c r="AA341" t="s">
        <v>2057</v>
      </c>
      <c r="AB341">
        <v>1</v>
      </c>
    </row>
    <row r="342" spans="1:28" x14ac:dyDescent="0.3">
      <c r="A342" t="s">
        <v>500</v>
      </c>
      <c r="B342" t="s">
        <v>501</v>
      </c>
      <c r="C342" t="s">
        <v>387</v>
      </c>
      <c r="D342" t="s">
        <v>2211</v>
      </c>
      <c r="E342">
        <v>57</v>
      </c>
      <c r="F342" t="s">
        <v>41</v>
      </c>
      <c r="G342" t="s">
        <v>220</v>
      </c>
      <c r="H342" t="s">
        <v>502</v>
      </c>
      <c r="I342" t="s">
        <v>503</v>
      </c>
      <c r="J342" t="s">
        <v>1546</v>
      </c>
      <c r="K342" s="14">
        <v>45453</v>
      </c>
      <c r="L342" t="s">
        <v>1547</v>
      </c>
      <c r="M342" t="s">
        <v>941</v>
      </c>
      <c r="N342">
        <v>107.47</v>
      </c>
      <c r="O342">
        <v>3</v>
      </c>
      <c r="P342" t="s">
        <v>96</v>
      </c>
      <c r="Q342">
        <v>4</v>
      </c>
      <c r="R342">
        <v>59</v>
      </c>
      <c r="S342">
        <v>45454</v>
      </c>
      <c r="T342" t="s">
        <v>1548</v>
      </c>
      <c r="U342">
        <v>1</v>
      </c>
      <c r="V342">
        <v>322.40999999999997</v>
      </c>
      <c r="W342">
        <v>0.1</v>
      </c>
      <c r="X342">
        <v>290.16899999999998</v>
      </c>
      <c r="Y342">
        <v>349.16899999999998</v>
      </c>
      <c r="Z342" t="s">
        <v>2107</v>
      </c>
      <c r="AA342" t="s">
        <v>2057</v>
      </c>
      <c r="AB342">
        <v>6</v>
      </c>
    </row>
    <row r="343" spans="1:28" x14ac:dyDescent="0.3">
      <c r="A343" t="s">
        <v>767</v>
      </c>
      <c r="B343" t="s">
        <v>768</v>
      </c>
      <c r="C343" t="s">
        <v>769</v>
      </c>
      <c r="D343" t="s">
        <v>2231</v>
      </c>
      <c r="E343">
        <v>27</v>
      </c>
      <c r="F343" t="s">
        <v>29</v>
      </c>
      <c r="G343" t="s">
        <v>42</v>
      </c>
      <c r="H343" t="s">
        <v>770</v>
      </c>
      <c r="I343" t="s">
        <v>771</v>
      </c>
      <c r="J343" t="s">
        <v>1549</v>
      </c>
      <c r="K343" s="14">
        <v>45185</v>
      </c>
      <c r="L343" t="s">
        <v>1550</v>
      </c>
      <c r="M343" t="s">
        <v>291</v>
      </c>
      <c r="N343">
        <v>158.53</v>
      </c>
      <c r="O343">
        <v>2</v>
      </c>
      <c r="P343" t="s">
        <v>36</v>
      </c>
      <c r="Q343">
        <v>2</v>
      </c>
      <c r="R343">
        <v>56</v>
      </c>
      <c r="S343">
        <v>45187</v>
      </c>
      <c r="T343" t="s">
        <v>1551</v>
      </c>
      <c r="U343">
        <v>2</v>
      </c>
      <c r="V343">
        <v>317.06</v>
      </c>
      <c r="W343">
        <v>0.08</v>
      </c>
      <c r="X343">
        <v>291.6952</v>
      </c>
      <c r="Y343">
        <v>347.6952</v>
      </c>
      <c r="Z343" t="s">
        <v>2127</v>
      </c>
      <c r="AA343" t="s">
        <v>2066</v>
      </c>
      <c r="AB343">
        <v>9</v>
      </c>
    </row>
    <row r="344" spans="1:28" x14ac:dyDescent="0.3">
      <c r="A344" t="s">
        <v>1457</v>
      </c>
      <c r="B344" t="s">
        <v>273</v>
      </c>
      <c r="C344" t="s">
        <v>1458</v>
      </c>
      <c r="D344" t="s">
        <v>2253</v>
      </c>
      <c r="E344">
        <v>30</v>
      </c>
      <c r="F344" t="s">
        <v>29</v>
      </c>
      <c r="G344" t="s">
        <v>220</v>
      </c>
      <c r="H344" t="s">
        <v>1459</v>
      </c>
      <c r="I344" t="s">
        <v>1460</v>
      </c>
      <c r="J344" t="s">
        <v>1552</v>
      </c>
      <c r="K344" s="14">
        <v>45423</v>
      </c>
      <c r="L344" t="s">
        <v>1553</v>
      </c>
      <c r="M344" t="s">
        <v>518</v>
      </c>
      <c r="N344">
        <v>441.03</v>
      </c>
      <c r="O344">
        <v>2</v>
      </c>
      <c r="P344" t="s">
        <v>63</v>
      </c>
      <c r="Q344">
        <v>4</v>
      </c>
      <c r="R344">
        <v>55</v>
      </c>
      <c r="S344">
        <v>45429</v>
      </c>
      <c r="T344" t="s">
        <v>1554</v>
      </c>
      <c r="U344">
        <v>6</v>
      </c>
      <c r="V344">
        <v>882.06</v>
      </c>
      <c r="W344">
        <v>0</v>
      </c>
      <c r="X344">
        <v>882.06</v>
      </c>
      <c r="Y344">
        <v>882.06</v>
      </c>
      <c r="Z344" t="s">
        <v>2149</v>
      </c>
      <c r="AA344" t="s">
        <v>2061</v>
      </c>
      <c r="AB344">
        <v>5</v>
      </c>
    </row>
    <row r="345" spans="1:28" x14ac:dyDescent="0.3">
      <c r="A345" t="s">
        <v>750</v>
      </c>
      <c r="B345" t="s">
        <v>751</v>
      </c>
      <c r="C345" t="s">
        <v>752</v>
      </c>
      <c r="D345" t="s">
        <v>2230</v>
      </c>
      <c r="E345">
        <v>43</v>
      </c>
      <c r="F345" t="s">
        <v>52</v>
      </c>
      <c r="G345" t="s">
        <v>159</v>
      </c>
      <c r="H345" t="s">
        <v>753</v>
      </c>
      <c r="I345" t="s">
        <v>754</v>
      </c>
      <c r="J345" t="s">
        <v>1555</v>
      </c>
      <c r="K345" s="14">
        <v>44966</v>
      </c>
      <c r="L345" t="s">
        <v>1556</v>
      </c>
      <c r="M345" t="s">
        <v>481</v>
      </c>
      <c r="N345">
        <v>87.09</v>
      </c>
      <c r="O345">
        <v>5</v>
      </c>
      <c r="P345" t="s">
        <v>63</v>
      </c>
      <c r="Q345">
        <v>7</v>
      </c>
      <c r="R345">
        <v>56</v>
      </c>
      <c r="S345">
        <v>44971</v>
      </c>
      <c r="T345" t="s">
        <v>1557</v>
      </c>
      <c r="U345">
        <v>5</v>
      </c>
      <c r="V345">
        <v>435.45000000000005</v>
      </c>
      <c r="W345">
        <v>0</v>
      </c>
      <c r="X345">
        <v>435.45000000000005</v>
      </c>
      <c r="Y345">
        <v>435.45000000000005</v>
      </c>
      <c r="Z345" t="s">
        <v>2126</v>
      </c>
      <c r="AA345" t="s">
        <v>2057</v>
      </c>
      <c r="AB345">
        <v>2</v>
      </c>
    </row>
    <row r="346" spans="1:28" x14ac:dyDescent="0.3">
      <c r="A346" t="s">
        <v>236</v>
      </c>
      <c r="B346" t="s">
        <v>66</v>
      </c>
      <c r="C346" t="s">
        <v>237</v>
      </c>
      <c r="D346" t="s">
        <v>2184</v>
      </c>
      <c r="E346">
        <v>52</v>
      </c>
      <c r="F346" t="s">
        <v>52</v>
      </c>
      <c r="G346" t="s">
        <v>42</v>
      </c>
      <c r="H346" t="s">
        <v>238</v>
      </c>
      <c r="I346" t="s">
        <v>239</v>
      </c>
      <c r="J346" t="s">
        <v>1558</v>
      </c>
      <c r="K346" s="14">
        <v>45303</v>
      </c>
      <c r="L346" t="s">
        <v>1559</v>
      </c>
      <c r="M346" t="s">
        <v>182</v>
      </c>
      <c r="N346">
        <v>104.18</v>
      </c>
      <c r="O346">
        <v>4</v>
      </c>
      <c r="P346" t="s">
        <v>63</v>
      </c>
      <c r="Q346">
        <v>3</v>
      </c>
      <c r="R346">
        <v>40</v>
      </c>
      <c r="S346">
        <v>45308</v>
      </c>
      <c r="T346" t="s">
        <v>1560</v>
      </c>
      <c r="U346">
        <v>5</v>
      </c>
      <c r="V346">
        <v>416.72</v>
      </c>
      <c r="W346">
        <v>0</v>
      </c>
      <c r="X346">
        <v>416.72</v>
      </c>
      <c r="Y346">
        <v>416.72</v>
      </c>
      <c r="Z346" t="s">
        <v>2080</v>
      </c>
      <c r="AA346" t="s">
        <v>2061</v>
      </c>
      <c r="AB346">
        <v>1</v>
      </c>
    </row>
    <row r="347" spans="1:28" x14ac:dyDescent="0.3">
      <c r="A347" t="s">
        <v>520</v>
      </c>
      <c r="B347" t="s">
        <v>521</v>
      </c>
      <c r="C347" t="s">
        <v>522</v>
      </c>
      <c r="D347" t="s">
        <v>2213</v>
      </c>
      <c r="E347">
        <v>42</v>
      </c>
      <c r="F347" t="s">
        <v>52</v>
      </c>
      <c r="G347" t="s">
        <v>76</v>
      </c>
      <c r="H347" t="s">
        <v>523</v>
      </c>
      <c r="I347" t="s">
        <v>524</v>
      </c>
      <c r="J347" t="s">
        <v>1561</v>
      </c>
      <c r="K347" s="14">
        <v>45666</v>
      </c>
      <c r="L347" t="s">
        <v>1562</v>
      </c>
      <c r="M347" t="s">
        <v>984</v>
      </c>
      <c r="N347">
        <v>33.49</v>
      </c>
      <c r="O347">
        <v>1</v>
      </c>
      <c r="P347" t="s">
        <v>85</v>
      </c>
      <c r="Q347">
        <v>4</v>
      </c>
      <c r="R347">
        <v>61</v>
      </c>
      <c r="S347">
        <v>45668</v>
      </c>
      <c r="T347" t="s">
        <v>1453</v>
      </c>
      <c r="U347">
        <v>2</v>
      </c>
      <c r="V347">
        <v>33.49</v>
      </c>
      <c r="W347">
        <v>0.2</v>
      </c>
      <c r="X347">
        <v>26.792000000000002</v>
      </c>
      <c r="Y347">
        <v>87.792000000000002</v>
      </c>
      <c r="Z347" t="s">
        <v>2109</v>
      </c>
      <c r="AA347" t="s">
        <v>2057</v>
      </c>
      <c r="AB347">
        <v>1</v>
      </c>
    </row>
    <row r="348" spans="1:28" x14ac:dyDescent="0.3">
      <c r="A348" t="s">
        <v>1457</v>
      </c>
      <c r="B348" t="s">
        <v>273</v>
      </c>
      <c r="C348" t="s">
        <v>1458</v>
      </c>
      <c r="D348" t="s">
        <v>2253</v>
      </c>
      <c r="E348">
        <v>30</v>
      </c>
      <c r="F348" t="s">
        <v>29</v>
      </c>
      <c r="G348" t="s">
        <v>220</v>
      </c>
      <c r="H348" t="s">
        <v>1459</v>
      </c>
      <c r="I348" t="s">
        <v>1460</v>
      </c>
      <c r="J348" t="s">
        <v>1563</v>
      </c>
      <c r="K348" s="14">
        <v>45386</v>
      </c>
      <c r="L348" t="s">
        <v>1564</v>
      </c>
      <c r="M348" t="s">
        <v>653</v>
      </c>
      <c r="N348">
        <v>433.62</v>
      </c>
      <c r="O348">
        <v>4</v>
      </c>
      <c r="P348" t="s">
        <v>63</v>
      </c>
      <c r="Q348">
        <v>1</v>
      </c>
      <c r="R348">
        <v>56</v>
      </c>
      <c r="S348">
        <v>45392</v>
      </c>
      <c r="T348" t="s">
        <v>1565</v>
      </c>
      <c r="U348">
        <v>6</v>
      </c>
      <c r="V348">
        <v>1734.48</v>
      </c>
      <c r="W348">
        <v>0</v>
      </c>
      <c r="X348">
        <v>1734.48</v>
      </c>
      <c r="Y348">
        <v>1734.48</v>
      </c>
      <c r="Z348" t="s">
        <v>2149</v>
      </c>
      <c r="AA348" t="s">
        <v>2061</v>
      </c>
      <c r="AB348">
        <v>4</v>
      </c>
    </row>
    <row r="349" spans="1:28" x14ac:dyDescent="0.3">
      <c r="A349" t="s">
        <v>1191</v>
      </c>
      <c r="B349" t="s">
        <v>40</v>
      </c>
      <c r="C349" t="s">
        <v>1192</v>
      </c>
      <c r="D349" t="s">
        <v>2244</v>
      </c>
      <c r="E349">
        <v>34</v>
      </c>
      <c r="F349" t="s">
        <v>52</v>
      </c>
      <c r="G349" t="s">
        <v>220</v>
      </c>
      <c r="H349" t="s">
        <v>1193</v>
      </c>
      <c r="I349" t="s">
        <v>1194</v>
      </c>
      <c r="J349" t="s">
        <v>1566</v>
      </c>
      <c r="K349" s="14">
        <v>45085</v>
      </c>
      <c r="L349" t="s">
        <v>1567</v>
      </c>
      <c r="M349" t="s">
        <v>199</v>
      </c>
      <c r="N349">
        <v>20.7</v>
      </c>
      <c r="O349">
        <v>1</v>
      </c>
      <c r="P349" t="s">
        <v>63</v>
      </c>
      <c r="Q349">
        <v>5</v>
      </c>
      <c r="R349">
        <v>51</v>
      </c>
      <c r="S349">
        <v>45086</v>
      </c>
      <c r="T349" t="s">
        <v>1568</v>
      </c>
      <c r="U349">
        <v>1</v>
      </c>
      <c r="V349">
        <v>20.7</v>
      </c>
      <c r="W349">
        <v>0</v>
      </c>
      <c r="X349">
        <v>20.7</v>
      </c>
      <c r="Y349">
        <v>20.7</v>
      </c>
      <c r="Z349" t="s">
        <v>2140</v>
      </c>
      <c r="AA349" t="s">
        <v>2057</v>
      </c>
      <c r="AB349">
        <v>6</v>
      </c>
    </row>
    <row r="350" spans="1:28" x14ac:dyDescent="0.3">
      <c r="A350" t="s">
        <v>443</v>
      </c>
      <c r="B350" t="s">
        <v>99</v>
      </c>
      <c r="C350" t="s">
        <v>444</v>
      </c>
      <c r="D350" t="s">
        <v>2204</v>
      </c>
      <c r="E350">
        <v>36</v>
      </c>
      <c r="F350" t="s">
        <v>41</v>
      </c>
      <c r="G350" t="s">
        <v>30</v>
      </c>
      <c r="H350" t="s">
        <v>445</v>
      </c>
      <c r="I350" t="s">
        <v>446</v>
      </c>
      <c r="J350" t="s">
        <v>1569</v>
      </c>
      <c r="K350" s="14">
        <v>45028</v>
      </c>
      <c r="L350" t="s">
        <v>1570</v>
      </c>
      <c r="M350" t="s">
        <v>518</v>
      </c>
      <c r="N350">
        <v>441.03</v>
      </c>
      <c r="O350">
        <v>2</v>
      </c>
      <c r="P350" t="s">
        <v>96</v>
      </c>
      <c r="Q350">
        <v>4</v>
      </c>
      <c r="R350">
        <v>60</v>
      </c>
      <c r="S350">
        <v>45033</v>
      </c>
      <c r="T350" t="s">
        <v>1571</v>
      </c>
      <c r="U350">
        <v>5</v>
      </c>
      <c r="V350">
        <v>882.06</v>
      </c>
      <c r="W350">
        <v>0.1</v>
      </c>
      <c r="X350">
        <v>793.85399999999993</v>
      </c>
      <c r="Y350">
        <v>853.85399999999993</v>
      </c>
      <c r="Z350" t="s">
        <v>2100</v>
      </c>
      <c r="AA350" t="s">
        <v>2061</v>
      </c>
      <c r="AB350">
        <v>4</v>
      </c>
    </row>
    <row r="351" spans="1:28" x14ac:dyDescent="0.3">
      <c r="A351" t="s">
        <v>1210</v>
      </c>
      <c r="B351" t="s">
        <v>1211</v>
      </c>
      <c r="C351" t="s">
        <v>1212</v>
      </c>
      <c r="D351" t="s">
        <v>2245</v>
      </c>
      <c r="E351">
        <v>50</v>
      </c>
      <c r="F351" t="s">
        <v>52</v>
      </c>
      <c r="G351" t="s">
        <v>168</v>
      </c>
      <c r="H351" t="s">
        <v>1213</v>
      </c>
      <c r="I351" t="s">
        <v>1214</v>
      </c>
      <c r="J351" t="s">
        <v>1572</v>
      </c>
      <c r="K351" s="14">
        <v>45183</v>
      </c>
      <c r="L351" t="s">
        <v>1573</v>
      </c>
      <c r="M351" t="s">
        <v>653</v>
      </c>
      <c r="N351">
        <v>433.62</v>
      </c>
      <c r="O351">
        <v>2</v>
      </c>
      <c r="P351" t="s">
        <v>63</v>
      </c>
      <c r="Q351">
        <v>1</v>
      </c>
      <c r="R351">
        <v>46</v>
      </c>
      <c r="S351">
        <v>45186</v>
      </c>
      <c r="T351" t="s">
        <v>1574</v>
      </c>
      <c r="U351">
        <v>3</v>
      </c>
      <c r="V351">
        <v>867.24</v>
      </c>
      <c r="W351">
        <v>0</v>
      </c>
      <c r="X351">
        <v>867.24</v>
      </c>
      <c r="Y351">
        <v>867.24</v>
      </c>
      <c r="Z351" t="s">
        <v>2141</v>
      </c>
      <c r="AA351" t="s">
        <v>2061</v>
      </c>
      <c r="AB351">
        <v>9</v>
      </c>
    </row>
    <row r="352" spans="1:28" x14ac:dyDescent="0.3">
      <c r="A352" t="s">
        <v>209</v>
      </c>
      <c r="B352" t="s">
        <v>210</v>
      </c>
      <c r="C352" t="s">
        <v>211</v>
      </c>
      <c r="D352" t="s">
        <v>2181</v>
      </c>
      <c r="E352">
        <v>39</v>
      </c>
      <c r="F352" t="s">
        <v>41</v>
      </c>
      <c r="G352" t="s">
        <v>159</v>
      </c>
      <c r="H352" t="s">
        <v>212</v>
      </c>
      <c r="I352" t="s">
        <v>213</v>
      </c>
      <c r="J352" t="s">
        <v>1575</v>
      </c>
      <c r="K352" s="14">
        <v>45387</v>
      </c>
      <c r="L352" t="s">
        <v>1576</v>
      </c>
      <c r="M352" t="s">
        <v>686</v>
      </c>
      <c r="N352">
        <v>424.82</v>
      </c>
      <c r="O352">
        <v>5</v>
      </c>
      <c r="P352" t="s">
        <v>96</v>
      </c>
      <c r="Q352">
        <v>7</v>
      </c>
      <c r="R352">
        <v>37</v>
      </c>
      <c r="S352">
        <v>45393</v>
      </c>
      <c r="T352" t="s">
        <v>1577</v>
      </c>
      <c r="U352">
        <v>6</v>
      </c>
      <c r="V352">
        <v>2124.1</v>
      </c>
      <c r="W352">
        <v>0.1</v>
      </c>
      <c r="X352">
        <v>1911.6899999999998</v>
      </c>
      <c r="Y352">
        <v>1948.6899999999998</v>
      </c>
      <c r="Z352" t="s">
        <v>2077</v>
      </c>
      <c r="AA352" t="s">
        <v>2057</v>
      </c>
      <c r="AB352">
        <v>4</v>
      </c>
    </row>
    <row r="353" spans="1:28" x14ac:dyDescent="0.3">
      <c r="A353" t="s">
        <v>671</v>
      </c>
      <c r="B353" t="s">
        <v>672</v>
      </c>
      <c r="C353" t="s">
        <v>673</v>
      </c>
      <c r="D353" t="s">
        <v>2223</v>
      </c>
      <c r="E353">
        <v>38</v>
      </c>
      <c r="F353" t="s">
        <v>41</v>
      </c>
      <c r="G353" t="s">
        <v>220</v>
      </c>
      <c r="H353" t="s">
        <v>674</v>
      </c>
      <c r="I353" t="s">
        <v>675</v>
      </c>
      <c r="J353" t="s">
        <v>1578</v>
      </c>
      <c r="K353" s="14">
        <v>45496</v>
      </c>
      <c r="L353" t="s">
        <v>1579</v>
      </c>
      <c r="M353" t="s">
        <v>653</v>
      </c>
      <c r="N353">
        <v>433.62</v>
      </c>
      <c r="O353">
        <v>3</v>
      </c>
      <c r="P353" t="s">
        <v>96</v>
      </c>
      <c r="Q353">
        <v>2</v>
      </c>
      <c r="R353">
        <v>39</v>
      </c>
      <c r="S353">
        <v>45499</v>
      </c>
      <c r="T353" t="s">
        <v>1580</v>
      </c>
      <c r="U353">
        <v>3</v>
      </c>
      <c r="V353">
        <v>1300.8600000000001</v>
      </c>
      <c r="W353">
        <v>0.1</v>
      </c>
      <c r="X353">
        <v>1170.7740000000001</v>
      </c>
      <c r="Y353">
        <v>1209.7740000000001</v>
      </c>
      <c r="Z353" t="s">
        <v>2119</v>
      </c>
      <c r="AA353" t="s">
        <v>2061</v>
      </c>
      <c r="AB353">
        <v>7</v>
      </c>
    </row>
    <row r="354" spans="1:28" x14ac:dyDescent="0.3">
      <c r="A354" t="s">
        <v>847</v>
      </c>
      <c r="B354" t="s">
        <v>848</v>
      </c>
      <c r="C354" t="s">
        <v>387</v>
      </c>
      <c r="D354" t="s">
        <v>2236</v>
      </c>
      <c r="E354">
        <v>37</v>
      </c>
      <c r="F354" t="s">
        <v>52</v>
      </c>
      <c r="G354" t="s">
        <v>220</v>
      </c>
      <c r="H354" t="s">
        <v>849</v>
      </c>
      <c r="I354" t="s">
        <v>850</v>
      </c>
      <c r="J354" t="s">
        <v>1581</v>
      </c>
      <c r="K354" s="14">
        <v>45187</v>
      </c>
      <c r="L354" t="s">
        <v>1582</v>
      </c>
      <c r="M354" t="s">
        <v>657</v>
      </c>
      <c r="N354">
        <v>235.63</v>
      </c>
      <c r="O354">
        <v>1</v>
      </c>
      <c r="P354" t="s">
        <v>85</v>
      </c>
      <c r="Q354">
        <v>5</v>
      </c>
      <c r="R354">
        <v>59</v>
      </c>
      <c r="S354">
        <v>45192</v>
      </c>
      <c r="T354" t="s">
        <v>1583</v>
      </c>
      <c r="U354">
        <v>5</v>
      </c>
      <c r="V354">
        <v>235.63</v>
      </c>
      <c r="W354">
        <v>0.2</v>
      </c>
      <c r="X354">
        <v>188.50399999999999</v>
      </c>
      <c r="Y354">
        <v>247.50399999999999</v>
      </c>
      <c r="Z354" t="s">
        <v>2132</v>
      </c>
      <c r="AA354" t="s">
        <v>2066</v>
      </c>
      <c r="AB354">
        <v>9</v>
      </c>
    </row>
    <row r="355" spans="1:28" x14ac:dyDescent="0.3">
      <c r="A355" t="s">
        <v>1342</v>
      </c>
      <c r="B355" t="s">
        <v>508</v>
      </c>
      <c r="C355" t="s">
        <v>1343</v>
      </c>
      <c r="D355" t="s">
        <v>2252</v>
      </c>
      <c r="E355">
        <v>40</v>
      </c>
      <c r="F355" t="s">
        <v>52</v>
      </c>
      <c r="G355" t="s">
        <v>220</v>
      </c>
      <c r="H355" t="s">
        <v>1344</v>
      </c>
      <c r="I355" t="s">
        <v>1345</v>
      </c>
      <c r="J355" t="s">
        <v>1584</v>
      </c>
      <c r="K355" s="14">
        <v>45190</v>
      </c>
      <c r="L355" t="s">
        <v>1585</v>
      </c>
      <c r="M355" t="s">
        <v>495</v>
      </c>
      <c r="N355">
        <v>421.7</v>
      </c>
      <c r="O355">
        <v>5</v>
      </c>
      <c r="P355" t="s">
        <v>58</v>
      </c>
      <c r="Q355">
        <v>6</v>
      </c>
      <c r="R355">
        <v>58</v>
      </c>
      <c r="S355">
        <v>45197</v>
      </c>
      <c r="T355" t="s">
        <v>1586</v>
      </c>
      <c r="U355">
        <v>7</v>
      </c>
      <c r="V355">
        <v>2108.5</v>
      </c>
      <c r="W355">
        <v>0.15</v>
      </c>
      <c r="X355">
        <v>1792.2249999999999</v>
      </c>
      <c r="Y355">
        <v>1850.2249999999999</v>
      </c>
      <c r="Z355" t="s">
        <v>2148</v>
      </c>
      <c r="AA355" t="s">
        <v>2061</v>
      </c>
      <c r="AB355">
        <v>9</v>
      </c>
    </row>
    <row r="356" spans="1:28" x14ac:dyDescent="0.3">
      <c r="A356" t="s">
        <v>500</v>
      </c>
      <c r="B356" t="s">
        <v>501</v>
      </c>
      <c r="C356" t="s">
        <v>387</v>
      </c>
      <c r="D356" t="s">
        <v>2211</v>
      </c>
      <c r="E356">
        <v>57</v>
      </c>
      <c r="F356" t="s">
        <v>41</v>
      </c>
      <c r="G356" t="s">
        <v>220</v>
      </c>
      <c r="H356" t="s">
        <v>502</v>
      </c>
      <c r="I356" t="s">
        <v>503</v>
      </c>
      <c r="J356" t="s">
        <v>1587</v>
      </c>
      <c r="K356" s="14">
        <v>45479</v>
      </c>
      <c r="L356" t="s">
        <v>1588</v>
      </c>
      <c r="M356" t="s">
        <v>340</v>
      </c>
      <c r="N356">
        <v>77.84</v>
      </c>
      <c r="O356">
        <v>4</v>
      </c>
      <c r="P356" t="s">
        <v>85</v>
      </c>
      <c r="Q356">
        <v>2</v>
      </c>
      <c r="R356">
        <v>59</v>
      </c>
      <c r="S356">
        <v>45485</v>
      </c>
      <c r="T356" t="s">
        <v>1589</v>
      </c>
      <c r="U356">
        <v>6</v>
      </c>
      <c r="V356">
        <v>311.36</v>
      </c>
      <c r="W356">
        <v>0.2</v>
      </c>
      <c r="X356">
        <v>249.08800000000002</v>
      </c>
      <c r="Y356">
        <v>308.08800000000002</v>
      </c>
      <c r="Z356" t="s">
        <v>2107</v>
      </c>
      <c r="AA356" t="s">
        <v>2061</v>
      </c>
      <c r="AB356">
        <v>7</v>
      </c>
    </row>
    <row r="357" spans="1:28" x14ac:dyDescent="0.3">
      <c r="A357" t="s">
        <v>1238</v>
      </c>
      <c r="B357" t="s">
        <v>1239</v>
      </c>
      <c r="C357" t="s">
        <v>1240</v>
      </c>
      <c r="D357" t="s">
        <v>2247</v>
      </c>
      <c r="E357">
        <v>55</v>
      </c>
      <c r="F357" t="s">
        <v>41</v>
      </c>
      <c r="G357" t="s">
        <v>159</v>
      </c>
      <c r="H357" t="s">
        <v>1241</v>
      </c>
      <c r="I357" t="s">
        <v>1242</v>
      </c>
      <c r="J357" t="s">
        <v>1590</v>
      </c>
      <c r="K357" s="14">
        <v>44982</v>
      </c>
      <c r="L357" t="s">
        <v>1591</v>
      </c>
      <c r="M357" t="s">
        <v>481</v>
      </c>
      <c r="N357">
        <v>87.09</v>
      </c>
      <c r="O357">
        <v>2</v>
      </c>
      <c r="P357" t="s">
        <v>58</v>
      </c>
      <c r="Q357">
        <v>3</v>
      </c>
      <c r="R357">
        <v>62</v>
      </c>
      <c r="S357">
        <v>44987</v>
      </c>
      <c r="T357" t="s">
        <v>1592</v>
      </c>
      <c r="U357">
        <v>5</v>
      </c>
      <c r="V357">
        <v>174.18</v>
      </c>
      <c r="W357">
        <v>0.15</v>
      </c>
      <c r="X357">
        <v>148.053</v>
      </c>
      <c r="Y357">
        <v>210.053</v>
      </c>
      <c r="Z357" t="s">
        <v>2143</v>
      </c>
      <c r="AA357" t="s">
        <v>2061</v>
      </c>
      <c r="AB357">
        <v>2</v>
      </c>
    </row>
    <row r="358" spans="1:28" x14ac:dyDescent="0.3">
      <c r="A358" t="s">
        <v>1318</v>
      </c>
      <c r="B358" t="s">
        <v>1319</v>
      </c>
      <c r="C358" t="s">
        <v>1320</v>
      </c>
      <c r="D358" t="s">
        <v>2250</v>
      </c>
      <c r="E358">
        <v>43</v>
      </c>
      <c r="F358" t="s">
        <v>29</v>
      </c>
      <c r="G358" t="s">
        <v>140</v>
      </c>
      <c r="H358" t="s">
        <v>1321</v>
      </c>
      <c r="I358" t="s">
        <v>1322</v>
      </c>
      <c r="J358" t="s">
        <v>1593</v>
      </c>
      <c r="K358" s="14">
        <v>45397</v>
      </c>
      <c r="L358" t="s">
        <v>1594</v>
      </c>
      <c r="M358" t="s">
        <v>182</v>
      </c>
      <c r="N358">
        <v>104.18</v>
      </c>
      <c r="O358">
        <v>3</v>
      </c>
      <c r="P358" t="s">
        <v>96</v>
      </c>
      <c r="Q358">
        <v>6</v>
      </c>
      <c r="R358">
        <v>60</v>
      </c>
      <c r="S358">
        <v>45398</v>
      </c>
      <c r="T358" t="s">
        <v>1595</v>
      </c>
      <c r="U358">
        <v>1</v>
      </c>
      <c r="V358">
        <v>312.54000000000002</v>
      </c>
      <c r="W358">
        <v>0.1</v>
      </c>
      <c r="X358">
        <v>281.286</v>
      </c>
      <c r="Y358">
        <v>341.286</v>
      </c>
      <c r="Z358" t="s">
        <v>2146</v>
      </c>
      <c r="AA358" t="s">
        <v>2057</v>
      </c>
      <c r="AB358">
        <v>4</v>
      </c>
    </row>
    <row r="359" spans="1:28" x14ac:dyDescent="0.3">
      <c r="A359" t="s">
        <v>823</v>
      </c>
      <c r="B359" t="s">
        <v>824</v>
      </c>
      <c r="C359" t="s">
        <v>825</v>
      </c>
      <c r="D359" t="s">
        <v>2233</v>
      </c>
      <c r="E359">
        <v>42</v>
      </c>
      <c r="F359" t="s">
        <v>29</v>
      </c>
      <c r="G359" t="s">
        <v>76</v>
      </c>
      <c r="H359" t="s">
        <v>826</v>
      </c>
      <c r="I359" t="s">
        <v>827</v>
      </c>
      <c r="J359" t="s">
        <v>1596</v>
      </c>
      <c r="K359" s="14">
        <v>45474</v>
      </c>
      <c r="L359" t="s">
        <v>1597</v>
      </c>
      <c r="M359" t="s">
        <v>941</v>
      </c>
      <c r="N359">
        <v>107.47</v>
      </c>
      <c r="O359">
        <v>3</v>
      </c>
      <c r="P359" t="s">
        <v>63</v>
      </c>
      <c r="Q359">
        <v>4</v>
      </c>
      <c r="R359">
        <v>63</v>
      </c>
      <c r="S359">
        <v>45481</v>
      </c>
      <c r="T359" t="s">
        <v>1598</v>
      </c>
      <c r="U359">
        <v>7</v>
      </c>
      <c r="V359">
        <v>322.40999999999997</v>
      </c>
      <c r="W359">
        <v>0</v>
      </c>
      <c r="X359">
        <v>322.40999999999997</v>
      </c>
      <c r="Y359">
        <v>322.40999999999997</v>
      </c>
      <c r="Z359" t="s">
        <v>2129</v>
      </c>
      <c r="AA359" t="s">
        <v>2061</v>
      </c>
      <c r="AB359">
        <v>7</v>
      </c>
    </row>
    <row r="360" spans="1:28" x14ac:dyDescent="0.3">
      <c r="A360" t="s">
        <v>1079</v>
      </c>
      <c r="B360" t="s">
        <v>218</v>
      </c>
      <c r="C360" t="s">
        <v>1080</v>
      </c>
      <c r="D360" t="s">
        <v>2241</v>
      </c>
      <c r="E360">
        <v>55</v>
      </c>
      <c r="F360" t="s">
        <v>41</v>
      </c>
      <c r="G360" t="s">
        <v>159</v>
      </c>
      <c r="H360" t="s">
        <v>1081</v>
      </c>
      <c r="I360" t="s">
        <v>1082</v>
      </c>
      <c r="J360" t="s">
        <v>1599</v>
      </c>
      <c r="K360" s="14">
        <v>45045</v>
      </c>
      <c r="L360" t="s">
        <v>1600</v>
      </c>
      <c r="M360" t="s">
        <v>114</v>
      </c>
      <c r="N360">
        <v>48.45</v>
      </c>
      <c r="O360">
        <v>3</v>
      </c>
      <c r="P360" t="s">
        <v>63</v>
      </c>
      <c r="Q360">
        <v>6</v>
      </c>
      <c r="R360">
        <v>58</v>
      </c>
      <c r="S360">
        <v>45046</v>
      </c>
      <c r="T360" t="s">
        <v>1601</v>
      </c>
      <c r="U360">
        <v>1</v>
      </c>
      <c r="V360">
        <v>145.35000000000002</v>
      </c>
      <c r="W360">
        <v>0</v>
      </c>
      <c r="X360">
        <v>145.35000000000002</v>
      </c>
      <c r="Y360">
        <v>145.35000000000002</v>
      </c>
      <c r="Z360" t="s">
        <v>2137</v>
      </c>
      <c r="AA360" t="s">
        <v>2057</v>
      </c>
      <c r="AB360">
        <v>4</v>
      </c>
    </row>
    <row r="361" spans="1:28" x14ac:dyDescent="0.3">
      <c r="A361" t="s">
        <v>435</v>
      </c>
      <c r="B361" t="s">
        <v>436</v>
      </c>
      <c r="C361" t="s">
        <v>437</v>
      </c>
      <c r="D361" t="s">
        <v>2203</v>
      </c>
      <c r="E361">
        <v>28</v>
      </c>
      <c r="F361" t="s">
        <v>52</v>
      </c>
      <c r="G361" t="s">
        <v>76</v>
      </c>
      <c r="H361" t="s">
        <v>438</v>
      </c>
      <c r="I361" t="s">
        <v>439</v>
      </c>
      <c r="J361" t="s">
        <v>1602</v>
      </c>
      <c r="K361" s="14">
        <v>45600</v>
      </c>
      <c r="L361" t="s">
        <v>1603</v>
      </c>
      <c r="M361" t="s">
        <v>126</v>
      </c>
      <c r="N361">
        <v>257.06</v>
      </c>
      <c r="O361">
        <v>4</v>
      </c>
      <c r="P361" t="s">
        <v>96</v>
      </c>
      <c r="Q361">
        <v>6</v>
      </c>
      <c r="R361">
        <v>69</v>
      </c>
      <c r="S361">
        <v>45603</v>
      </c>
      <c r="T361" t="s">
        <v>1604</v>
      </c>
      <c r="U361">
        <v>3</v>
      </c>
      <c r="V361">
        <v>1028.24</v>
      </c>
      <c r="W361">
        <v>0.1</v>
      </c>
      <c r="X361">
        <v>925.41599999999994</v>
      </c>
      <c r="Y361">
        <v>994.41599999999994</v>
      </c>
      <c r="Z361" t="s">
        <v>2099</v>
      </c>
      <c r="AA361" t="s">
        <v>2057</v>
      </c>
      <c r="AB361">
        <v>11</v>
      </c>
    </row>
    <row r="362" spans="1:28" x14ac:dyDescent="0.3">
      <c r="A362" t="s">
        <v>546</v>
      </c>
      <c r="B362" t="s">
        <v>547</v>
      </c>
      <c r="C362" t="s">
        <v>548</v>
      </c>
      <c r="D362" t="s">
        <v>2216</v>
      </c>
      <c r="E362">
        <v>33</v>
      </c>
      <c r="F362" t="s">
        <v>52</v>
      </c>
      <c r="G362" t="s">
        <v>168</v>
      </c>
      <c r="H362" t="s">
        <v>549</v>
      </c>
      <c r="I362" t="s">
        <v>550</v>
      </c>
      <c r="J362" t="s">
        <v>1605</v>
      </c>
      <c r="K362" s="14">
        <v>45553</v>
      </c>
      <c r="L362" t="s">
        <v>1606</v>
      </c>
      <c r="M362" t="s">
        <v>590</v>
      </c>
      <c r="N362">
        <v>403.03</v>
      </c>
      <c r="O362">
        <v>4</v>
      </c>
      <c r="P362" t="s">
        <v>96</v>
      </c>
      <c r="Q362">
        <v>7</v>
      </c>
      <c r="R362">
        <v>65</v>
      </c>
      <c r="S362">
        <v>45556</v>
      </c>
      <c r="T362" t="s">
        <v>1607</v>
      </c>
      <c r="U362">
        <v>3</v>
      </c>
      <c r="V362">
        <v>1612.12</v>
      </c>
      <c r="W362">
        <v>0.1</v>
      </c>
      <c r="X362">
        <v>1450.9079999999999</v>
      </c>
      <c r="Y362">
        <v>1515.9079999999999</v>
      </c>
      <c r="Z362" t="s">
        <v>2112</v>
      </c>
      <c r="AA362" t="s">
        <v>2057</v>
      </c>
      <c r="AB362">
        <v>9</v>
      </c>
    </row>
    <row r="363" spans="1:28" x14ac:dyDescent="0.3">
      <c r="A363" t="s">
        <v>671</v>
      </c>
      <c r="B363" t="s">
        <v>672</v>
      </c>
      <c r="C363" t="s">
        <v>673</v>
      </c>
      <c r="D363" t="s">
        <v>2223</v>
      </c>
      <c r="E363">
        <v>38</v>
      </c>
      <c r="F363" t="s">
        <v>41</v>
      </c>
      <c r="G363" t="s">
        <v>220</v>
      </c>
      <c r="H363" t="s">
        <v>674</v>
      </c>
      <c r="I363" t="s">
        <v>675</v>
      </c>
      <c r="J363" t="s">
        <v>1608</v>
      </c>
      <c r="K363" s="14">
        <v>45059</v>
      </c>
      <c r="L363" t="s">
        <v>1609</v>
      </c>
      <c r="M363" t="s">
        <v>114</v>
      </c>
      <c r="N363">
        <v>48.45</v>
      </c>
      <c r="O363">
        <v>1</v>
      </c>
      <c r="P363" t="s">
        <v>96</v>
      </c>
      <c r="Q363">
        <v>2</v>
      </c>
      <c r="R363">
        <v>41</v>
      </c>
      <c r="S363">
        <v>45062</v>
      </c>
      <c r="T363" t="s">
        <v>1610</v>
      </c>
      <c r="U363">
        <v>3</v>
      </c>
      <c r="V363">
        <v>48.45</v>
      </c>
      <c r="W363">
        <v>0.1</v>
      </c>
      <c r="X363">
        <v>43.605000000000004</v>
      </c>
      <c r="Y363">
        <v>84.605000000000004</v>
      </c>
      <c r="Z363" t="s">
        <v>2119</v>
      </c>
      <c r="AA363" t="s">
        <v>2061</v>
      </c>
      <c r="AB363">
        <v>5</v>
      </c>
    </row>
    <row r="364" spans="1:28" x14ac:dyDescent="0.3">
      <c r="A364" t="s">
        <v>679</v>
      </c>
      <c r="B364" t="s">
        <v>680</v>
      </c>
      <c r="C364" t="s">
        <v>681</v>
      </c>
      <c r="D364" t="s">
        <v>2224</v>
      </c>
      <c r="E364">
        <v>68</v>
      </c>
      <c r="F364" t="s">
        <v>29</v>
      </c>
      <c r="G364" t="s">
        <v>220</v>
      </c>
      <c r="H364" t="s">
        <v>682</v>
      </c>
      <c r="I364" t="s">
        <v>683</v>
      </c>
      <c r="J364" t="s">
        <v>1611</v>
      </c>
      <c r="K364" s="14">
        <v>45007</v>
      </c>
      <c r="L364" t="s">
        <v>1612</v>
      </c>
      <c r="M364" t="s">
        <v>418</v>
      </c>
      <c r="N364">
        <v>44.5</v>
      </c>
      <c r="O364">
        <v>5</v>
      </c>
      <c r="P364" t="s">
        <v>96</v>
      </c>
      <c r="Q364">
        <v>4</v>
      </c>
      <c r="R364">
        <v>55</v>
      </c>
      <c r="S364">
        <v>45012</v>
      </c>
      <c r="T364" t="s">
        <v>1613</v>
      </c>
      <c r="U364">
        <v>5</v>
      </c>
      <c r="V364">
        <v>222.5</v>
      </c>
      <c r="W364">
        <v>0.1</v>
      </c>
      <c r="X364">
        <v>200.25</v>
      </c>
      <c r="Y364">
        <v>255.25</v>
      </c>
      <c r="Z364" t="s">
        <v>2120</v>
      </c>
      <c r="AA364" t="s">
        <v>2061</v>
      </c>
      <c r="AB364">
        <v>3</v>
      </c>
    </row>
    <row r="365" spans="1:28" x14ac:dyDescent="0.3">
      <c r="A365" t="s">
        <v>1614</v>
      </c>
      <c r="B365" t="s">
        <v>273</v>
      </c>
      <c r="C365" t="s">
        <v>1615</v>
      </c>
      <c r="D365" t="s">
        <v>2255</v>
      </c>
      <c r="E365">
        <v>62</v>
      </c>
      <c r="F365" t="s">
        <v>41</v>
      </c>
      <c r="G365" t="s">
        <v>42</v>
      </c>
      <c r="H365" t="s">
        <v>1616</v>
      </c>
      <c r="I365" t="s">
        <v>1617</v>
      </c>
      <c r="J365" t="s">
        <v>1618</v>
      </c>
      <c r="K365" s="14">
        <v>45678</v>
      </c>
      <c r="L365" t="s">
        <v>1619</v>
      </c>
      <c r="M365" t="s">
        <v>250</v>
      </c>
      <c r="N365">
        <v>128.13999999999999</v>
      </c>
      <c r="O365">
        <v>5</v>
      </c>
      <c r="P365" t="s">
        <v>85</v>
      </c>
      <c r="Q365">
        <v>7</v>
      </c>
      <c r="R365">
        <v>68</v>
      </c>
      <c r="S365">
        <v>45685</v>
      </c>
      <c r="T365" t="s">
        <v>1620</v>
      </c>
      <c r="U365">
        <v>7</v>
      </c>
      <c r="V365">
        <v>640.69999999999993</v>
      </c>
      <c r="W365">
        <v>0.2</v>
      </c>
      <c r="X365">
        <v>512.55999999999995</v>
      </c>
      <c r="Y365">
        <v>580.55999999999995</v>
      </c>
      <c r="Z365" t="s">
        <v>2151</v>
      </c>
      <c r="AA365" t="s">
        <v>2066</v>
      </c>
      <c r="AB365">
        <v>1</v>
      </c>
    </row>
    <row r="366" spans="1:28" x14ac:dyDescent="0.3">
      <c r="A366" t="s">
        <v>750</v>
      </c>
      <c r="B366" t="s">
        <v>751</v>
      </c>
      <c r="C366" t="s">
        <v>752</v>
      </c>
      <c r="D366" t="s">
        <v>2230</v>
      </c>
      <c r="E366">
        <v>43</v>
      </c>
      <c r="F366" t="s">
        <v>52</v>
      </c>
      <c r="G366" t="s">
        <v>159</v>
      </c>
      <c r="H366" t="s">
        <v>753</v>
      </c>
      <c r="I366" t="s">
        <v>754</v>
      </c>
      <c r="J366" t="s">
        <v>1621</v>
      </c>
      <c r="K366" s="14">
        <v>44978</v>
      </c>
      <c r="L366" t="s">
        <v>1622</v>
      </c>
      <c r="M366" t="s">
        <v>430</v>
      </c>
      <c r="N366">
        <v>369.03</v>
      </c>
      <c r="O366">
        <v>2</v>
      </c>
      <c r="P366" t="s">
        <v>96</v>
      </c>
      <c r="Q366">
        <v>6</v>
      </c>
      <c r="R366">
        <v>55</v>
      </c>
      <c r="S366">
        <v>44981</v>
      </c>
      <c r="T366" t="s">
        <v>1623</v>
      </c>
      <c r="U366">
        <v>3</v>
      </c>
      <c r="V366">
        <v>738.06</v>
      </c>
      <c r="W366">
        <v>0.1</v>
      </c>
      <c r="X366">
        <v>664.25399999999991</v>
      </c>
      <c r="Y366">
        <v>719.25399999999991</v>
      </c>
      <c r="Z366" t="s">
        <v>2126</v>
      </c>
      <c r="AA366" t="s">
        <v>2057</v>
      </c>
      <c r="AB366">
        <v>2</v>
      </c>
    </row>
    <row r="367" spans="1:28" x14ac:dyDescent="0.3">
      <c r="A367" t="s">
        <v>1238</v>
      </c>
      <c r="B367" t="s">
        <v>1239</v>
      </c>
      <c r="C367" t="s">
        <v>1240</v>
      </c>
      <c r="D367" t="s">
        <v>2247</v>
      </c>
      <c r="E367">
        <v>55</v>
      </c>
      <c r="F367" t="s">
        <v>41</v>
      </c>
      <c r="G367" t="s">
        <v>159</v>
      </c>
      <c r="H367" t="s">
        <v>1241</v>
      </c>
      <c r="I367" t="s">
        <v>1242</v>
      </c>
      <c r="J367" t="s">
        <v>1624</v>
      </c>
      <c r="K367" s="14">
        <v>45421</v>
      </c>
      <c r="L367" t="s">
        <v>1625</v>
      </c>
      <c r="M367" t="s">
        <v>126</v>
      </c>
      <c r="N367">
        <v>257.06</v>
      </c>
      <c r="O367">
        <v>1</v>
      </c>
      <c r="P367" t="s">
        <v>85</v>
      </c>
      <c r="Q367">
        <v>4</v>
      </c>
      <c r="R367">
        <v>42</v>
      </c>
      <c r="S367">
        <v>45423</v>
      </c>
      <c r="T367" t="s">
        <v>1626</v>
      </c>
      <c r="U367">
        <v>2</v>
      </c>
      <c r="V367">
        <v>257.06</v>
      </c>
      <c r="W367">
        <v>0.2</v>
      </c>
      <c r="X367">
        <v>205.648</v>
      </c>
      <c r="Y367">
        <v>247.648</v>
      </c>
      <c r="Z367" t="s">
        <v>2143</v>
      </c>
      <c r="AA367" t="s">
        <v>2057</v>
      </c>
      <c r="AB367">
        <v>5</v>
      </c>
    </row>
    <row r="368" spans="1:28" x14ac:dyDescent="0.3">
      <c r="A368" t="s">
        <v>201</v>
      </c>
      <c r="B368" t="s">
        <v>202</v>
      </c>
      <c r="C368" t="s">
        <v>203</v>
      </c>
      <c r="D368" t="s">
        <v>2180</v>
      </c>
      <c r="E368">
        <v>23</v>
      </c>
      <c r="F368" t="s">
        <v>29</v>
      </c>
      <c r="G368" t="s">
        <v>90</v>
      </c>
      <c r="H368" t="s">
        <v>204</v>
      </c>
      <c r="I368" t="s">
        <v>205</v>
      </c>
      <c r="J368" t="s">
        <v>1627</v>
      </c>
      <c r="K368" s="14">
        <v>45225</v>
      </c>
      <c r="L368" t="s">
        <v>1628</v>
      </c>
      <c r="M368" t="s">
        <v>871</v>
      </c>
      <c r="N368">
        <v>292.14999999999998</v>
      </c>
      <c r="O368">
        <v>3</v>
      </c>
      <c r="P368" t="s">
        <v>63</v>
      </c>
      <c r="Q368">
        <v>3</v>
      </c>
      <c r="R368">
        <v>51</v>
      </c>
      <c r="S368">
        <v>45227</v>
      </c>
      <c r="T368" t="s">
        <v>1629</v>
      </c>
      <c r="U368">
        <v>2</v>
      </c>
      <c r="V368">
        <v>876.44999999999993</v>
      </c>
      <c r="W368">
        <v>0</v>
      </c>
      <c r="X368">
        <v>876.44999999999993</v>
      </c>
      <c r="Y368">
        <v>876.44999999999993</v>
      </c>
      <c r="Z368" t="s">
        <v>2076</v>
      </c>
      <c r="AA368" t="s">
        <v>2057</v>
      </c>
      <c r="AB368">
        <v>10</v>
      </c>
    </row>
    <row r="369" spans="1:28" x14ac:dyDescent="0.3">
      <c r="A369" t="s">
        <v>1246</v>
      </c>
      <c r="B369" t="s">
        <v>66</v>
      </c>
      <c r="C369" t="s">
        <v>1247</v>
      </c>
      <c r="D369" t="s">
        <v>2248</v>
      </c>
      <c r="E369">
        <v>40</v>
      </c>
      <c r="F369" t="s">
        <v>29</v>
      </c>
      <c r="G369" t="s">
        <v>76</v>
      </c>
      <c r="H369" t="s">
        <v>1248</v>
      </c>
      <c r="I369" t="s">
        <v>1249</v>
      </c>
      <c r="J369" t="s">
        <v>1630</v>
      </c>
      <c r="K369" s="14">
        <v>45193</v>
      </c>
      <c r="L369" t="s">
        <v>1631</v>
      </c>
      <c r="M369" t="s">
        <v>246</v>
      </c>
      <c r="N369">
        <v>282.63</v>
      </c>
      <c r="O369">
        <v>2</v>
      </c>
      <c r="P369" t="s">
        <v>58</v>
      </c>
      <c r="Q369">
        <v>6</v>
      </c>
      <c r="R369">
        <v>62</v>
      </c>
      <c r="S369">
        <v>45194</v>
      </c>
      <c r="T369" t="s">
        <v>1632</v>
      </c>
      <c r="U369">
        <v>1</v>
      </c>
      <c r="V369">
        <v>565.26</v>
      </c>
      <c r="W369">
        <v>0.15</v>
      </c>
      <c r="X369">
        <v>480.471</v>
      </c>
      <c r="Y369">
        <v>542.471</v>
      </c>
      <c r="Z369" t="s">
        <v>2144</v>
      </c>
      <c r="AA369" t="s">
        <v>2057</v>
      </c>
      <c r="AB369">
        <v>9</v>
      </c>
    </row>
    <row r="370" spans="1:28" x14ac:dyDescent="0.3">
      <c r="A370" t="s">
        <v>165</v>
      </c>
      <c r="B370" t="s">
        <v>166</v>
      </c>
      <c r="C370" t="s">
        <v>167</v>
      </c>
      <c r="D370" t="s">
        <v>2176</v>
      </c>
      <c r="E370">
        <v>46</v>
      </c>
      <c r="F370" t="s">
        <v>29</v>
      </c>
      <c r="G370" t="s">
        <v>168</v>
      </c>
      <c r="H370" t="s">
        <v>169</v>
      </c>
      <c r="I370" t="s">
        <v>170</v>
      </c>
      <c r="J370" t="s">
        <v>1633</v>
      </c>
      <c r="K370" s="14">
        <v>45473</v>
      </c>
      <c r="L370" t="s">
        <v>1634</v>
      </c>
      <c r="M370" t="s">
        <v>173</v>
      </c>
      <c r="N370">
        <v>272.51</v>
      </c>
      <c r="O370">
        <v>3</v>
      </c>
      <c r="P370" t="s">
        <v>36</v>
      </c>
      <c r="Q370">
        <v>5</v>
      </c>
      <c r="R370">
        <v>66</v>
      </c>
      <c r="S370">
        <v>45479</v>
      </c>
      <c r="T370" t="s">
        <v>1635</v>
      </c>
      <c r="U370">
        <v>6</v>
      </c>
      <c r="V370">
        <v>817.53</v>
      </c>
      <c r="W370">
        <v>0.08</v>
      </c>
      <c r="X370">
        <v>752.12760000000003</v>
      </c>
      <c r="Y370">
        <v>818.12760000000003</v>
      </c>
      <c r="Z370" t="s">
        <v>2072</v>
      </c>
      <c r="AA370" t="s">
        <v>2061</v>
      </c>
      <c r="AB370">
        <v>6</v>
      </c>
    </row>
    <row r="371" spans="1:28" x14ac:dyDescent="0.3">
      <c r="A371" t="s">
        <v>420</v>
      </c>
      <c r="B371" t="s">
        <v>421</v>
      </c>
      <c r="C371" t="s">
        <v>422</v>
      </c>
      <c r="D371" t="s">
        <v>2202</v>
      </c>
      <c r="E371">
        <v>52</v>
      </c>
      <c r="F371" t="s">
        <v>52</v>
      </c>
      <c r="G371" t="s">
        <v>220</v>
      </c>
      <c r="H371" t="s">
        <v>423</v>
      </c>
      <c r="I371" t="s">
        <v>424</v>
      </c>
      <c r="J371" t="s">
        <v>1636</v>
      </c>
      <c r="K371" s="14">
        <v>44975</v>
      </c>
      <c r="L371" t="s">
        <v>1637</v>
      </c>
      <c r="M371" t="s">
        <v>81</v>
      </c>
      <c r="N371">
        <v>330.11</v>
      </c>
      <c r="O371">
        <v>2</v>
      </c>
      <c r="P371" t="s">
        <v>63</v>
      </c>
      <c r="Q371">
        <v>3</v>
      </c>
      <c r="R371">
        <v>55</v>
      </c>
      <c r="S371">
        <v>44976</v>
      </c>
      <c r="T371" t="s">
        <v>1638</v>
      </c>
      <c r="U371">
        <v>1</v>
      </c>
      <c r="V371">
        <v>660.22</v>
      </c>
      <c r="W371">
        <v>0</v>
      </c>
      <c r="X371">
        <v>660.22</v>
      </c>
      <c r="Y371">
        <v>660.22</v>
      </c>
      <c r="Z371" t="s">
        <v>2098</v>
      </c>
      <c r="AA371" t="s">
        <v>2057</v>
      </c>
      <c r="AB371">
        <v>2</v>
      </c>
    </row>
    <row r="372" spans="1:28" x14ac:dyDescent="0.3">
      <c r="A372" t="s">
        <v>156</v>
      </c>
      <c r="B372" t="s">
        <v>157</v>
      </c>
      <c r="C372" t="s">
        <v>158</v>
      </c>
      <c r="D372" t="s">
        <v>2175</v>
      </c>
      <c r="E372">
        <v>24</v>
      </c>
      <c r="F372" t="s">
        <v>29</v>
      </c>
      <c r="G372" t="s">
        <v>159</v>
      </c>
      <c r="H372" t="s">
        <v>160</v>
      </c>
      <c r="I372" t="s">
        <v>161</v>
      </c>
      <c r="J372" t="s">
        <v>1639</v>
      </c>
      <c r="K372" s="14">
        <v>45485</v>
      </c>
      <c r="L372" t="s">
        <v>1640</v>
      </c>
      <c r="M372" t="s">
        <v>234</v>
      </c>
      <c r="N372">
        <v>132.97</v>
      </c>
      <c r="O372">
        <v>2</v>
      </c>
      <c r="P372" t="s">
        <v>58</v>
      </c>
      <c r="Q372">
        <v>4</v>
      </c>
      <c r="R372">
        <v>40</v>
      </c>
      <c r="S372">
        <v>45487</v>
      </c>
      <c r="T372" t="s">
        <v>1641</v>
      </c>
      <c r="U372">
        <v>2</v>
      </c>
      <c r="V372">
        <v>265.94</v>
      </c>
      <c r="W372">
        <v>0.15</v>
      </c>
      <c r="X372">
        <v>226.04900000000001</v>
      </c>
      <c r="Y372">
        <v>266.04899999999998</v>
      </c>
      <c r="Z372" t="s">
        <v>2071</v>
      </c>
      <c r="AA372" t="s">
        <v>2057</v>
      </c>
      <c r="AB372">
        <v>7</v>
      </c>
    </row>
    <row r="373" spans="1:28" x14ac:dyDescent="0.3">
      <c r="A373" t="s">
        <v>535</v>
      </c>
      <c r="B373" t="s">
        <v>536</v>
      </c>
      <c r="C373" t="s">
        <v>537</v>
      </c>
      <c r="D373" t="s">
        <v>2215</v>
      </c>
      <c r="E373">
        <v>32</v>
      </c>
      <c r="F373" t="s">
        <v>52</v>
      </c>
      <c r="G373" t="s">
        <v>90</v>
      </c>
      <c r="H373" t="s">
        <v>538</v>
      </c>
      <c r="I373" t="s">
        <v>539</v>
      </c>
      <c r="J373" t="s">
        <v>1642</v>
      </c>
      <c r="K373" s="14">
        <v>45006</v>
      </c>
      <c r="L373" t="s">
        <v>1643</v>
      </c>
      <c r="M373" t="s">
        <v>481</v>
      </c>
      <c r="N373">
        <v>87.09</v>
      </c>
      <c r="O373">
        <v>2</v>
      </c>
      <c r="P373" t="s">
        <v>63</v>
      </c>
      <c r="Q373">
        <v>4</v>
      </c>
      <c r="R373">
        <v>67</v>
      </c>
      <c r="S373">
        <v>45010</v>
      </c>
      <c r="T373" t="s">
        <v>1644</v>
      </c>
      <c r="U373">
        <v>4</v>
      </c>
      <c r="V373">
        <v>174.18</v>
      </c>
      <c r="W373">
        <v>0</v>
      </c>
      <c r="X373">
        <v>174.18</v>
      </c>
      <c r="Y373">
        <v>174.18</v>
      </c>
      <c r="Z373" t="s">
        <v>2111</v>
      </c>
      <c r="AA373" t="s">
        <v>2066</v>
      </c>
      <c r="AB373">
        <v>3</v>
      </c>
    </row>
    <row r="374" spans="1:28" x14ac:dyDescent="0.3">
      <c r="A374" t="s">
        <v>333</v>
      </c>
      <c r="B374" t="s">
        <v>334</v>
      </c>
      <c r="C374" t="s">
        <v>335</v>
      </c>
      <c r="D374" t="s">
        <v>2193</v>
      </c>
      <c r="E374">
        <v>23</v>
      </c>
      <c r="F374" t="s">
        <v>29</v>
      </c>
      <c r="G374" t="s">
        <v>30</v>
      </c>
      <c r="H374" t="s">
        <v>336</v>
      </c>
      <c r="I374" t="s">
        <v>337</v>
      </c>
      <c r="J374" t="s">
        <v>1645</v>
      </c>
      <c r="K374" s="14">
        <v>45622</v>
      </c>
      <c r="L374" t="s">
        <v>1646</v>
      </c>
      <c r="M374" t="s">
        <v>941</v>
      </c>
      <c r="N374">
        <v>107.47</v>
      </c>
      <c r="O374">
        <v>5</v>
      </c>
      <c r="P374" t="s">
        <v>36</v>
      </c>
      <c r="Q374">
        <v>4</v>
      </c>
      <c r="R374">
        <v>37</v>
      </c>
      <c r="S374">
        <v>45628</v>
      </c>
      <c r="T374" t="s">
        <v>1647</v>
      </c>
      <c r="U374">
        <v>6</v>
      </c>
      <c r="V374">
        <v>537.35</v>
      </c>
      <c r="W374">
        <v>0.08</v>
      </c>
      <c r="X374">
        <v>494.36200000000002</v>
      </c>
      <c r="Y374">
        <v>531.36200000000008</v>
      </c>
      <c r="Z374" t="s">
        <v>2089</v>
      </c>
      <c r="AA374" t="s">
        <v>2061</v>
      </c>
      <c r="AB374">
        <v>11</v>
      </c>
    </row>
    <row r="375" spans="1:28" x14ac:dyDescent="0.3">
      <c r="A375" t="s">
        <v>731</v>
      </c>
      <c r="B375" t="s">
        <v>732</v>
      </c>
      <c r="C375" t="s">
        <v>733</v>
      </c>
      <c r="D375" t="s">
        <v>2229</v>
      </c>
      <c r="E375">
        <v>30</v>
      </c>
      <c r="F375" t="s">
        <v>29</v>
      </c>
      <c r="G375" t="s">
        <v>159</v>
      </c>
      <c r="H375" t="s">
        <v>734</v>
      </c>
      <c r="I375" t="s">
        <v>735</v>
      </c>
      <c r="J375" t="s">
        <v>1648</v>
      </c>
      <c r="K375" s="14">
        <v>45417</v>
      </c>
      <c r="L375" t="s">
        <v>1649</v>
      </c>
      <c r="M375" t="s">
        <v>941</v>
      </c>
      <c r="N375">
        <v>107.47</v>
      </c>
      <c r="O375">
        <v>5</v>
      </c>
      <c r="P375" t="s">
        <v>96</v>
      </c>
      <c r="Q375">
        <v>4</v>
      </c>
      <c r="R375">
        <v>47</v>
      </c>
      <c r="S375">
        <v>45424</v>
      </c>
      <c r="T375" t="s">
        <v>1650</v>
      </c>
      <c r="U375">
        <v>7</v>
      </c>
      <c r="V375">
        <v>537.35</v>
      </c>
      <c r="W375">
        <v>0.1</v>
      </c>
      <c r="X375">
        <v>483.61500000000001</v>
      </c>
      <c r="Y375">
        <v>530.61500000000001</v>
      </c>
      <c r="Z375" t="s">
        <v>2125</v>
      </c>
      <c r="AA375" t="s">
        <v>2061</v>
      </c>
      <c r="AB375">
        <v>5</v>
      </c>
    </row>
    <row r="376" spans="1:28" x14ac:dyDescent="0.3">
      <c r="A376" t="s">
        <v>646</v>
      </c>
      <c r="B376" t="s">
        <v>647</v>
      </c>
      <c r="C376" t="s">
        <v>648</v>
      </c>
      <c r="D376" t="s">
        <v>2222</v>
      </c>
      <c r="E376">
        <v>45</v>
      </c>
      <c r="F376" t="s">
        <v>52</v>
      </c>
      <c r="G376" t="s">
        <v>90</v>
      </c>
      <c r="H376" t="s">
        <v>649</v>
      </c>
      <c r="I376" t="s">
        <v>650</v>
      </c>
      <c r="J376" t="s">
        <v>1651</v>
      </c>
      <c r="K376" s="14">
        <v>45446</v>
      </c>
      <c r="L376" t="s">
        <v>1652</v>
      </c>
      <c r="M376" t="s">
        <v>563</v>
      </c>
      <c r="N376">
        <v>133.62</v>
      </c>
      <c r="O376">
        <v>1</v>
      </c>
      <c r="P376" t="s">
        <v>58</v>
      </c>
      <c r="Q376">
        <v>5</v>
      </c>
      <c r="R376">
        <v>39</v>
      </c>
      <c r="S376">
        <v>45451</v>
      </c>
      <c r="T376" t="s">
        <v>1653</v>
      </c>
      <c r="U376">
        <v>5</v>
      </c>
      <c r="V376">
        <v>133.62</v>
      </c>
      <c r="W376">
        <v>0.15</v>
      </c>
      <c r="X376">
        <v>113.577</v>
      </c>
      <c r="Y376">
        <v>152.577</v>
      </c>
      <c r="Z376" t="s">
        <v>2118</v>
      </c>
      <c r="AA376" t="s">
        <v>2066</v>
      </c>
      <c r="AB376">
        <v>6</v>
      </c>
    </row>
    <row r="377" spans="1:28" x14ac:dyDescent="0.3">
      <c r="A377" t="s">
        <v>435</v>
      </c>
      <c r="B377" t="s">
        <v>436</v>
      </c>
      <c r="C377" t="s">
        <v>437</v>
      </c>
      <c r="D377" t="s">
        <v>2203</v>
      </c>
      <c r="E377">
        <v>28</v>
      </c>
      <c r="F377" t="s">
        <v>52</v>
      </c>
      <c r="G377" t="s">
        <v>76</v>
      </c>
      <c r="H377" t="s">
        <v>438</v>
      </c>
      <c r="I377" t="s">
        <v>439</v>
      </c>
      <c r="J377" t="s">
        <v>1654</v>
      </c>
      <c r="K377" s="14">
        <v>45247</v>
      </c>
      <c r="L377" t="s">
        <v>1655</v>
      </c>
      <c r="M377" t="s">
        <v>105</v>
      </c>
      <c r="N377">
        <v>275.44</v>
      </c>
      <c r="O377">
        <v>2</v>
      </c>
      <c r="P377" t="s">
        <v>85</v>
      </c>
      <c r="Q377">
        <v>3</v>
      </c>
      <c r="R377">
        <v>43</v>
      </c>
      <c r="S377">
        <v>45251</v>
      </c>
      <c r="T377" t="s">
        <v>1656</v>
      </c>
      <c r="U377">
        <v>4</v>
      </c>
      <c r="V377">
        <v>550.88</v>
      </c>
      <c r="W377">
        <v>0.2</v>
      </c>
      <c r="X377">
        <v>440.70400000000001</v>
      </c>
      <c r="Y377">
        <v>483.70400000000001</v>
      </c>
      <c r="Z377" t="s">
        <v>2099</v>
      </c>
      <c r="AA377" t="s">
        <v>2061</v>
      </c>
      <c r="AB377">
        <v>11</v>
      </c>
    </row>
    <row r="378" spans="1:28" x14ac:dyDescent="0.3">
      <c r="A378" t="s">
        <v>925</v>
      </c>
      <c r="B378" t="s">
        <v>926</v>
      </c>
      <c r="C378" t="s">
        <v>927</v>
      </c>
      <c r="D378" t="s">
        <v>2238</v>
      </c>
      <c r="E378">
        <v>24</v>
      </c>
      <c r="F378" t="s">
        <v>52</v>
      </c>
      <c r="G378" t="s">
        <v>220</v>
      </c>
      <c r="H378" t="s">
        <v>928</v>
      </c>
      <c r="I378" t="s">
        <v>929</v>
      </c>
      <c r="J378" t="s">
        <v>1657</v>
      </c>
      <c r="K378" s="14">
        <v>45113</v>
      </c>
      <c r="L378" t="s">
        <v>1658</v>
      </c>
      <c r="M378" t="s">
        <v>81</v>
      </c>
      <c r="N378">
        <v>330.11</v>
      </c>
      <c r="O378">
        <v>3</v>
      </c>
      <c r="P378" t="s">
        <v>58</v>
      </c>
      <c r="Q378">
        <v>2</v>
      </c>
      <c r="R378">
        <v>56</v>
      </c>
      <c r="S378">
        <v>45117</v>
      </c>
      <c r="T378" t="s">
        <v>1659</v>
      </c>
      <c r="U378">
        <v>4</v>
      </c>
      <c r="V378">
        <v>990.33</v>
      </c>
      <c r="W378">
        <v>0.15</v>
      </c>
      <c r="X378">
        <v>841.78050000000007</v>
      </c>
      <c r="Y378">
        <v>897.78050000000007</v>
      </c>
      <c r="Z378" t="s">
        <v>2134</v>
      </c>
      <c r="AA378" t="s">
        <v>2061</v>
      </c>
      <c r="AB378">
        <v>7</v>
      </c>
    </row>
    <row r="379" spans="1:28" x14ac:dyDescent="0.3">
      <c r="A379" t="s">
        <v>435</v>
      </c>
      <c r="B379" t="s">
        <v>436</v>
      </c>
      <c r="C379" t="s">
        <v>437</v>
      </c>
      <c r="D379" t="s">
        <v>2203</v>
      </c>
      <c r="E379">
        <v>28</v>
      </c>
      <c r="F379" t="s">
        <v>52</v>
      </c>
      <c r="G379" t="s">
        <v>76</v>
      </c>
      <c r="H379" t="s">
        <v>438</v>
      </c>
      <c r="I379" t="s">
        <v>439</v>
      </c>
      <c r="J379" t="s">
        <v>1660</v>
      </c>
      <c r="K379" s="14">
        <v>45307</v>
      </c>
      <c r="L379" t="s">
        <v>1661</v>
      </c>
      <c r="M379" t="s">
        <v>173</v>
      </c>
      <c r="N379">
        <v>272.51</v>
      </c>
      <c r="O379">
        <v>3</v>
      </c>
      <c r="P379" t="s">
        <v>36</v>
      </c>
      <c r="Q379">
        <v>6</v>
      </c>
      <c r="R379">
        <v>44</v>
      </c>
      <c r="S379">
        <v>45310</v>
      </c>
      <c r="T379" t="s">
        <v>1662</v>
      </c>
      <c r="U379">
        <v>3</v>
      </c>
      <c r="V379">
        <v>817.53</v>
      </c>
      <c r="W379">
        <v>0.08</v>
      </c>
      <c r="X379">
        <v>752.12760000000003</v>
      </c>
      <c r="Y379">
        <v>796.12760000000003</v>
      </c>
      <c r="Z379" t="s">
        <v>2099</v>
      </c>
      <c r="AA379" t="s">
        <v>2057</v>
      </c>
      <c r="AB379">
        <v>1</v>
      </c>
    </row>
    <row r="380" spans="1:28" x14ac:dyDescent="0.3">
      <c r="A380" t="s">
        <v>705</v>
      </c>
      <c r="B380" t="s">
        <v>706</v>
      </c>
      <c r="C380" t="s">
        <v>707</v>
      </c>
      <c r="D380" t="s">
        <v>2226</v>
      </c>
      <c r="E380">
        <v>26</v>
      </c>
      <c r="F380" t="s">
        <v>52</v>
      </c>
      <c r="G380" t="s">
        <v>76</v>
      </c>
      <c r="H380" t="s">
        <v>708</v>
      </c>
      <c r="I380" t="s">
        <v>709</v>
      </c>
      <c r="J380" t="s">
        <v>1663</v>
      </c>
      <c r="K380" s="14">
        <v>45238</v>
      </c>
      <c r="L380" t="s">
        <v>1664</v>
      </c>
      <c r="M380" t="s">
        <v>135</v>
      </c>
      <c r="N380">
        <v>175.93</v>
      </c>
      <c r="O380">
        <v>4</v>
      </c>
      <c r="P380" t="s">
        <v>85</v>
      </c>
      <c r="Q380">
        <v>6</v>
      </c>
      <c r="R380">
        <v>54</v>
      </c>
      <c r="S380">
        <v>45240</v>
      </c>
      <c r="T380" t="s">
        <v>1665</v>
      </c>
      <c r="U380">
        <v>2</v>
      </c>
      <c r="V380">
        <v>703.72</v>
      </c>
      <c r="W380">
        <v>0.2</v>
      </c>
      <c r="X380">
        <v>562.976</v>
      </c>
      <c r="Y380">
        <v>616.976</v>
      </c>
      <c r="Z380" t="s">
        <v>2122</v>
      </c>
      <c r="AA380" t="s">
        <v>2057</v>
      </c>
      <c r="AB380">
        <v>11</v>
      </c>
    </row>
    <row r="381" spans="1:28" x14ac:dyDescent="0.3">
      <c r="A381" t="s">
        <v>1614</v>
      </c>
      <c r="B381" t="s">
        <v>273</v>
      </c>
      <c r="C381" t="s">
        <v>1615</v>
      </c>
      <c r="D381" t="s">
        <v>2255</v>
      </c>
      <c r="E381">
        <v>62</v>
      </c>
      <c r="F381" t="s">
        <v>41</v>
      </c>
      <c r="G381" t="s">
        <v>42</v>
      </c>
      <c r="H381" t="s">
        <v>1616</v>
      </c>
      <c r="I381" t="s">
        <v>1617</v>
      </c>
      <c r="J381" t="s">
        <v>1666</v>
      </c>
      <c r="K381" s="14">
        <v>45459</v>
      </c>
      <c r="L381" t="s">
        <v>1667</v>
      </c>
      <c r="M381" t="s">
        <v>430</v>
      </c>
      <c r="N381">
        <v>369.03</v>
      </c>
      <c r="O381">
        <v>3</v>
      </c>
      <c r="P381" t="s">
        <v>36</v>
      </c>
      <c r="Q381">
        <v>6</v>
      </c>
      <c r="R381">
        <v>57</v>
      </c>
      <c r="S381">
        <v>45461</v>
      </c>
      <c r="T381" t="s">
        <v>1668</v>
      </c>
      <c r="U381">
        <v>2</v>
      </c>
      <c r="V381">
        <v>1107.0899999999999</v>
      </c>
      <c r="W381">
        <v>0.08</v>
      </c>
      <c r="X381">
        <v>1018.5228</v>
      </c>
      <c r="Y381">
        <v>1075.5228</v>
      </c>
      <c r="Z381" t="s">
        <v>2151</v>
      </c>
      <c r="AA381" t="s">
        <v>2057</v>
      </c>
      <c r="AB381">
        <v>6</v>
      </c>
    </row>
    <row r="382" spans="1:28" x14ac:dyDescent="0.3">
      <c r="A382" t="s">
        <v>1342</v>
      </c>
      <c r="B382" t="s">
        <v>508</v>
      </c>
      <c r="C382" t="s">
        <v>1343</v>
      </c>
      <c r="D382" t="s">
        <v>2252</v>
      </c>
      <c r="E382">
        <v>40</v>
      </c>
      <c r="F382" t="s">
        <v>52</v>
      </c>
      <c r="G382" t="s">
        <v>220</v>
      </c>
      <c r="H382" t="s">
        <v>1344</v>
      </c>
      <c r="I382" t="s">
        <v>1345</v>
      </c>
      <c r="J382" t="s">
        <v>1669</v>
      </c>
      <c r="K382" s="14">
        <v>45040</v>
      </c>
      <c r="L382" t="s">
        <v>1670</v>
      </c>
      <c r="M382" t="s">
        <v>344</v>
      </c>
      <c r="N382">
        <v>372.62</v>
      </c>
      <c r="O382">
        <v>2</v>
      </c>
      <c r="P382" t="s">
        <v>85</v>
      </c>
      <c r="Q382">
        <v>2</v>
      </c>
      <c r="R382">
        <v>47</v>
      </c>
      <c r="S382">
        <v>45041</v>
      </c>
      <c r="T382" t="s">
        <v>1671</v>
      </c>
      <c r="U382">
        <v>1</v>
      </c>
      <c r="V382">
        <v>745.24</v>
      </c>
      <c r="W382">
        <v>0.2</v>
      </c>
      <c r="X382">
        <v>596.19200000000001</v>
      </c>
      <c r="Y382">
        <v>643.19200000000001</v>
      </c>
      <c r="Z382" t="s">
        <v>2148</v>
      </c>
      <c r="AA382" t="s">
        <v>2057</v>
      </c>
      <c r="AB382">
        <v>4</v>
      </c>
    </row>
    <row r="383" spans="1:28" x14ac:dyDescent="0.3">
      <c r="A383" t="s">
        <v>349</v>
      </c>
      <c r="B383" t="s">
        <v>350</v>
      </c>
      <c r="C383" t="s">
        <v>351</v>
      </c>
      <c r="D383" t="s">
        <v>2194</v>
      </c>
      <c r="E383">
        <v>70</v>
      </c>
      <c r="F383" t="s">
        <v>29</v>
      </c>
      <c r="G383" t="s">
        <v>168</v>
      </c>
      <c r="H383" t="s">
        <v>352</v>
      </c>
      <c r="I383" t="s">
        <v>353</v>
      </c>
      <c r="J383" t="s">
        <v>1672</v>
      </c>
      <c r="K383" s="14">
        <v>45270</v>
      </c>
      <c r="L383" t="s">
        <v>1673</v>
      </c>
      <c r="M383" t="s">
        <v>418</v>
      </c>
      <c r="N383">
        <v>44.5</v>
      </c>
      <c r="O383">
        <v>1</v>
      </c>
      <c r="P383" t="s">
        <v>63</v>
      </c>
      <c r="Q383">
        <v>1</v>
      </c>
      <c r="R383">
        <v>37</v>
      </c>
      <c r="S383">
        <v>45277</v>
      </c>
      <c r="T383" t="s">
        <v>1674</v>
      </c>
      <c r="U383">
        <v>7</v>
      </c>
      <c r="V383">
        <v>44.5</v>
      </c>
      <c r="W383">
        <v>0</v>
      </c>
      <c r="X383">
        <v>44.5</v>
      </c>
      <c r="Y383">
        <v>44.5</v>
      </c>
      <c r="Z383" t="s">
        <v>2090</v>
      </c>
      <c r="AA383" t="s">
        <v>2061</v>
      </c>
      <c r="AB383">
        <v>12</v>
      </c>
    </row>
    <row r="384" spans="1:28" x14ac:dyDescent="0.3">
      <c r="A384" t="s">
        <v>475</v>
      </c>
      <c r="B384" t="s">
        <v>108</v>
      </c>
      <c r="C384" t="s">
        <v>476</v>
      </c>
      <c r="D384" t="s">
        <v>2208</v>
      </c>
      <c r="E384">
        <v>33</v>
      </c>
      <c r="F384" t="s">
        <v>29</v>
      </c>
      <c r="G384" t="s">
        <v>168</v>
      </c>
      <c r="H384" t="s">
        <v>477</v>
      </c>
      <c r="I384" t="s">
        <v>478</v>
      </c>
      <c r="J384" t="s">
        <v>1675</v>
      </c>
      <c r="K384" s="14">
        <v>45060</v>
      </c>
      <c r="L384" t="s">
        <v>1676</v>
      </c>
      <c r="M384" t="s">
        <v>287</v>
      </c>
      <c r="N384">
        <v>157.63999999999999</v>
      </c>
      <c r="O384">
        <v>1</v>
      </c>
      <c r="P384" t="s">
        <v>96</v>
      </c>
      <c r="Q384">
        <v>7</v>
      </c>
      <c r="R384">
        <v>48</v>
      </c>
      <c r="S384">
        <v>45067</v>
      </c>
      <c r="T384" t="s">
        <v>1677</v>
      </c>
      <c r="U384">
        <v>7</v>
      </c>
      <c r="V384">
        <v>157.63999999999999</v>
      </c>
      <c r="W384">
        <v>0.1</v>
      </c>
      <c r="X384">
        <v>141.87599999999998</v>
      </c>
      <c r="Y384">
        <v>189.87599999999998</v>
      </c>
      <c r="Z384" t="s">
        <v>2104</v>
      </c>
      <c r="AA384" t="s">
        <v>2066</v>
      </c>
      <c r="AB384">
        <v>5</v>
      </c>
    </row>
    <row r="385" spans="1:28" x14ac:dyDescent="0.3">
      <c r="A385" t="s">
        <v>192</v>
      </c>
      <c r="B385" t="s">
        <v>193</v>
      </c>
      <c r="C385" t="s">
        <v>194</v>
      </c>
      <c r="D385" t="s">
        <v>2179</v>
      </c>
      <c r="E385">
        <v>34</v>
      </c>
      <c r="F385" t="s">
        <v>29</v>
      </c>
      <c r="G385" t="s">
        <v>90</v>
      </c>
      <c r="H385" t="s">
        <v>195</v>
      </c>
      <c r="I385" t="s">
        <v>196</v>
      </c>
      <c r="J385" t="s">
        <v>1678</v>
      </c>
      <c r="K385" s="14">
        <v>45243</v>
      </c>
      <c r="L385" t="s">
        <v>1679</v>
      </c>
      <c r="M385" t="s">
        <v>199</v>
      </c>
      <c r="N385">
        <v>20.7</v>
      </c>
      <c r="O385">
        <v>3</v>
      </c>
      <c r="P385" t="s">
        <v>36</v>
      </c>
      <c r="Q385">
        <v>5</v>
      </c>
      <c r="R385">
        <v>46</v>
      </c>
      <c r="S385">
        <v>45245</v>
      </c>
      <c r="T385" t="s">
        <v>1680</v>
      </c>
      <c r="U385">
        <v>2</v>
      </c>
      <c r="V385">
        <v>62.099999999999994</v>
      </c>
      <c r="W385">
        <v>0.08</v>
      </c>
      <c r="X385">
        <v>57.131999999999991</v>
      </c>
      <c r="Y385">
        <v>103.13199999999999</v>
      </c>
      <c r="Z385" t="s">
        <v>2075</v>
      </c>
      <c r="AA385" t="s">
        <v>2057</v>
      </c>
      <c r="AB385">
        <v>11</v>
      </c>
    </row>
    <row r="386" spans="1:28" x14ac:dyDescent="0.3">
      <c r="A386" t="s">
        <v>639</v>
      </c>
      <c r="B386" t="s">
        <v>148</v>
      </c>
      <c r="C386" t="s">
        <v>640</v>
      </c>
      <c r="D386" t="s">
        <v>2221</v>
      </c>
      <c r="E386">
        <v>44</v>
      </c>
      <c r="F386" t="s">
        <v>52</v>
      </c>
      <c r="G386" t="s">
        <v>90</v>
      </c>
      <c r="H386" t="s">
        <v>641</v>
      </c>
      <c r="I386" t="s">
        <v>642</v>
      </c>
      <c r="J386" t="s">
        <v>1681</v>
      </c>
      <c r="K386" s="14">
        <v>45264</v>
      </c>
      <c r="L386" t="s">
        <v>1682</v>
      </c>
      <c r="M386" t="s">
        <v>250</v>
      </c>
      <c r="N386">
        <v>128.13999999999999</v>
      </c>
      <c r="O386">
        <v>3</v>
      </c>
      <c r="P386" t="s">
        <v>85</v>
      </c>
      <c r="Q386">
        <v>2</v>
      </c>
      <c r="R386">
        <v>49</v>
      </c>
      <c r="S386">
        <v>45270</v>
      </c>
      <c r="T386" t="s">
        <v>1683</v>
      </c>
      <c r="U386">
        <v>6</v>
      </c>
      <c r="V386">
        <v>384.41999999999996</v>
      </c>
      <c r="W386">
        <v>0.2</v>
      </c>
      <c r="X386">
        <v>307.53599999999994</v>
      </c>
      <c r="Y386">
        <v>356.53599999999994</v>
      </c>
      <c r="Z386" t="s">
        <v>2117</v>
      </c>
      <c r="AA386" t="s">
        <v>2061</v>
      </c>
      <c r="AB386">
        <v>12</v>
      </c>
    </row>
    <row r="387" spans="1:28" x14ac:dyDescent="0.3">
      <c r="A387" t="s">
        <v>646</v>
      </c>
      <c r="B387" t="s">
        <v>647</v>
      </c>
      <c r="C387" t="s">
        <v>648</v>
      </c>
      <c r="D387" t="s">
        <v>2222</v>
      </c>
      <c r="E387">
        <v>45</v>
      </c>
      <c r="F387" t="s">
        <v>52</v>
      </c>
      <c r="G387" t="s">
        <v>90</v>
      </c>
      <c r="H387" t="s">
        <v>649</v>
      </c>
      <c r="I387" t="s">
        <v>650</v>
      </c>
      <c r="J387" t="s">
        <v>1684</v>
      </c>
      <c r="K387" s="14">
        <v>45404</v>
      </c>
      <c r="L387" t="s">
        <v>1685</v>
      </c>
      <c r="M387" t="s">
        <v>287</v>
      </c>
      <c r="N387">
        <v>157.63999999999999</v>
      </c>
      <c r="O387">
        <v>3</v>
      </c>
      <c r="P387" t="s">
        <v>36</v>
      </c>
      <c r="Q387">
        <v>4</v>
      </c>
      <c r="R387">
        <v>66</v>
      </c>
      <c r="S387">
        <v>45405</v>
      </c>
      <c r="T387" t="s">
        <v>1399</v>
      </c>
      <c r="U387">
        <v>1</v>
      </c>
      <c r="V387">
        <v>472.91999999999996</v>
      </c>
      <c r="W387">
        <v>0.08</v>
      </c>
      <c r="X387">
        <v>435.08639999999997</v>
      </c>
      <c r="Y387">
        <v>501.08639999999997</v>
      </c>
      <c r="Z387" t="s">
        <v>2118</v>
      </c>
      <c r="AA387" t="s">
        <v>2057</v>
      </c>
      <c r="AB387">
        <v>4</v>
      </c>
    </row>
    <row r="388" spans="1:28" x14ac:dyDescent="0.3">
      <c r="A388" t="s">
        <v>38</v>
      </c>
      <c r="B388" t="s">
        <v>39</v>
      </c>
      <c r="C388" t="s">
        <v>40</v>
      </c>
      <c r="D388" t="s">
        <v>2164</v>
      </c>
      <c r="E388">
        <v>53</v>
      </c>
      <c r="F388" t="s">
        <v>41</v>
      </c>
      <c r="G388" t="s">
        <v>42</v>
      </c>
      <c r="H388" t="s">
        <v>43</v>
      </c>
      <c r="I388" t="s">
        <v>44</v>
      </c>
      <c r="J388" t="s">
        <v>1686</v>
      </c>
      <c r="K388" s="14">
        <v>45469</v>
      </c>
      <c r="L388" t="s">
        <v>1687</v>
      </c>
      <c r="M388" t="s">
        <v>344</v>
      </c>
      <c r="N388">
        <v>372.62</v>
      </c>
      <c r="O388">
        <v>1</v>
      </c>
      <c r="P388" t="s">
        <v>96</v>
      </c>
      <c r="Q388">
        <v>1</v>
      </c>
      <c r="R388">
        <v>66</v>
      </c>
      <c r="S388">
        <v>45471</v>
      </c>
      <c r="T388" t="s">
        <v>1688</v>
      </c>
      <c r="U388">
        <v>2</v>
      </c>
      <c r="V388">
        <v>372.62</v>
      </c>
      <c r="W388">
        <v>0.1</v>
      </c>
      <c r="X388">
        <v>335.358</v>
      </c>
      <c r="Y388">
        <v>401.358</v>
      </c>
      <c r="Z388" t="s">
        <v>2058</v>
      </c>
      <c r="AA388" t="s">
        <v>2061</v>
      </c>
      <c r="AB388">
        <v>6</v>
      </c>
    </row>
    <row r="389" spans="1:28" x14ac:dyDescent="0.3">
      <c r="A389" t="s">
        <v>1614</v>
      </c>
      <c r="B389" t="s">
        <v>273</v>
      </c>
      <c r="C389" t="s">
        <v>1615</v>
      </c>
      <c r="D389" t="s">
        <v>2255</v>
      </c>
      <c r="E389">
        <v>62</v>
      </c>
      <c r="F389" t="s">
        <v>41</v>
      </c>
      <c r="G389" t="s">
        <v>42</v>
      </c>
      <c r="H389" t="s">
        <v>1616</v>
      </c>
      <c r="I389" t="s">
        <v>1617</v>
      </c>
      <c r="J389" t="s">
        <v>1689</v>
      </c>
      <c r="K389" s="14">
        <v>45116</v>
      </c>
      <c r="L389" t="s">
        <v>1690</v>
      </c>
      <c r="M389" t="s">
        <v>95</v>
      </c>
      <c r="N389">
        <v>363.64</v>
      </c>
      <c r="O389">
        <v>4</v>
      </c>
      <c r="P389" t="s">
        <v>63</v>
      </c>
      <c r="Q389">
        <v>6</v>
      </c>
      <c r="R389">
        <v>56</v>
      </c>
      <c r="S389">
        <v>45121</v>
      </c>
      <c r="T389" t="s">
        <v>1691</v>
      </c>
      <c r="U389">
        <v>5</v>
      </c>
      <c r="V389">
        <v>1454.56</v>
      </c>
      <c r="W389">
        <v>0</v>
      </c>
      <c r="X389">
        <v>1454.56</v>
      </c>
      <c r="Y389">
        <v>1454.56</v>
      </c>
      <c r="Z389" t="s">
        <v>2151</v>
      </c>
      <c r="AA389" t="s">
        <v>2057</v>
      </c>
      <c r="AB389">
        <v>7</v>
      </c>
    </row>
    <row r="390" spans="1:28" x14ac:dyDescent="0.3">
      <c r="A390" t="s">
        <v>236</v>
      </c>
      <c r="B390" t="s">
        <v>66</v>
      </c>
      <c r="C390" t="s">
        <v>237</v>
      </c>
      <c r="D390" t="s">
        <v>2184</v>
      </c>
      <c r="E390">
        <v>52</v>
      </c>
      <c r="F390" t="s">
        <v>52</v>
      </c>
      <c r="G390" t="s">
        <v>42</v>
      </c>
      <c r="H390" t="s">
        <v>238</v>
      </c>
      <c r="I390" t="s">
        <v>239</v>
      </c>
      <c r="J390" t="s">
        <v>1692</v>
      </c>
      <c r="K390" s="14">
        <v>45397</v>
      </c>
      <c r="L390" t="s">
        <v>1693</v>
      </c>
      <c r="M390" t="s">
        <v>473</v>
      </c>
      <c r="N390">
        <v>286.07</v>
      </c>
      <c r="O390">
        <v>5</v>
      </c>
      <c r="P390" t="s">
        <v>63</v>
      </c>
      <c r="Q390">
        <v>1</v>
      </c>
      <c r="R390">
        <v>41</v>
      </c>
      <c r="S390">
        <v>45404</v>
      </c>
      <c r="T390" t="s">
        <v>1694</v>
      </c>
      <c r="U390">
        <v>7</v>
      </c>
      <c r="V390">
        <v>1430.35</v>
      </c>
      <c r="W390">
        <v>0</v>
      </c>
      <c r="X390">
        <v>1430.35</v>
      </c>
      <c r="Y390">
        <v>1430.35</v>
      </c>
      <c r="Z390" t="s">
        <v>2080</v>
      </c>
      <c r="AA390" t="s">
        <v>2061</v>
      </c>
      <c r="AB390">
        <v>4</v>
      </c>
    </row>
    <row r="391" spans="1:28" x14ac:dyDescent="0.3">
      <c r="A391" t="s">
        <v>546</v>
      </c>
      <c r="B391" t="s">
        <v>547</v>
      </c>
      <c r="C391" t="s">
        <v>548</v>
      </c>
      <c r="D391" t="s">
        <v>2216</v>
      </c>
      <c r="E391">
        <v>33</v>
      </c>
      <c r="F391" t="s">
        <v>52</v>
      </c>
      <c r="G391" t="s">
        <v>168</v>
      </c>
      <c r="H391" t="s">
        <v>549</v>
      </c>
      <c r="I391" t="s">
        <v>550</v>
      </c>
      <c r="J391" t="s">
        <v>1695</v>
      </c>
      <c r="K391" s="14">
        <v>45302</v>
      </c>
      <c r="L391" t="s">
        <v>1696</v>
      </c>
      <c r="M391" t="s">
        <v>246</v>
      </c>
      <c r="N391">
        <v>282.63</v>
      </c>
      <c r="O391">
        <v>3</v>
      </c>
      <c r="P391" t="s">
        <v>63</v>
      </c>
      <c r="Q391">
        <v>4</v>
      </c>
      <c r="R391">
        <v>66</v>
      </c>
      <c r="S391">
        <v>45307</v>
      </c>
      <c r="T391" t="s">
        <v>744</v>
      </c>
      <c r="U391">
        <v>5</v>
      </c>
      <c r="V391">
        <v>847.89</v>
      </c>
      <c r="W391">
        <v>0</v>
      </c>
      <c r="X391">
        <v>847.89</v>
      </c>
      <c r="Y391">
        <v>847.89</v>
      </c>
      <c r="Z391" t="s">
        <v>2112</v>
      </c>
      <c r="AA391" t="s">
        <v>2061</v>
      </c>
      <c r="AB391">
        <v>1</v>
      </c>
    </row>
    <row r="392" spans="1:28" x14ac:dyDescent="0.3">
      <c r="A392" t="s">
        <v>1457</v>
      </c>
      <c r="B392" t="s">
        <v>273</v>
      </c>
      <c r="C392" t="s">
        <v>1458</v>
      </c>
      <c r="D392" t="s">
        <v>2253</v>
      </c>
      <c r="E392">
        <v>30</v>
      </c>
      <c r="F392" t="s">
        <v>29</v>
      </c>
      <c r="G392" t="s">
        <v>220</v>
      </c>
      <c r="H392" t="s">
        <v>1459</v>
      </c>
      <c r="I392" t="s">
        <v>1460</v>
      </c>
      <c r="J392" t="s">
        <v>1697</v>
      </c>
      <c r="K392" s="14">
        <v>45361</v>
      </c>
      <c r="L392" t="s">
        <v>1698</v>
      </c>
      <c r="M392" t="s">
        <v>344</v>
      </c>
      <c r="N392">
        <v>372.62</v>
      </c>
      <c r="O392">
        <v>5</v>
      </c>
      <c r="P392" t="s">
        <v>36</v>
      </c>
      <c r="Q392">
        <v>4</v>
      </c>
      <c r="R392">
        <v>66</v>
      </c>
      <c r="S392">
        <v>45364</v>
      </c>
      <c r="T392" t="s">
        <v>1699</v>
      </c>
      <c r="U392">
        <v>3</v>
      </c>
      <c r="V392">
        <v>1863.1</v>
      </c>
      <c r="W392">
        <v>0.08</v>
      </c>
      <c r="X392">
        <v>1714.0519999999999</v>
      </c>
      <c r="Y392">
        <v>1780.0519999999999</v>
      </c>
      <c r="Z392" t="s">
        <v>2149</v>
      </c>
      <c r="AA392" t="s">
        <v>2057</v>
      </c>
      <c r="AB392">
        <v>3</v>
      </c>
    </row>
    <row r="393" spans="1:28" x14ac:dyDescent="0.3">
      <c r="A393" t="s">
        <v>175</v>
      </c>
      <c r="B393" t="s">
        <v>176</v>
      </c>
      <c r="C393" t="s">
        <v>177</v>
      </c>
      <c r="D393" t="s">
        <v>2177</v>
      </c>
      <c r="E393">
        <v>36</v>
      </c>
      <c r="F393" t="s">
        <v>52</v>
      </c>
      <c r="G393" t="s">
        <v>140</v>
      </c>
      <c r="H393" t="s">
        <v>178</v>
      </c>
      <c r="I393" t="s">
        <v>179</v>
      </c>
      <c r="J393" t="s">
        <v>1700</v>
      </c>
      <c r="K393" s="14">
        <v>45091</v>
      </c>
      <c r="L393" t="s">
        <v>1701</v>
      </c>
      <c r="M393" t="s">
        <v>686</v>
      </c>
      <c r="N393">
        <v>424.82</v>
      </c>
      <c r="O393">
        <v>4</v>
      </c>
      <c r="P393" t="s">
        <v>96</v>
      </c>
      <c r="Q393">
        <v>5</v>
      </c>
      <c r="R393">
        <v>58</v>
      </c>
      <c r="S393">
        <v>45098</v>
      </c>
      <c r="T393" t="s">
        <v>1702</v>
      </c>
      <c r="U393">
        <v>7</v>
      </c>
      <c r="V393">
        <v>1699.28</v>
      </c>
      <c r="W393">
        <v>0.1</v>
      </c>
      <c r="X393">
        <v>1529.3519999999999</v>
      </c>
      <c r="Y393">
        <v>1587.3519999999999</v>
      </c>
      <c r="Z393" t="s">
        <v>2073</v>
      </c>
      <c r="AA393" t="s">
        <v>2061</v>
      </c>
      <c r="AB393">
        <v>6</v>
      </c>
    </row>
    <row r="394" spans="1:28" x14ac:dyDescent="0.3">
      <c r="A394" t="s">
        <v>401</v>
      </c>
      <c r="B394" t="s">
        <v>402</v>
      </c>
      <c r="C394" t="s">
        <v>403</v>
      </c>
      <c r="D394" t="s">
        <v>2200</v>
      </c>
      <c r="E394">
        <v>70</v>
      </c>
      <c r="F394" t="s">
        <v>29</v>
      </c>
      <c r="G394" t="s">
        <v>30</v>
      </c>
      <c r="H394" t="s">
        <v>404</v>
      </c>
      <c r="I394" t="s">
        <v>405</v>
      </c>
      <c r="J394" t="s">
        <v>1703</v>
      </c>
      <c r="K394" s="14">
        <v>45172</v>
      </c>
      <c r="L394" t="s">
        <v>1704</v>
      </c>
      <c r="M394" t="s">
        <v>495</v>
      </c>
      <c r="N394">
        <v>421.7</v>
      </c>
      <c r="O394">
        <v>3</v>
      </c>
      <c r="P394" t="s">
        <v>63</v>
      </c>
      <c r="Q394">
        <v>3</v>
      </c>
      <c r="R394">
        <v>56</v>
      </c>
      <c r="S394">
        <v>45177</v>
      </c>
      <c r="T394" t="s">
        <v>1705</v>
      </c>
      <c r="U394">
        <v>5</v>
      </c>
      <c r="V394">
        <v>1265.0999999999999</v>
      </c>
      <c r="W394">
        <v>0</v>
      </c>
      <c r="X394">
        <v>1265.0999999999999</v>
      </c>
      <c r="Y394">
        <v>1265.0999999999999</v>
      </c>
      <c r="Z394" t="s">
        <v>2096</v>
      </c>
      <c r="AA394" t="s">
        <v>2061</v>
      </c>
      <c r="AB394">
        <v>9</v>
      </c>
    </row>
    <row r="395" spans="1:28" x14ac:dyDescent="0.3">
      <c r="A395" t="s">
        <v>716</v>
      </c>
      <c r="B395" t="s">
        <v>717</v>
      </c>
      <c r="C395" t="s">
        <v>718</v>
      </c>
      <c r="D395" t="s">
        <v>2227</v>
      </c>
      <c r="E395">
        <v>32</v>
      </c>
      <c r="F395" t="s">
        <v>41</v>
      </c>
      <c r="G395" t="s">
        <v>30</v>
      </c>
      <c r="H395" t="s">
        <v>719</v>
      </c>
      <c r="I395" t="s">
        <v>720</v>
      </c>
      <c r="J395" t="s">
        <v>1706</v>
      </c>
      <c r="K395" s="14">
        <v>45343</v>
      </c>
      <c r="L395" t="s">
        <v>1707</v>
      </c>
      <c r="M395" t="s">
        <v>871</v>
      </c>
      <c r="N395">
        <v>292.14999999999998</v>
      </c>
      <c r="O395">
        <v>2</v>
      </c>
      <c r="P395" t="s">
        <v>58</v>
      </c>
      <c r="Q395">
        <v>6</v>
      </c>
      <c r="R395">
        <v>60</v>
      </c>
      <c r="S395">
        <v>45348</v>
      </c>
      <c r="T395" t="s">
        <v>1708</v>
      </c>
      <c r="U395">
        <v>5</v>
      </c>
      <c r="V395">
        <v>584.29999999999995</v>
      </c>
      <c r="W395">
        <v>0.15</v>
      </c>
      <c r="X395">
        <v>496.65499999999997</v>
      </c>
      <c r="Y395">
        <v>556.65499999999997</v>
      </c>
      <c r="Z395" t="s">
        <v>2123</v>
      </c>
      <c r="AA395" t="s">
        <v>2057</v>
      </c>
      <c r="AB395">
        <v>2</v>
      </c>
    </row>
    <row r="396" spans="1:28" x14ac:dyDescent="0.3">
      <c r="A396" t="s">
        <v>217</v>
      </c>
      <c r="B396" t="s">
        <v>218</v>
      </c>
      <c r="C396" t="s">
        <v>219</v>
      </c>
      <c r="D396" t="s">
        <v>2182</v>
      </c>
      <c r="E396">
        <v>33</v>
      </c>
      <c r="F396" t="s">
        <v>52</v>
      </c>
      <c r="G396" t="s">
        <v>220</v>
      </c>
      <c r="H396" t="s">
        <v>221</v>
      </c>
      <c r="I396" t="s">
        <v>222</v>
      </c>
      <c r="J396" t="s">
        <v>1709</v>
      </c>
      <c r="K396" s="14">
        <v>45657</v>
      </c>
      <c r="L396" t="s">
        <v>1710</v>
      </c>
      <c r="M396" t="s">
        <v>344</v>
      </c>
      <c r="N396">
        <v>372.62</v>
      </c>
      <c r="O396">
        <v>1</v>
      </c>
      <c r="P396" t="s">
        <v>58</v>
      </c>
      <c r="Q396">
        <v>5</v>
      </c>
      <c r="R396">
        <v>50</v>
      </c>
      <c r="S396">
        <v>45661</v>
      </c>
      <c r="T396" t="s">
        <v>1711</v>
      </c>
      <c r="U396">
        <v>4</v>
      </c>
      <c r="V396">
        <v>372.62</v>
      </c>
      <c r="W396">
        <v>0.15</v>
      </c>
      <c r="X396">
        <v>316.72699999999998</v>
      </c>
      <c r="Y396">
        <v>366.72699999999998</v>
      </c>
      <c r="Z396" t="s">
        <v>2078</v>
      </c>
      <c r="AA396" t="s">
        <v>2057</v>
      </c>
      <c r="AB396">
        <v>12</v>
      </c>
    </row>
    <row r="397" spans="1:28" x14ac:dyDescent="0.3">
      <c r="A397" t="s">
        <v>1614</v>
      </c>
      <c r="B397" t="s">
        <v>273</v>
      </c>
      <c r="C397" t="s">
        <v>1615</v>
      </c>
      <c r="D397" t="s">
        <v>2255</v>
      </c>
      <c r="E397">
        <v>62</v>
      </c>
      <c r="F397" t="s">
        <v>41</v>
      </c>
      <c r="G397" t="s">
        <v>42</v>
      </c>
      <c r="H397" t="s">
        <v>1616</v>
      </c>
      <c r="I397" t="s">
        <v>1617</v>
      </c>
      <c r="J397" t="s">
        <v>1712</v>
      </c>
      <c r="K397" s="14">
        <v>45340</v>
      </c>
      <c r="L397" t="s">
        <v>1713</v>
      </c>
      <c r="M397" t="s">
        <v>114</v>
      </c>
      <c r="N397">
        <v>48.45</v>
      </c>
      <c r="O397">
        <v>3</v>
      </c>
      <c r="P397" t="s">
        <v>58</v>
      </c>
      <c r="Q397">
        <v>5</v>
      </c>
      <c r="R397">
        <v>42</v>
      </c>
      <c r="S397">
        <v>45347</v>
      </c>
      <c r="T397" t="s">
        <v>1714</v>
      </c>
      <c r="U397">
        <v>7</v>
      </c>
      <c r="V397">
        <v>145.35000000000002</v>
      </c>
      <c r="W397">
        <v>0.15</v>
      </c>
      <c r="X397">
        <v>123.54750000000001</v>
      </c>
      <c r="Y397">
        <v>165.54750000000001</v>
      </c>
      <c r="Z397" t="s">
        <v>2151</v>
      </c>
      <c r="AA397" t="s">
        <v>2061</v>
      </c>
      <c r="AB397">
        <v>2</v>
      </c>
    </row>
    <row r="398" spans="1:28" x14ac:dyDescent="0.3">
      <c r="A398" t="s">
        <v>671</v>
      </c>
      <c r="B398" t="s">
        <v>672</v>
      </c>
      <c r="C398" t="s">
        <v>673</v>
      </c>
      <c r="D398" t="s">
        <v>2223</v>
      </c>
      <c r="E398">
        <v>38</v>
      </c>
      <c r="F398" t="s">
        <v>41</v>
      </c>
      <c r="G398" t="s">
        <v>220</v>
      </c>
      <c r="H398" t="s">
        <v>674</v>
      </c>
      <c r="I398" t="s">
        <v>675</v>
      </c>
      <c r="J398" t="s">
        <v>1715</v>
      </c>
      <c r="K398" s="14">
        <v>45312</v>
      </c>
      <c r="L398" t="s">
        <v>1716</v>
      </c>
      <c r="M398" t="s">
        <v>145</v>
      </c>
      <c r="N398">
        <v>190.1</v>
      </c>
      <c r="O398">
        <v>3</v>
      </c>
      <c r="P398" t="s">
        <v>96</v>
      </c>
      <c r="Q398">
        <v>3</v>
      </c>
      <c r="R398">
        <v>41</v>
      </c>
      <c r="S398">
        <v>45315</v>
      </c>
      <c r="T398" t="s">
        <v>1717</v>
      </c>
      <c r="U398">
        <v>3</v>
      </c>
      <c r="V398">
        <v>570.29999999999995</v>
      </c>
      <c r="W398">
        <v>0.1</v>
      </c>
      <c r="X398">
        <v>513.27</v>
      </c>
      <c r="Y398">
        <v>554.27</v>
      </c>
      <c r="Z398" t="s">
        <v>2119</v>
      </c>
      <c r="AA398" t="s">
        <v>2066</v>
      </c>
      <c r="AB398">
        <v>1</v>
      </c>
    </row>
    <row r="399" spans="1:28" x14ac:dyDescent="0.3">
      <c r="A399" t="s">
        <v>1614</v>
      </c>
      <c r="B399" t="s">
        <v>273</v>
      </c>
      <c r="C399" t="s">
        <v>1615</v>
      </c>
      <c r="D399" t="s">
        <v>2255</v>
      </c>
      <c r="E399">
        <v>62</v>
      </c>
      <c r="F399" t="s">
        <v>41</v>
      </c>
      <c r="G399" t="s">
        <v>42</v>
      </c>
      <c r="H399" t="s">
        <v>1616</v>
      </c>
      <c r="I399" t="s">
        <v>1617</v>
      </c>
      <c r="J399" t="s">
        <v>1718</v>
      </c>
      <c r="K399" s="14">
        <v>45344</v>
      </c>
      <c r="L399" t="s">
        <v>1719</v>
      </c>
      <c r="M399" t="s">
        <v>225</v>
      </c>
      <c r="N399">
        <v>461.07</v>
      </c>
      <c r="O399">
        <v>4</v>
      </c>
      <c r="P399" t="s">
        <v>58</v>
      </c>
      <c r="Q399">
        <v>1</v>
      </c>
      <c r="R399">
        <v>66</v>
      </c>
      <c r="S399">
        <v>45346</v>
      </c>
      <c r="T399" t="s">
        <v>1720</v>
      </c>
      <c r="U399">
        <v>2</v>
      </c>
      <c r="V399">
        <v>1844.28</v>
      </c>
      <c r="W399">
        <v>0.15</v>
      </c>
      <c r="X399">
        <v>1567.6379999999999</v>
      </c>
      <c r="Y399">
        <v>1633.6379999999999</v>
      </c>
      <c r="Z399" t="s">
        <v>2151</v>
      </c>
      <c r="AA399" t="s">
        <v>2061</v>
      </c>
      <c r="AB399">
        <v>2</v>
      </c>
    </row>
    <row r="400" spans="1:28" x14ac:dyDescent="0.3">
      <c r="A400" t="s">
        <v>325</v>
      </c>
      <c r="B400" t="s">
        <v>326</v>
      </c>
      <c r="C400" t="s">
        <v>327</v>
      </c>
      <c r="D400" t="s">
        <v>2192</v>
      </c>
      <c r="E400">
        <v>29</v>
      </c>
      <c r="F400" t="s">
        <v>52</v>
      </c>
      <c r="G400" t="s">
        <v>90</v>
      </c>
      <c r="H400" t="s">
        <v>328</v>
      </c>
      <c r="I400" t="s">
        <v>329</v>
      </c>
      <c r="J400" t="s">
        <v>1721</v>
      </c>
      <c r="K400" s="14">
        <v>45295</v>
      </c>
      <c r="L400" t="s">
        <v>1722</v>
      </c>
      <c r="M400" t="s">
        <v>287</v>
      </c>
      <c r="N400">
        <v>157.63999999999999</v>
      </c>
      <c r="O400">
        <v>5</v>
      </c>
      <c r="P400" t="s">
        <v>36</v>
      </c>
      <c r="Q400">
        <v>2</v>
      </c>
      <c r="R400">
        <v>46</v>
      </c>
      <c r="S400">
        <v>45301</v>
      </c>
      <c r="T400" t="s">
        <v>1723</v>
      </c>
      <c r="U400">
        <v>6</v>
      </c>
      <c r="V400">
        <v>788.19999999999993</v>
      </c>
      <c r="W400">
        <v>0.08</v>
      </c>
      <c r="X400">
        <v>725.14399999999989</v>
      </c>
      <c r="Y400">
        <v>771.14399999999989</v>
      </c>
      <c r="Z400" t="s">
        <v>2088</v>
      </c>
      <c r="AA400" t="s">
        <v>2061</v>
      </c>
      <c r="AB400">
        <v>1</v>
      </c>
    </row>
    <row r="401" spans="1:28" x14ac:dyDescent="0.3">
      <c r="A401" t="s">
        <v>201</v>
      </c>
      <c r="B401" t="s">
        <v>202</v>
      </c>
      <c r="C401" t="s">
        <v>203</v>
      </c>
      <c r="D401" t="s">
        <v>2180</v>
      </c>
      <c r="E401">
        <v>23</v>
      </c>
      <c r="F401" t="s">
        <v>29</v>
      </c>
      <c r="G401" t="s">
        <v>90</v>
      </c>
      <c r="H401" t="s">
        <v>204</v>
      </c>
      <c r="I401" t="s">
        <v>205</v>
      </c>
      <c r="J401" t="s">
        <v>1724</v>
      </c>
      <c r="K401" s="14">
        <v>45477</v>
      </c>
      <c r="L401" t="s">
        <v>1725</v>
      </c>
      <c r="M401" t="s">
        <v>637</v>
      </c>
      <c r="N401">
        <v>445.81</v>
      </c>
      <c r="O401">
        <v>3</v>
      </c>
      <c r="P401" t="s">
        <v>36</v>
      </c>
      <c r="Q401">
        <v>1</v>
      </c>
      <c r="R401">
        <v>37</v>
      </c>
      <c r="S401">
        <v>45478</v>
      </c>
      <c r="T401" t="s">
        <v>1726</v>
      </c>
      <c r="U401">
        <v>1</v>
      </c>
      <c r="V401">
        <v>1337.43</v>
      </c>
      <c r="W401">
        <v>0.08</v>
      </c>
      <c r="X401">
        <v>1230.4356</v>
      </c>
      <c r="Y401">
        <v>1267.4356</v>
      </c>
      <c r="Z401" t="s">
        <v>2076</v>
      </c>
      <c r="AA401" t="s">
        <v>2066</v>
      </c>
      <c r="AB401">
        <v>7</v>
      </c>
    </row>
    <row r="402" spans="1:28" x14ac:dyDescent="0.3">
      <c r="A402" t="s">
        <v>1727</v>
      </c>
      <c r="B402" t="s">
        <v>1728</v>
      </c>
      <c r="C402" t="s">
        <v>368</v>
      </c>
      <c r="D402" t="s">
        <v>2256</v>
      </c>
      <c r="E402">
        <v>34</v>
      </c>
      <c r="F402" t="s">
        <v>52</v>
      </c>
      <c r="G402" t="s">
        <v>159</v>
      </c>
      <c r="H402" t="s">
        <v>1729</v>
      </c>
      <c r="I402" t="s">
        <v>1730</v>
      </c>
      <c r="J402" t="s">
        <v>1731</v>
      </c>
      <c r="K402" s="14">
        <v>45646</v>
      </c>
      <c r="L402" t="s">
        <v>1732</v>
      </c>
      <c r="M402" t="s">
        <v>323</v>
      </c>
      <c r="N402">
        <v>481.48</v>
      </c>
      <c r="O402">
        <v>4</v>
      </c>
      <c r="P402" t="s">
        <v>58</v>
      </c>
      <c r="Q402">
        <v>4</v>
      </c>
      <c r="R402">
        <v>38</v>
      </c>
      <c r="S402">
        <v>45647</v>
      </c>
      <c r="T402" t="s">
        <v>1733</v>
      </c>
      <c r="U402">
        <v>1</v>
      </c>
      <c r="V402">
        <v>1925.92</v>
      </c>
      <c r="W402">
        <v>0.15</v>
      </c>
      <c r="X402">
        <v>1637.0320000000002</v>
      </c>
      <c r="Y402">
        <v>1675.0320000000002</v>
      </c>
      <c r="Z402" t="s">
        <v>2152</v>
      </c>
      <c r="AA402" t="s">
        <v>2057</v>
      </c>
      <c r="AB402">
        <v>12</v>
      </c>
    </row>
    <row r="403" spans="1:28" x14ac:dyDescent="0.3">
      <c r="A403" t="s">
        <v>393</v>
      </c>
      <c r="B403" t="s">
        <v>394</v>
      </c>
      <c r="C403" t="s">
        <v>395</v>
      </c>
      <c r="D403" t="s">
        <v>2199</v>
      </c>
      <c r="E403">
        <v>40</v>
      </c>
      <c r="F403" t="s">
        <v>52</v>
      </c>
      <c r="G403" t="s">
        <v>168</v>
      </c>
      <c r="H403" t="s">
        <v>396</v>
      </c>
      <c r="I403" t="s">
        <v>397</v>
      </c>
      <c r="J403" t="s">
        <v>1734</v>
      </c>
      <c r="K403" s="14">
        <v>45033</v>
      </c>
      <c r="L403" t="s">
        <v>1735</v>
      </c>
      <c r="M403" t="s">
        <v>563</v>
      </c>
      <c r="N403">
        <v>133.62</v>
      </c>
      <c r="O403">
        <v>1</v>
      </c>
      <c r="P403" t="s">
        <v>58</v>
      </c>
      <c r="Q403">
        <v>5</v>
      </c>
      <c r="R403">
        <v>66</v>
      </c>
      <c r="S403">
        <v>45037</v>
      </c>
      <c r="T403" t="s">
        <v>1736</v>
      </c>
      <c r="U403">
        <v>4</v>
      </c>
      <c r="V403">
        <v>133.62</v>
      </c>
      <c r="W403">
        <v>0.15</v>
      </c>
      <c r="X403">
        <v>113.577</v>
      </c>
      <c r="Y403">
        <v>179.577</v>
      </c>
      <c r="Z403" t="s">
        <v>2095</v>
      </c>
      <c r="AA403" t="s">
        <v>2057</v>
      </c>
      <c r="AB403">
        <v>4</v>
      </c>
    </row>
    <row r="404" spans="1:28" x14ac:dyDescent="0.3">
      <c r="A404" t="s">
        <v>1737</v>
      </c>
      <c r="B404" t="s">
        <v>1738</v>
      </c>
      <c r="C404" t="s">
        <v>1739</v>
      </c>
      <c r="D404" t="s">
        <v>2257</v>
      </c>
      <c r="E404">
        <v>47</v>
      </c>
      <c r="F404" t="s">
        <v>41</v>
      </c>
      <c r="G404" t="s">
        <v>30</v>
      </c>
      <c r="H404" t="s">
        <v>1740</v>
      </c>
      <c r="I404" t="s">
        <v>1741</v>
      </c>
      <c r="J404" t="s">
        <v>1742</v>
      </c>
      <c r="K404" s="14">
        <v>45327</v>
      </c>
      <c r="L404" t="s">
        <v>1743</v>
      </c>
      <c r="M404" t="s">
        <v>553</v>
      </c>
      <c r="N404">
        <v>425.59</v>
      </c>
      <c r="O404">
        <v>3</v>
      </c>
      <c r="P404" t="s">
        <v>96</v>
      </c>
      <c r="Q404">
        <v>7</v>
      </c>
      <c r="R404">
        <v>51</v>
      </c>
      <c r="S404">
        <v>45330</v>
      </c>
      <c r="T404" t="s">
        <v>1744</v>
      </c>
      <c r="U404">
        <v>3</v>
      </c>
      <c r="V404">
        <v>1276.77</v>
      </c>
      <c r="W404">
        <v>0.1</v>
      </c>
      <c r="X404">
        <v>1149.0930000000001</v>
      </c>
      <c r="Y404">
        <v>1200.0930000000001</v>
      </c>
      <c r="Z404" t="s">
        <v>2153</v>
      </c>
      <c r="AA404" t="s">
        <v>2057</v>
      </c>
      <c r="AB404">
        <v>2</v>
      </c>
    </row>
    <row r="405" spans="1:28" x14ac:dyDescent="0.3">
      <c r="A405" t="s">
        <v>1614</v>
      </c>
      <c r="B405" t="s">
        <v>273</v>
      </c>
      <c r="C405" t="s">
        <v>1615</v>
      </c>
      <c r="D405" t="s">
        <v>2255</v>
      </c>
      <c r="E405">
        <v>62</v>
      </c>
      <c r="F405" t="s">
        <v>41</v>
      </c>
      <c r="G405" t="s">
        <v>42</v>
      </c>
      <c r="H405" t="s">
        <v>1616</v>
      </c>
      <c r="I405" t="s">
        <v>1617</v>
      </c>
      <c r="J405" t="s">
        <v>1745</v>
      </c>
      <c r="K405" s="14">
        <v>45517</v>
      </c>
      <c r="L405" t="s">
        <v>1746</v>
      </c>
      <c r="M405" t="s">
        <v>573</v>
      </c>
      <c r="N405">
        <v>477.52</v>
      </c>
      <c r="O405">
        <v>5</v>
      </c>
      <c r="P405" t="s">
        <v>85</v>
      </c>
      <c r="Q405">
        <v>2</v>
      </c>
      <c r="R405">
        <v>60</v>
      </c>
      <c r="S405">
        <v>45520</v>
      </c>
      <c r="T405" t="s">
        <v>1747</v>
      </c>
      <c r="U405">
        <v>3</v>
      </c>
      <c r="V405">
        <v>2387.6</v>
      </c>
      <c r="W405">
        <v>0.2</v>
      </c>
      <c r="X405">
        <v>1910.08</v>
      </c>
      <c r="Y405">
        <v>1970.08</v>
      </c>
      <c r="Z405" t="s">
        <v>2151</v>
      </c>
      <c r="AA405" t="s">
        <v>2061</v>
      </c>
      <c r="AB405">
        <v>8</v>
      </c>
    </row>
    <row r="406" spans="1:28" x14ac:dyDescent="0.3">
      <c r="A406" t="s">
        <v>420</v>
      </c>
      <c r="B406" t="s">
        <v>421</v>
      </c>
      <c r="C406" t="s">
        <v>422</v>
      </c>
      <c r="D406" t="s">
        <v>2202</v>
      </c>
      <c r="E406">
        <v>52</v>
      </c>
      <c r="F406" t="s">
        <v>52</v>
      </c>
      <c r="G406" t="s">
        <v>220</v>
      </c>
      <c r="H406" t="s">
        <v>423</v>
      </c>
      <c r="I406" t="s">
        <v>424</v>
      </c>
      <c r="J406" t="s">
        <v>1748</v>
      </c>
      <c r="K406" s="14">
        <v>45471</v>
      </c>
      <c r="L406" t="s">
        <v>1749</v>
      </c>
      <c r="M406" t="s">
        <v>246</v>
      </c>
      <c r="N406">
        <v>282.63</v>
      </c>
      <c r="O406">
        <v>3</v>
      </c>
      <c r="P406" t="s">
        <v>36</v>
      </c>
      <c r="Q406">
        <v>3</v>
      </c>
      <c r="R406">
        <v>36</v>
      </c>
      <c r="S406">
        <v>45478</v>
      </c>
      <c r="T406" t="s">
        <v>1750</v>
      </c>
      <c r="U406">
        <v>7</v>
      </c>
      <c r="V406">
        <v>847.89</v>
      </c>
      <c r="W406">
        <v>0.08</v>
      </c>
      <c r="X406">
        <v>780.05880000000002</v>
      </c>
      <c r="Y406">
        <v>816.05880000000002</v>
      </c>
      <c r="Z406" t="s">
        <v>2098</v>
      </c>
      <c r="AA406" t="s">
        <v>2061</v>
      </c>
      <c r="AB406">
        <v>6</v>
      </c>
    </row>
    <row r="407" spans="1:28" x14ac:dyDescent="0.3">
      <c r="A407" t="s">
        <v>435</v>
      </c>
      <c r="B407" t="s">
        <v>436</v>
      </c>
      <c r="C407" t="s">
        <v>437</v>
      </c>
      <c r="D407" t="s">
        <v>2203</v>
      </c>
      <c r="E407">
        <v>28</v>
      </c>
      <c r="F407" t="s">
        <v>52</v>
      </c>
      <c r="G407" t="s">
        <v>76</v>
      </c>
      <c r="H407" t="s">
        <v>438</v>
      </c>
      <c r="I407" t="s">
        <v>439</v>
      </c>
      <c r="J407" t="s">
        <v>1751</v>
      </c>
      <c r="K407" s="14">
        <v>45350</v>
      </c>
      <c r="L407" t="s">
        <v>1752</v>
      </c>
      <c r="M407" t="s">
        <v>287</v>
      </c>
      <c r="N407">
        <v>157.63999999999999</v>
      </c>
      <c r="O407">
        <v>1</v>
      </c>
      <c r="P407" t="s">
        <v>85</v>
      </c>
      <c r="Q407">
        <v>1</v>
      </c>
      <c r="R407">
        <v>59</v>
      </c>
      <c r="S407">
        <v>45356</v>
      </c>
      <c r="T407" t="s">
        <v>1753</v>
      </c>
      <c r="U407">
        <v>6</v>
      </c>
      <c r="V407">
        <v>157.63999999999999</v>
      </c>
      <c r="W407">
        <v>0.2</v>
      </c>
      <c r="X407">
        <v>126.11199999999999</v>
      </c>
      <c r="Y407">
        <v>185.11199999999999</v>
      </c>
      <c r="Z407" t="s">
        <v>2099</v>
      </c>
      <c r="AA407" t="s">
        <v>2061</v>
      </c>
      <c r="AB407">
        <v>2</v>
      </c>
    </row>
    <row r="408" spans="1:28" x14ac:dyDescent="0.3">
      <c r="A408" t="s">
        <v>1727</v>
      </c>
      <c r="B408" t="s">
        <v>1728</v>
      </c>
      <c r="C408" t="s">
        <v>368</v>
      </c>
      <c r="D408" t="s">
        <v>2256</v>
      </c>
      <c r="E408">
        <v>34</v>
      </c>
      <c r="F408" t="s">
        <v>52</v>
      </c>
      <c r="G408" t="s">
        <v>159</v>
      </c>
      <c r="H408" t="s">
        <v>1729</v>
      </c>
      <c r="I408" t="s">
        <v>1730</v>
      </c>
      <c r="J408" t="s">
        <v>1754</v>
      </c>
      <c r="K408" s="14">
        <v>45449</v>
      </c>
      <c r="L408" t="s">
        <v>1755</v>
      </c>
      <c r="M408" t="s">
        <v>114</v>
      </c>
      <c r="N408">
        <v>48.45</v>
      </c>
      <c r="O408">
        <v>1</v>
      </c>
      <c r="P408" t="s">
        <v>96</v>
      </c>
      <c r="Q408">
        <v>5</v>
      </c>
      <c r="R408">
        <v>38</v>
      </c>
      <c r="S408">
        <v>45456</v>
      </c>
      <c r="T408" t="s">
        <v>1756</v>
      </c>
      <c r="U408">
        <v>7</v>
      </c>
      <c r="V408">
        <v>48.45</v>
      </c>
      <c r="W408">
        <v>0.1</v>
      </c>
      <c r="X408">
        <v>43.605000000000004</v>
      </c>
      <c r="Y408">
        <v>81.605000000000004</v>
      </c>
      <c r="Z408" t="s">
        <v>2152</v>
      </c>
      <c r="AA408" t="s">
        <v>2061</v>
      </c>
      <c r="AB408">
        <v>6</v>
      </c>
    </row>
    <row r="409" spans="1:28" x14ac:dyDescent="0.3">
      <c r="A409" t="s">
        <v>87</v>
      </c>
      <c r="B409" t="s">
        <v>88</v>
      </c>
      <c r="C409" t="s">
        <v>89</v>
      </c>
      <c r="D409" t="s">
        <v>2168</v>
      </c>
      <c r="E409">
        <v>26</v>
      </c>
      <c r="F409" t="s">
        <v>41</v>
      </c>
      <c r="G409" t="s">
        <v>90</v>
      </c>
      <c r="H409" t="s">
        <v>91</v>
      </c>
      <c r="I409" t="s">
        <v>92</v>
      </c>
      <c r="J409" t="s">
        <v>1757</v>
      </c>
      <c r="K409" s="14">
        <v>45359</v>
      </c>
      <c r="L409" t="s">
        <v>1758</v>
      </c>
      <c r="M409" t="s">
        <v>871</v>
      </c>
      <c r="N409">
        <v>292.14999999999998</v>
      </c>
      <c r="O409">
        <v>1</v>
      </c>
      <c r="P409" t="s">
        <v>85</v>
      </c>
      <c r="Q409">
        <v>5</v>
      </c>
      <c r="R409">
        <v>57</v>
      </c>
      <c r="S409">
        <v>45365</v>
      </c>
      <c r="T409" t="s">
        <v>1759</v>
      </c>
      <c r="U409">
        <v>6</v>
      </c>
      <c r="V409">
        <v>292.14999999999998</v>
      </c>
      <c r="W409">
        <v>0.2</v>
      </c>
      <c r="X409">
        <v>233.71999999999997</v>
      </c>
      <c r="Y409">
        <v>290.71999999999997</v>
      </c>
      <c r="Z409" t="s">
        <v>2063</v>
      </c>
      <c r="AA409" t="s">
        <v>2061</v>
      </c>
      <c r="AB409">
        <v>3</v>
      </c>
    </row>
    <row r="410" spans="1:28" x14ac:dyDescent="0.3">
      <c r="A410" t="s">
        <v>1760</v>
      </c>
      <c r="B410" t="s">
        <v>1761</v>
      </c>
      <c r="C410" t="s">
        <v>395</v>
      </c>
      <c r="D410" t="s">
        <v>2258</v>
      </c>
      <c r="E410">
        <v>57</v>
      </c>
      <c r="F410" t="s">
        <v>41</v>
      </c>
      <c r="G410" t="s">
        <v>90</v>
      </c>
      <c r="H410" t="s">
        <v>1762</v>
      </c>
      <c r="I410" t="s">
        <v>1763</v>
      </c>
      <c r="J410" t="s">
        <v>1764</v>
      </c>
      <c r="K410" s="14">
        <v>45333</v>
      </c>
      <c r="L410" t="s">
        <v>1765</v>
      </c>
      <c r="M410" t="s">
        <v>774</v>
      </c>
      <c r="N410">
        <v>20</v>
      </c>
      <c r="O410">
        <v>4</v>
      </c>
      <c r="P410" t="s">
        <v>85</v>
      </c>
      <c r="Q410">
        <v>1</v>
      </c>
      <c r="R410">
        <v>51</v>
      </c>
      <c r="S410">
        <v>45334</v>
      </c>
      <c r="T410" t="s">
        <v>1766</v>
      </c>
      <c r="U410">
        <v>1</v>
      </c>
      <c r="V410">
        <v>80</v>
      </c>
      <c r="W410">
        <v>0.2</v>
      </c>
      <c r="X410">
        <v>64</v>
      </c>
      <c r="Y410">
        <v>115</v>
      </c>
      <c r="Z410" t="s">
        <v>2154</v>
      </c>
      <c r="AA410" t="s">
        <v>2066</v>
      </c>
      <c r="AB410">
        <v>2</v>
      </c>
    </row>
    <row r="411" spans="1:28" x14ac:dyDescent="0.3">
      <c r="A411" t="s">
        <v>894</v>
      </c>
      <c r="B411" t="s">
        <v>148</v>
      </c>
      <c r="C411" t="s">
        <v>895</v>
      </c>
      <c r="D411" t="s">
        <v>2237</v>
      </c>
      <c r="E411">
        <v>29</v>
      </c>
      <c r="F411" t="s">
        <v>29</v>
      </c>
      <c r="G411" t="s">
        <v>42</v>
      </c>
      <c r="H411" t="s">
        <v>896</v>
      </c>
      <c r="I411" t="s">
        <v>897</v>
      </c>
      <c r="J411" t="s">
        <v>1767</v>
      </c>
      <c r="K411" s="14">
        <v>45681</v>
      </c>
      <c r="L411" t="s">
        <v>1768</v>
      </c>
      <c r="M411" t="s">
        <v>114</v>
      </c>
      <c r="N411">
        <v>48.45</v>
      </c>
      <c r="O411">
        <v>2</v>
      </c>
      <c r="P411" t="s">
        <v>58</v>
      </c>
      <c r="Q411">
        <v>7</v>
      </c>
      <c r="R411">
        <v>56</v>
      </c>
      <c r="S411">
        <v>45687</v>
      </c>
      <c r="T411" t="s">
        <v>1769</v>
      </c>
      <c r="U411">
        <v>6</v>
      </c>
      <c r="V411">
        <v>96.9</v>
      </c>
      <c r="W411">
        <v>0.15</v>
      </c>
      <c r="X411">
        <v>82.365000000000009</v>
      </c>
      <c r="Y411">
        <v>138.36500000000001</v>
      </c>
      <c r="Z411" t="s">
        <v>2133</v>
      </c>
      <c r="AA411" t="s">
        <v>2057</v>
      </c>
      <c r="AB411">
        <v>1</v>
      </c>
    </row>
    <row r="412" spans="1:28" x14ac:dyDescent="0.3">
      <c r="A412" t="s">
        <v>646</v>
      </c>
      <c r="B412" t="s">
        <v>647</v>
      </c>
      <c r="C412" t="s">
        <v>648</v>
      </c>
      <c r="D412" t="s">
        <v>2222</v>
      </c>
      <c r="E412">
        <v>45</v>
      </c>
      <c r="F412" t="s">
        <v>52</v>
      </c>
      <c r="G412" t="s">
        <v>90</v>
      </c>
      <c r="H412" t="s">
        <v>649</v>
      </c>
      <c r="I412" t="s">
        <v>650</v>
      </c>
      <c r="J412" t="s">
        <v>1770</v>
      </c>
      <c r="K412" s="14">
        <v>45190</v>
      </c>
      <c r="L412" t="s">
        <v>1771</v>
      </c>
      <c r="M412" t="s">
        <v>242</v>
      </c>
      <c r="N412">
        <v>126.19</v>
      </c>
      <c r="O412">
        <v>2</v>
      </c>
      <c r="P412" t="s">
        <v>85</v>
      </c>
      <c r="Q412">
        <v>4</v>
      </c>
      <c r="R412">
        <v>67</v>
      </c>
      <c r="S412">
        <v>45196</v>
      </c>
      <c r="T412" t="s">
        <v>1772</v>
      </c>
      <c r="U412">
        <v>6</v>
      </c>
      <c r="V412">
        <v>252.38</v>
      </c>
      <c r="W412">
        <v>0.2</v>
      </c>
      <c r="X412">
        <v>201.904</v>
      </c>
      <c r="Y412">
        <v>268.904</v>
      </c>
      <c r="Z412" t="s">
        <v>2118</v>
      </c>
      <c r="AA412" t="s">
        <v>2061</v>
      </c>
      <c r="AB412">
        <v>9</v>
      </c>
    </row>
    <row r="413" spans="1:28" x14ac:dyDescent="0.3">
      <c r="A413" t="s">
        <v>1457</v>
      </c>
      <c r="B413" t="s">
        <v>273</v>
      </c>
      <c r="C413" t="s">
        <v>1458</v>
      </c>
      <c r="D413" t="s">
        <v>2253</v>
      </c>
      <c r="E413">
        <v>30</v>
      </c>
      <c r="F413" t="s">
        <v>29</v>
      </c>
      <c r="G413" t="s">
        <v>220</v>
      </c>
      <c r="H413" t="s">
        <v>1459</v>
      </c>
      <c r="I413" t="s">
        <v>1460</v>
      </c>
      <c r="J413" t="s">
        <v>1773</v>
      </c>
      <c r="K413" s="14">
        <v>45393</v>
      </c>
      <c r="L413" t="s">
        <v>1774</v>
      </c>
      <c r="M413" t="s">
        <v>242</v>
      </c>
      <c r="N413">
        <v>126.19</v>
      </c>
      <c r="O413">
        <v>4</v>
      </c>
      <c r="P413" t="s">
        <v>36</v>
      </c>
      <c r="Q413">
        <v>5</v>
      </c>
      <c r="R413">
        <v>69</v>
      </c>
      <c r="S413">
        <v>45396</v>
      </c>
      <c r="T413" t="s">
        <v>1775</v>
      </c>
      <c r="U413">
        <v>3</v>
      </c>
      <c r="V413">
        <v>504.76</v>
      </c>
      <c r="W413">
        <v>0.08</v>
      </c>
      <c r="X413">
        <v>464.37919999999997</v>
      </c>
      <c r="Y413">
        <v>533.37919999999997</v>
      </c>
      <c r="Z413" t="s">
        <v>2149</v>
      </c>
      <c r="AA413" t="s">
        <v>2057</v>
      </c>
      <c r="AB413">
        <v>4</v>
      </c>
    </row>
    <row r="414" spans="1:28" x14ac:dyDescent="0.3">
      <c r="A414" t="s">
        <v>293</v>
      </c>
      <c r="B414" t="s">
        <v>294</v>
      </c>
      <c r="C414" t="s">
        <v>295</v>
      </c>
      <c r="D414" t="s">
        <v>2189</v>
      </c>
      <c r="E414">
        <v>48</v>
      </c>
      <c r="F414" t="s">
        <v>41</v>
      </c>
      <c r="G414" t="s">
        <v>90</v>
      </c>
      <c r="H414" t="s">
        <v>296</v>
      </c>
      <c r="I414" t="s">
        <v>297</v>
      </c>
      <c r="J414" t="s">
        <v>1776</v>
      </c>
      <c r="K414" s="14">
        <v>45399</v>
      </c>
      <c r="L414" t="s">
        <v>1777</v>
      </c>
      <c r="M414" t="s">
        <v>356</v>
      </c>
      <c r="N414">
        <v>496.59</v>
      </c>
      <c r="O414">
        <v>3</v>
      </c>
      <c r="P414" t="s">
        <v>63</v>
      </c>
      <c r="Q414">
        <v>3</v>
      </c>
      <c r="R414">
        <v>49</v>
      </c>
      <c r="S414">
        <v>45406</v>
      </c>
      <c r="T414" t="s">
        <v>1778</v>
      </c>
      <c r="U414">
        <v>7</v>
      </c>
      <c r="V414">
        <v>1489.77</v>
      </c>
      <c r="W414">
        <v>0</v>
      </c>
      <c r="X414">
        <v>1489.77</v>
      </c>
      <c r="Y414">
        <v>1489.77</v>
      </c>
      <c r="Z414" t="s">
        <v>2085</v>
      </c>
      <c r="AA414" t="s">
        <v>2061</v>
      </c>
      <c r="AB414">
        <v>4</v>
      </c>
    </row>
    <row r="415" spans="1:28" x14ac:dyDescent="0.3">
      <c r="A415" t="s">
        <v>349</v>
      </c>
      <c r="B415" t="s">
        <v>350</v>
      </c>
      <c r="C415" t="s">
        <v>351</v>
      </c>
      <c r="D415" t="s">
        <v>2194</v>
      </c>
      <c r="E415">
        <v>70</v>
      </c>
      <c r="F415" t="s">
        <v>29</v>
      </c>
      <c r="G415" t="s">
        <v>168</v>
      </c>
      <c r="H415" t="s">
        <v>352</v>
      </c>
      <c r="I415" t="s">
        <v>353</v>
      </c>
      <c r="J415" t="s">
        <v>1779</v>
      </c>
      <c r="K415" s="14">
        <v>45396</v>
      </c>
      <c r="L415" t="s">
        <v>1780</v>
      </c>
      <c r="M415" t="s">
        <v>686</v>
      </c>
      <c r="N415">
        <v>424.82</v>
      </c>
      <c r="O415">
        <v>4</v>
      </c>
      <c r="P415" t="s">
        <v>58</v>
      </c>
      <c r="Q415">
        <v>1</v>
      </c>
      <c r="R415">
        <v>70</v>
      </c>
      <c r="S415">
        <v>45402</v>
      </c>
      <c r="T415" t="s">
        <v>1781</v>
      </c>
      <c r="U415">
        <v>6</v>
      </c>
      <c r="V415">
        <v>1699.28</v>
      </c>
      <c r="W415">
        <v>0.15</v>
      </c>
      <c r="X415">
        <v>1444.3879999999999</v>
      </c>
      <c r="Y415">
        <v>1514.3879999999999</v>
      </c>
      <c r="Z415" t="s">
        <v>2090</v>
      </c>
      <c r="AA415" t="s">
        <v>2061</v>
      </c>
      <c r="AB415">
        <v>4</v>
      </c>
    </row>
    <row r="416" spans="1:28" x14ac:dyDescent="0.3">
      <c r="A416" t="s">
        <v>175</v>
      </c>
      <c r="B416" t="s">
        <v>176</v>
      </c>
      <c r="C416" t="s">
        <v>177</v>
      </c>
      <c r="D416" t="s">
        <v>2177</v>
      </c>
      <c r="E416">
        <v>36</v>
      </c>
      <c r="F416" t="s">
        <v>52</v>
      </c>
      <c r="G416" t="s">
        <v>140</v>
      </c>
      <c r="H416" t="s">
        <v>178</v>
      </c>
      <c r="I416" t="s">
        <v>179</v>
      </c>
      <c r="J416" t="s">
        <v>1782</v>
      </c>
      <c r="K416" s="14">
        <v>45194</v>
      </c>
      <c r="L416" t="s">
        <v>1783</v>
      </c>
      <c r="M416" t="s">
        <v>774</v>
      </c>
      <c r="N416">
        <v>20</v>
      </c>
      <c r="O416">
        <v>2</v>
      </c>
      <c r="P416" t="s">
        <v>96</v>
      </c>
      <c r="Q416">
        <v>1</v>
      </c>
      <c r="R416">
        <v>68</v>
      </c>
      <c r="S416">
        <v>45195</v>
      </c>
      <c r="T416" t="s">
        <v>1784</v>
      </c>
      <c r="U416">
        <v>1</v>
      </c>
      <c r="V416">
        <v>40</v>
      </c>
      <c r="W416">
        <v>0.1</v>
      </c>
      <c r="X416">
        <v>36</v>
      </c>
      <c r="Y416">
        <v>104</v>
      </c>
      <c r="Z416" t="s">
        <v>2073</v>
      </c>
      <c r="AA416" t="s">
        <v>2066</v>
      </c>
      <c r="AB416">
        <v>9</v>
      </c>
    </row>
    <row r="417" spans="1:28" x14ac:dyDescent="0.3">
      <c r="A417" t="s">
        <v>1737</v>
      </c>
      <c r="B417" t="s">
        <v>1738</v>
      </c>
      <c r="C417" t="s">
        <v>1739</v>
      </c>
      <c r="D417" t="s">
        <v>2257</v>
      </c>
      <c r="E417">
        <v>47</v>
      </c>
      <c r="F417" t="s">
        <v>41</v>
      </c>
      <c r="G417" t="s">
        <v>30</v>
      </c>
      <c r="H417" t="s">
        <v>1740</v>
      </c>
      <c r="I417" t="s">
        <v>1741</v>
      </c>
      <c r="J417" t="s">
        <v>1785</v>
      </c>
      <c r="K417" s="14">
        <v>45216</v>
      </c>
      <c r="L417" t="s">
        <v>1786</v>
      </c>
      <c r="M417" t="s">
        <v>57</v>
      </c>
      <c r="N417">
        <v>202.54</v>
      </c>
      <c r="O417">
        <v>5</v>
      </c>
      <c r="P417" t="s">
        <v>96</v>
      </c>
      <c r="Q417">
        <v>4</v>
      </c>
      <c r="R417">
        <v>58</v>
      </c>
      <c r="S417">
        <v>45218</v>
      </c>
      <c r="T417" t="s">
        <v>1787</v>
      </c>
      <c r="U417">
        <v>2</v>
      </c>
      <c r="V417">
        <v>1012.6999999999999</v>
      </c>
      <c r="W417">
        <v>0.1</v>
      </c>
      <c r="X417">
        <v>911.43</v>
      </c>
      <c r="Y417">
        <v>969.43</v>
      </c>
      <c r="Z417" t="s">
        <v>2153</v>
      </c>
      <c r="AA417" t="s">
        <v>2057</v>
      </c>
      <c r="AB417">
        <v>10</v>
      </c>
    </row>
    <row r="418" spans="1:28" x14ac:dyDescent="0.3">
      <c r="A418" t="s">
        <v>175</v>
      </c>
      <c r="B418" t="s">
        <v>176</v>
      </c>
      <c r="C418" t="s">
        <v>177</v>
      </c>
      <c r="D418" t="s">
        <v>2177</v>
      </c>
      <c r="E418">
        <v>36</v>
      </c>
      <c r="F418" t="s">
        <v>52</v>
      </c>
      <c r="G418" t="s">
        <v>140</v>
      </c>
      <c r="H418" t="s">
        <v>178</v>
      </c>
      <c r="I418" t="s">
        <v>179</v>
      </c>
      <c r="J418" t="s">
        <v>1788</v>
      </c>
      <c r="K418" s="14">
        <v>45368</v>
      </c>
      <c r="L418" t="s">
        <v>1789</v>
      </c>
      <c r="M418" t="s">
        <v>514</v>
      </c>
      <c r="N418">
        <v>136.30000000000001</v>
      </c>
      <c r="O418">
        <v>4</v>
      </c>
      <c r="P418" t="s">
        <v>36</v>
      </c>
      <c r="Q418">
        <v>6</v>
      </c>
      <c r="R418">
        <v>52</v>
      </c>
      <c r="S418">
        <v>45371</v>
      </c>
      <c r="T418" t="s">
        <v>1790</v>
      </c>
      <c r="U418">
        <v>3</v>
      </c>
      <c r="V418">
        <v>545.20000000000005</v>
      </c>
      <c r="W418">
        <v>0.08</v>
      </c>
      <c r="X418">
        <v>501.58400000000006</v>
      </c>
      <c r="Y418">
        <v>553.58400000000006</v>
      </c>
      <c r="Z418" t="s">
        <v>2073</v>
      </c>
      <c r="AA418" t="s">
        <v>2057</v>
      </c>
      <c r="AB418">
        <v>3</v>
      </c>
    </row>
    <row r="419" spans="1:28" x14ac:dyDescent="0.3">
      <c r="A419" t="s">
        <v>107</v>
      </c>
      <c r="B419" t="s">
        <v>108</v>
      </c>
      <c r="C419" t="s">
        <v>109</v>
      </c>
      <c r="D419" t="s">
        <v>2170</v>
      </c>
      <c r="E419">
        <v>48</v>
      </c>
      <c r="F419" t="s">
        <v>52</v>
      </c>
      <c r="G419" t="s">
        <v>42</v>
      </c>
      <c r="H419" t="s">
        <v>110</v>
      </c>
      <c r="I419" t="s">
        <v>111</v>
      </c>
      <c r="J419" t="s">
        <v>1791</v>
      </c>
      <c r="K419" s="14">
        <v>45661</v>
      </c>
      <c r="L419" t="s">
        <v>1007</v>
      </c>
      <c r="M419" t="s">
        <v>287</v>
      </c>
      <c r="N419">
        <v>157.63999999999999</v>
      </c>
      <c r="O419">
        <v>4</v>
      </c>
      <c r="P419" t="s">
        <v>63</v>
      </c>
      <c r="Q419">
        <v>7</v>
      </c>
      <c r="R419">
        <v>42</v>
      </c>
      <c r="S419">
        <v>45663</v>
      </c>
      <c r="T419" t="s">
        <v>1792</v>
      </c>
      <c r="U419">
        <v>2</v>
      </c>
      <c r="V419">
        <v>630.55999999999995</v>
      </c>
      <c r="W419">
        <v>0</v>
      </c>
      <c r="X419">
        <v>630.55999999999995</v>
      </c>
      <c r="Y419">
        <v>630.55999999999995</v>
      </c>
      <c r="Z419" t="s">
        <v>2065</v>
      </c>
      <c r="AA419" t="s">
        <v>2057</v>
      </c>
      <c r="AB419">
        <v>1</v>
      </c>
    </row>
    <row r="420" spans="1:28" x14ac:dyDescent="0.3">
      <c r="A420" t="s">
        <v>507</v>
      </c>
      <c r="B420" t="s">
        <v>508</v>
      </c>
      <c r="C420" t="s">
        <v>509</v>
      </c>
      <c r="D420" t="s">
        <v>2212</v>
      </c>
      <c r="E420">
        <v>64</v>
      </c>
      <c r="F420" t="s">
        <v>29</v>
      </c>
      <c r="G420" t="s">
        <v>30</v>
      </c>
      <c r="H420" t="s">
        <v>510</v>
      </c>
      <c r="I420" t="s">
        <v>511</v>
      </c>
      <c r="J420" t="s">
        <v>1793</v>
      </c>
      <c r="K420" s="14">
        <v>45147</v>
      </c>
      <c r="L420" t="s">
        <v>1794</v>
      </c>
      <c r="M420" t="s">
        <v>941</v>
      </c>
      <c r="N420">
        <v>107.47</v>
      </c>
      <c r="O420">
        <v>5</v>
      </c>
      <c r="P420" t="s">
        <v>85</v>
      </c>
      <c r="Q420">
        <v>6</v>
      </c>
      <c r="R420">
        <v>47</v>
      </c>
      <c r="S420">
        <v>45149</v>
      </c>
      <c r="T420" t="s">
        <v>1795</v>
      </c>
      <c r="U420">
        <v>2</v>
      </c>
      <c r="V420">
        <v>537.35</v>
      </c>
      <c r="W420">
        <v>0.2</v>
      </c>
      <c r="X420">
        <v>429.88</v>
      </c>
      <c r="Y420">
        <v>476.88</v>
      </c>
      <c r="Z420" t="s">
        <v>2108</v>
      </c>
      <c r="AA420" t="s">
        <v>2057</v>
      </c>
      <c r="AB420">
        <v>8</v>
      </c>
    </row>
    <row r="421" spans="1:28" x14ac:dyDescent="0.3">
      <c r="A421" t="s">
        <v>366</v>
      </c>
      <c r="B421" t="s">
        <v>367</v>
      </c>
      <c r="C421" t="s">
        <v>368</v>
      </c>
      <c r="D421" t="s">
        <v>2196</v>
      </c>
      <c r="E421">
        <v>31</v>
      </c>
      <c r="F421" t="s">
        <v>52</v>
      </c>
      <c r="G421" t="s">
        <v>140</v>
      </c>
      <c r="H421" t="s">
        <v>369</v>
      </c>
      <c r="I421" t="s">
        <v>370</v>
      </c>
      <c r="J421" t="s">
        <v>1796</v>
      </c>
      <c r="K421" s="14">
        <v>45653</v>
      </c>
      <c r="L421" t="s">
        <v>1797</v>
      </c>
      <c r="M421" t="s">
        <v>250</v>
      </c>
      <c r="N421">
        <v>128.13999999999999</v>
      </c>
      <c r="O421">
        <v>1</v>
      </c>
      <c r="P421" t="s">
        <v>63</v>
      </c>
      <c r="Q421">
        <v>3</v>
      </c>
      <c r="R421">
        <v>55</v>
      </c>
      <c r="S421">
        <v>45655</v>
      </c>
      <c r="T421" t="s">
        <v>1798</v>
      </c>
      <c r="U421">
        <v>2</v>
      </c>
      <c r="V421">
        <v>128.13999999999999</v>
      </c>
      <c r="W421">
        <v>0</v>
      </c>
      <c r="X421">
        <v>128.13999999999999</v>
      </c>
      <c r="Y421">
        <v>128.13999999999999</v>
      </c>
      <c r="Z421" t="s">
        <v>2092</v>
      </c>
      <c r="AA421" t="s">
        <v>2057</v>
      </c>
      <c r="AB421">
        <v>12</v>
      </c>
    </row>
    <row r="422" spans="1:28" x14ac:dyDescent="0.3">
      <c r="A422" t="s">
        <v>546</v>
      </c>
      <c r="B422" t="s">
        <v>547</v>
      </c>
      <c r="C422" t="s">
        <v>548</v>
      </c>
      <c r="D422" t="s">
        <v>2216</v>
      </c>
      <c r="E422">
        <v>33</v>
      </c>
      <c r="F422" t="s">
        <v>52</v>
      </c>
      <c r="G422" t="s">
        <v>168</v>
      </c>
      <c r="H422" t="s">
        <v>549</v>
      </c>
      <c r="I422" t="s">
        <v>550</v>
      </c>
      <c r="J422" t="s">
        <v>1799</v>
      </c>
      <c r="K422" s="14">
        <v>45351</v>
      </c>
      <c r="L422" t="s">
        <v>1800</v>
      </c>
      <c r="M422" t="s">
        <v>553</v>
      </c>
      <c r="N422">
        <v>425.59</v>
      </c>
      <c r="O422">
        <v>2</v>
      </c>
      <c r="P422" t="s">
        <v>96</v>
      </c>
      <c r="Q422">
        <v>4</v>
      </c>
      <c r="R422">
        <v>64</v>
      </c>
      <c r="S422">
        <v>45358</v>
      </c>
      <c r="T422" t="s">
        <v>1801</v>
      </c>
      <c r="U422">
        <v>7</v>
      </c>
      <c r="V422">
        <v>851.18</v>
      </c>
      <c r="W422">
        <v>0.1</v>
      </c>
      <c r="X422">
        <v>766.0619999999999</v>
      </c>
      <c r="Y422">
        <v>830.0619999999999</v>
      </c>
      <c r="Z422" t="s">
        <v>2112</v>
      </c>
      <c r="AA422" t="s">
        <v>2061</v>
      </c>
      <c r="AB422">
        <v>2</v>
      </c>
    </row>
    <row r="423" spans="1:28" x14ac:dyDescent="0.3">
      <c r="A423" t="s">
        <v>401</v>
      </c>
      <c r="B423" t="s">
        <v>402</v>
      </c>
      <c r="C423" t="s">
        <v>403</v>
      </c>
      <c r="D423" t="s">
        <v>2200</v>
      </c>
      <c r="E423">
        <v>70</v>
      </c>
      <c r="F423" t="s">
        <v>29</v>
      </c>
      <c r="G423" t="s">
        <v>30</v>
      </c>
      <c r="H423" t="s">
        <v>404</v>
      </c>
      <c r="I423" t="s">
        <v>405</v>
      </c>
      <c r="J423" t="s">
        <v>1802</v>
      </c>
      <c r="K423" s="14">
        <v>45622</v>
      </c>
      <c r="L423" t="s">
        <v>1803</v>
      </c>
      <c r="M423" t="s">
        <v>984</v>
      </c>
      <c r="N423">
        <v>33.49</v>
      </c>
      <c r="O423">
        <v>5</v>
      </c>
      <c r="P423" t="s">
        <v>85</v>
      </c>
      <c r="Q423">
        <v>5</v>
      </c>
      <c r="R423">
        <v>64</v>
      </c>
      <c r="S423">
        <v>45628</v>
      </c>
      <c r="T423" t="s">
        <v>1804</v>
      </c>
      <c r="U423">
        <v>6</v>
      </c>
      <c r="V423">
        <v>167.45000000000002</v>
      </c>
      <c r="W423">
        <v>0.2</v>
      </c>
      <c r="X423">
        <v>133.96</v>
      </c>
      <c r="Y423">
        <v>197.96</v>
      </c>
      <c r="Z423" t="s">
        <v>2096</v>
      </c>
      <c r="AA423" t="s">
        <v>2061</v>
      </c>
      <c r="AB423">
        <v>11</v>
      </c>
    </row>
    <row r="424" spans="1:28" x14ac:dyDescent="0.3">
      <c r="A424" t="s">
        <v>236</v>
      </c>
      <c r="B424" t="s">
        <v>66</v>
      </c>
      <c r="C424" t="s">
        <v>237</v>
      </c>
      <c r="D424" t="s">
        <v>2184</v>
      </c>
      <c r="E424">
        <v>52</v>
      </c>
      <c r="F424" t="s">
        <v>52</v>
      </c>
      <c r="G424" t="s">
        <v>42</v>
      </c>
      <c r="H424" t="s">
        <v>238</v>
      </c>
      <c r="I424" t="s">
        <v>239</v>
      </c>
      <c r="J424" t="s">
        <v>1805</v>
      </c>
      <c r="K424" s="14">
        <v>45269</v>
      </c>
      <c r="L424" t="s">
        <v>1806</v>
      </c>
      <c r="M424" t="s">
        <v>657</v>
      </c>
      <c r="N424">
        <v>235.63</v>
      </c>
      <c r="O424">
        <v>1</v>
      </c>
      <c r="P424" t="s">
        <v>63</v>
      </c>
      <c r="Q424">
        <v>6</v>
      </c>
      <c r="R424">
        <v>35</v>
      </c>
      <c r="S424">
        <v>45272</v>
      </c>
      <c r="T424" t="s">
        <v>1807</v>
      </c>
      <c r="U424">
        <v>3</v>
      </c>
      <c r="V424">
        <v>235.63</v>
      </c>
      <c r="W424">
        <v>0</v>
      </c>
      <c r="X424">
        <v>235.63</v>
      </c>
      <c r="Y424">
        <v>235.63</v>
      </c>
      <c r="Z424" t="s">
        <v>2080</v>
      </c>
      <c r="AA424" t="s">
        <v>2057</v>
      </c>
      <c r="AB424">
        <v>12</v>
      </c>
    </row>
    <row r="425" spans="1:28" x14ac:dyDescent="0.3">
      <c r="A425" t="s">
        <v>1457</v>
      </c>
      <c r="B425" t="s">
        <v>273</v>
      </c>
      <c r="C425" t="s">
        <v>1458</v>
      </c>
      <c r="D425" t="s">
        <v>2253</v>
      </c>
      <c r="E425">
        <v>30</v>
      </c>
      <c r="F425" t="s">
        <v>29</v>
      </c>
      <c r="G425" t="s">
        <v>220</v>
      </c>
      <c r="H425" t="s">
        <v>1459</v>
      </c>
      <c r="I425" t="s">
        <v>1460</v>
      </c>
      <c r="J425" t="s">
        <v>1808</v>
      </c>
      <c r="K425" s="14">
        <v>45695</v>
      </c>
      <c r="L425" t="s">
        <v>1809</v>
      </c>
      <c r="M425" t="s">
        <v>774</v>
      </c>
      <c r="N425">
        <v>20</v>
      </c>
      <c r="O425">
        <v>3</v>
      </c>
      <c r="P425" t="s">
        <v>96</v>
      </c>
      <c r="Q425">
        <v>7</v>
      </c>
      <c r="R425">
        <v>65</v>
      </c>
      <c r="S425">
        <v>45701</v>
      </c>
      <c r="T425" t="s">
        <v>1810</v>
      </c>
      <c r="U425">
        <v>6</v>
      </c>
      <c r="V425">
        <v>60</v>
      </c>
      <c r="W425">
        <v>0.1</v>
      </c>
      <c r="X425">
        <v>54</v>
      </c>
      <c r="Y425">
        <v>119</v>
      </c>
      <c r="Z425" t="s">
        <v>2149</v>
      </c>
      <c r="AA425" t="s">
        <v>2057</v>
      </c>
      <c r="AB425">
        <v>2</v>
      </c>
    </row>
    <row r="426" spans="1:28" x14ac:dyDescent="0.3">
      <c r="A426" t="s">
        <v>731</v>
      </c>
      <c r="B426" t="s">
        <v>732</v>
      </c>
      <c r="C426" t="s">
        <v>733</v>
      </c>
      <c r="D426" t="s">
        <v>2229</v>
      </c>
      <c r="E426">
        <v>30</v>
      </c>
      <c r="F426" t="s">
        <v>29</v>
      </c>
      <c r="G426" t="s">
        <v>159</v>
      </c>
      <c r="H426" t="s">
        <v>734</v>
      </c>
      <c r="I426" t="s">
        <v>735</v>
      </c>
      <c r="J426" t="s">
        <v>1811</v>
      </c>
      <c r="K426" s="14">
        <v>45587</v>
      </c>
      <c r="L426" t="s">
        <v>1812</v>
      </c>
      <c r="M426" t="s">
        <v>984</v>
      </c>
      <c r="N426">
        <v>33.49</v>
      </c>
      <c r="O426">
        <v>5</v>
      </c>
      <c r="P426" t="s">
        <v>85</v>
      </c>
      <c r="Q426">
        <v>2</v>
      </c>
      <c r="R426">
        <v>58</v>
      </c>
      <c r="S426">
        <v>45589</v>
      </c>
      <c r="T426" t="s">
        <v>1813</v>
      </c>
      <c r="U426">
        <v>2</v>
      </c>
      <c r="V426">
        <v>167.45000000000002</v>
      </c>
      <c r="W426">
        <v>0.2</v>
      </c>
      <c r="X426">
        <v>133.96</v>
      </c>
      <c r="Y426">
        <v>191.96</v>
      </c>
      <c r="Z426" t="s">
        <v>2125</v>
      </c>
      <c r="AA426" t="s">
        <v>2066</v>
      </c>
      <c r="AB426">
        <v>10</v>
      </c>
    </row>
    <row r="427" spans="1:28" x14ac:dyDescent="0.3">
      <c r="A427" t="s">
        <v>646</v>
      </c>
      <c r="B427" t="s">
        <v>647</v>
      </c>
      <c r="C427" t="s">
        <v>648</v>
      </c>
      <c r="D427" t="s">
        <v>2222</v>
      </c>
      <c r="E427">
        <v>45</v>
      </c>
      <c r="F427" t="s">
        <v>52</v>
      </c>
      <c r="G427" t="s">
        <v>90</v>
      </c>
      <c r="H427" t="s">
        <v>649</v>
      </c>
      <c r="I427" t="s">
        <v>650</v>
      </c>
      <c r="J427" t="s">
        <v>1814</v>
      </c>
      <c r="K427" s="14">
        <v>44987</v>
      </c>
      <c r="L427" t="s">
        <v>1815</v>
      </c>
      <c r="M427" t="s">
        <v>514</v>
      </c>
      <c r="N427">
        <v>136.30000000000001</v>
      </c>
      <c r="O427">
        <v>1</v>
      </c>
      <c r="P427" t="s">
        <v>36</v>
      </c>
      <c r="Q427">
        <v>4</v>
      </c>
      <c r="R427">
        <v>41</v>
      </c>
      <c r="S427">
        <v>44988</v>
      </c>
      <c r="T427" t="s">
        <v>1816</v>
      </c>
      <c r="U427">
        <v>1</v>
      </c>
      <c r="V427">
        <v>136.30000000000001</v>
      </c>
      <c r="W427">
        <v>0.08</v>
      </c>
      <c r="X427">
        <v>125.39600000000002</v>
      </c>
      <c r="Y427">
        <v>166.39600000000002</v>
      </c>
      <c r="Z427" t="s">
        <v>2118</v>
      </c>
      <c r="AA427" t="s">
        <v>2057</v>
      </c>
      <c r="AB427">
        <v>3</v>
      </c>
    </row>
    <row r="428" spans="1:28" x14ac:dyDescent="0.3">
      <c r="A428" t="s">
        <v>1817</v>
      </c>
      <c r="B428" t="s">
        <v>1818</v>
      </c>
      <c r="C428" t="s">
        <v>194</v>
      </c>
      <c r="D428" t="s">
        <v>2259</v>
      </c>
      <c r="E428">
        <v>29</v>
      </c>
      <c r="F428" t="s">
        <v>52</v>
      </c>
      <c r="G428" t="s">
        <v>90</v>
      </c>
      <c r="H428" t="s">
        <v>1819</v>
      </c>
      <c r="I428" t="s">
        <v>1820</v>
      </c>
      <c r="J428" t="s">
        <v>1821</v>
      </c>
      <c r="K428" s="14">
        <v>45537</v>
      </c>
      <c r="L428" t="s">
        <v>1822</v>
      </c>
      <c r="M428" t="s">
        <v>270</v>
      </c>
      <c r="N428">
        <v>62.42</v>
      </c>
      <c r="O428">
        <v>1</v>
      </c>
      <c r="P428" t="s">
        <v>36</v>
      </c>
      <c r="Q428">
        <v>3</v>
      </c>
      <c r="R428">
        <v>48</v>
      </c>
      <c r="S428">
        <v>45542</v>
      </c>
      <c r="T428" t="s">
        <v>1823</v>
      </c>
      <c r="U428">
        <v>5</v>
      </c>
      <c r="V428">
        <v>62.42</v>
      </c>
      <c r="W428">
        <v>0.08</v>
      </c>
      <c r="X428">
        <v>57.426400000000001</v>
      </c>
      <c r="Y428">
        <v>105.4264</v>
      </c>
      <c r="Z428" t="s">
        <v>2155</v>
      </c>
      <c r="AA428" t="s">
        <v>2061</v>
      </c>
      <c r="AB428">
        <v>9</v>
      </c>
    </row>
    <row r="429" spans="1:28" x14ac:dyDescent="0.3">
      <c r="A429" t="s">
        <v>520</v>
      </c>
      <c r="B429" t="s">
        <v>521</v>
      </c>
      <c r="C429" t="s">
        <v>522</v>
      </c>
      <c r="D429" t="s">
        <v>2213</v>
      </c>
      <c r="E429">
        <v>42</v>
      </c>
      <c r="F429" t="s">
        <v>52</v>
      </c>
      <c r="G429" t="s">
        <v>76</v>
      </c>
      <c r="H429" t="s">
        <v>523</v>
      </c>
      <c r="I429" t="s">
        <v>524</v>
      </c>
      <c r="J429" t="s">
        <v>1824</v>
      </c>
      <c r="K429" s="14">
        <v>45646</v>
      </c>
      <c r="L429" t="s">
        <v>1825</v>
      </c>
      <c r="M429" t="s">
        <v>553</v>
      </c>
      <c r="N429">
        <v>425.59</v>
      </c>
      <c r="O429">
        <v>5</v>
      </c>
      <c r="P429" t="s">
        <v>63</v>
      </c>
      <c r="Q429">
        <v>5</v>
      </c>
      <c r="R429">
        <v>47</v>
      </c>
      <c r="S429">
        <v>45652</v>
      </c>
      <c r="T429" t="s">
        <v>1826</v>
      </c>
      <c r="U429">
        <v>6</v>
      </c>
      <c r="V429">
        <v>2127.9499999999998</v>
      </c>
      <c r="W429">
        <v>0</v>
      </c>
      <c r="X429">
        <v>2127.9499999999998</v>
      </c>
      <c r="Y429">
        <v>2127.9499999999998</v>
      </c>
      <c r="Z429" t="s">
        <v>2109</v>
      </c>
      <c r="AA429" t="s">
        <v>2061</v>
      </c>
      <c r="AB429">
        <v>12</v>
      </c>
    </row>
    <row r="430" spans="1:28" x14ac:dyDescent="0.3">
      <c r="A430" t="s">
        <v>192</v>
      </c>
      <c r="B430" t="s">
        <v>193</v>
      </c>
      <c r="C430" t="s">
        <v>194</v>
      </c>
      <c r="D430" t="s">
        <v>2179</v>
      </c>
      <c r="E430">
        <v>34</v>
      </c>
      <c r="F430" t="s">
        <v>29</v>
      </c>
      <c r="G430" t="s">
        <v>90</v>
      </c>
      <c r="H430" t="s">
        <v>195</v>
      </c>
      <c r="I430" t="s">
        <v>196</v>
      </c>
      <c r="J430" t="s">
        <v>1827</v>
      </c>
      <c r="K430" s="14">
        <v>45504</v>
      </c>
      <c r="L430" t="s">
        <v>1828</v>
      </c>
      <c r="M430" t="s">
        <v>941</v>
      </c>
      <c r="N430">
        <v>107.47</v>
      </c>
      <c r="O430">
        <v>5</v>
      </c>
      <c r="P430" t="s">
        <v>96</v>
      </c>
      <c r="Q430">
        <v>5</v>
      </c>
      <c r="R430">
        <v>48</v>
      </c>
      <c r="S430">
        <v>45505</v>
      </c>
      <c r="T430" t="s">
        <v>1829</v>
      </c>
      <c r="U430">
        <v>1</v>
      </c>
      <c r="V430">
        <v>537.35</v>
      </c>
      <c r="W430">
        <v>0.1</v>
      </c>
      <c r="X430">
        <v>483.61500000000001</v>
      </c>
      <c r="Y430">
        <v>531.61500000000001</v>
      </c>
      <c r="Z430" t="s">
        <v>2075</v>
      </c>
      <c r="AA430" t="s">
        <v>2057</v>
      </c>
      <c r="AB430">
        <v>7</v>
      </c>
    </row>
    <row r="431" spans="1:28" x14ac:dyDescent="0.3">
      <c r="A431" t="s">
        <v>137</v>
      </c>
      <c r="B431" t="s">
        <v>138</v>
      </c>
      <c r="C431" t="s">
        <v>139</v>
      </c>
      <c r="D431" t="s">
        <v>2173</v>
      </c>
      <c r="E431">
        <v>25</v>
      </c>
      <c r="F431" t="s">
        <v>52</v>
      </c>
      <c r="G431" t="s">
        <v>140</v>
      </c>
      <c r="H431" t="s">
        <v>141</v>
      </c>
      <c r="I431" t="s">
        <v>142</v>
      </c>
      <c r="J431" t="s">
        <v>1830</v>
      </c>
      <c r="K431" s="14">
        <v>45271</v>
      </c>
      <c r="L431" t="s">
        <v>1831</v>
      </c>
      <c r="M431" t="s">
        <v>287</v>
      </c>
      <c r="N431">
        <v>157.63999999999999</v>
      </c>
      <c r="O431">
        <v>2</v>
      </c>
      <c r="P431" t="s">
        <v>63</v>
      </c>
      <c r="Q431">
        <v>5</v>
      </c>
      <c r="R431">
        <v>57</v>
      </c>
      <c r="S431">
        <v>45277</v>
      </c>
      <c r="T431" t="s">
        <v>1832</v>
      </c>
      <c r="U431">
        <v>6</v>
      </c>
      <c r="V431">
        <v>315.27999999999997</v>
      </c>
      <c r="W431">
        <v>0</v>
      </c>
      <c r="X431">
        <v>315.27999999999997</v>
      </c>
      <c r="Y431">
        <v>315.27999999999997</v>
      </c>
      <c r="Z431" t="s">
        <v>2069</v>
      </c>
      <c r="AA431" t="s">
        <v>2061</v>
      </c>
      <c r="AB431">
        <v>12</v>
      </c>
    </row>
    <row r="432" spans="1:28" x14ac:dyDescent="0.3">
      <c r="A432" t="s">
        <v>366</v>
      </c>
      <c r="B432" t="s">
        <v>367</v>
      </c>
      <c r="C432" t="s">
        <v>368</v>
      </c>
      <c r="D432" t="s">
        <v>2196</v>
      </c>
      <c r="E432">
        <v>31</v>
      </c>
      <c r="F432" t="s">
        <v>52</v>
      </c>
      <c r="G432" t="s">
        <v>140</v>
      </c>
      <c r="H432" t="s">
        <v>369</v>
      </c>
      <c r="I432" t="s">
        <v>370</v>
      </c>
      <c r="J432" t="s">
        <v>1833</v>
      </c>
      <c r="K432" s="14">
        <v>45398</v>
      </c>
      <c r="L432" t="s">
        <v>1834</v>
      </c>
      <c r="M432" t="s">
        <v>553</v>
      </c>
      <c r="N432">
        <v>425.59</v>
      </c>
      <c r="O432">
        <v>2</v>
      </c>
      <c r="P432" t="s">
        <v>58</v>
      </c>
      <c r="Q432">
        <v>1</v>
      </c>
      <c r="R432">
        <v>44</v>
      </c>
      <c r="S432">
        <v>45403</v>
      </c>
      <c r="T432" t="s">
        <v>1835</v>
      </c>
      <c r="U432">
        <v>5</v>
      </c>
      <c r="V432">
        <v>851.18</v>
      </c>
      <c r="W432">
        <v>0.15</v>
      </c>
      <c r="X432">
        <v>723.50299999999993</v>
      </c>
      <c r="Y432">
        <v>767.50299999999993</v>
      </c>
      <c r="Z432" t="s">
        <v>2092</v>
      </c>
      <c r="AA432" t="s">
        <v>2061</v>
      </c>
      <c r="AB432">
        <v>4</v>
      </c>
    </row>
    <row r="433" spans="1:28" x14ac:dyDescent="0.3">
      <c r="A433" t="s">
        <v>750</v>
      </c>
      <c r="B433" t="s">
        <v>751</v>
      </c>
      <c r="C433" t="s">
        <v>752</v>
      </c>
      <c r="D433" t="s">
        <v>2230</v>
      </c>
      <c r="E433">
        <v>43</v>
      </c>
      <c r="F433" t="s">
        <v>52</v>
      </c>
      <c r="G433" t="s">
        <v>159</v>
      </c>
      <c r="H433" t="s">
        <v>753</v>
      </c>
      <c r="I433" t="s">
        <v>754</v>
      </c>
      <c r="J433" t="s">
        <v>1836</v>
      </c>
      <c r="K433" s="14">
        <v>45432</v>
      </c>
      <c r="L433" t="s">
        <v>1837</v>
      </c>
      <c r="M433" t="s">
        <v>225</v>
      </c>
      <c r="N433">
        <v>461.07</v>
      </c>
      <c r="O433">
        <v>1</v>
      </c>
      <c r="P433" t="s">
        <v>36</v>
      </c>
      <c r="Q433">
        <v>1</v>
      </c>
      <c r="R433">
        <v>42</v>
      </c>
      <c r="S433">
        <v>45433</v>
      </c>
      <c r="T433" t="s">
        <v>1838</v>
      </c>
      <c r="U433">
        <v>1</v>
      </c>
      <c r="V433">
        <v>461.07</v>
      </c>
      <c r="W433">
        <v>0.08</v>
      </c>
      <c r="X433">
        <v>424.18439999999998</v>
      </c>
      <c r="Y433">
        <v>466.18439999999998</v>
      </c>
      <c r="Z433" t="s">
        <v>2126</v>
      </c>
      <c r="AA433" t="s">
        <v>2066</v>
      </c>
      <c r="AB433">
        <v>5</v>
      </c>
    </row>
    <row r="434" spans="1:28" x14ac:dyDescent="0.3">
      <c r="A434" t="s">
        <v>87</v>
      </c>
      <c r="B434" t="s">
        <v>88</v>
      </c>
      <c r="C434" t="s">
        <v>89</v>
      </c>
      <c r="D434" t="s">
        <v>2168</v>
      </c>
      <c r="E434">
        <v>26</v>
      </c>
      <c r="F434" t="s">
        <v>41</v>
      </c>
      <c r="G434" t="s">
        <v>90</v>
      </c>
      <c r="H434" t="s">
        <v>91</v>
      </c>
      <c r="I434" t="s">
        <v>92</v>
      </c>
      <c r="J434" t="s">
        <v>1839</v>
      </c>
      <c r="K434" s="14">
        <v>45449</v>
      </c>
      <c r="L434" t="s">
        <v>1840</v>
      </c>
      <c r="M434" t="s">
        <v>657</v>
      </c>
      <c r="N434">
        <v>235.63</v>
      </c>
      <c r="O434">
        <v>1</v>
      </c>
      <c r="P434" t="s">
        <v>58</v>
      </c>
      <c r="Q434">
        <v>3</v>
      </c>
      <c r="R434">
        <v>55</v>
      </c>
      <c r="S434">
        <v>45455</v>
      </c>
      <c r="T434" t="s">
        <v>1841</v>
      </c>
      <c r="U434">
        <v>6</v>
      </c>
      <c r="V434">
        <v>235.63</v>
      </c>
      <c r="W434">
        <v>0.15</v>
      </c>
      <c r="X434">
        <v>200.28550000000001</v>
      </c>
      <c r="Y434">
        <v>255.28550000000001</v>
      </c>
      <c r="Z434" t="s">
        <v>2063</v>
      </c>
      <c r="AA434" t="s">
        <v>2061</v>
      </c>
      <c r="AB434">
        <v>6</v>
      </c>
    </row>
    <row r="435" spans="1:28" x14ac:dyDescent="0.3">
      <c r="A435" t="s">
        <v>603</v>
      </c>
      <c r="B435" t="s">
        <v>604</v>
      </c>
      <c r="C435" t="s">
        <v>403</v>
      </c>
      <c r="D435" t="s">
        <v>2219</v>
      </c>
      <c r="E435">
        <v>18</v>
      </c>
      <c r="F435" t="s">
        <v>41</v>
      </c>
      <c r="G435" t="s">
        <v>42</v>
      </c>
      <c r="H435" t="s">
        <v>605</v>
      </c>
      <c r="I435" t="s">
        <v>606</v>
      </c>
      <c r="J435" t="s">
        <v>1842</v>
      </c>
      <c r="K435" s="14">
        <v>45178</v>
      </c>
      <c r="L435" t="s">
        <v>1843</v>
      </c>
      <c r="M435" t="s">
        <v>563</v>
      </c>
      <c r="N435">
        <v>133.62</v>
      </c>
      <c r="O435">
        <v>2</v>
      </c>
      <c r="P435" t="s">
        <v>36</v>
      </c>
      <c r="Q435">
        <v>2</v>
      </c>
      <c r="R435">
        <v>48</v>
      </c>
      <c r="S435">
        <v>45184</v>
      </c>
      <c r="T435" t="s">
        <v>1844</v>
      </c>
      <c r="U435">
        <v>6</v>
      </c>
      <c r="V435">
        <v>267.24</v>
      </c>
      <c r="W435">
        <v>0.08</v>
      </c>
      <c r="X435">
        <v>245.86080000000001</v>
      </c>
      <c r="Y435">
        <v>293.86080000000004</v>
      </c>
      <c r="Z435" t="s">
        <v>2115</v>
      </c>
      <c r="AA435" t="s">
        <v>2061</v>
      </c>
      <c r="AB435">
        <v>9</v>
      </c>
    </row>
    <row r="436" spans="1:28" x14ac:dyDescent="0.3">
      <c r="A436" t="s">
        <v>1238</v>
      </c>
      <c r="B436" t="s">
        <v>1239</v>
      </c>
      <c r="C436" t="s">
        <v>1240</v>
      </c>
      <c r="D436" t="s">
        <v>2247</v>
      </c>
      <c r="E436">
        <v>55</v>
      </c>
      <c r="F436" t="s">
        <v>41</v>
      </c>
      <c r="G436" t="s">
        <v>159</v>
      </c>
      <c r="H436" t="s">
        <v>1241</v>
      </c>
      <c r="I436" t="s">
        <v>1242</v>
      </c>
      <c r="J436" t="s">
        <v>1845</v>
      </c>
      <c r="K436" s="14">
        <v>45005</v>
      </c>
      <c r="L436" t="s">
        <v>1846</v>
      </c>
      <c r="M436" t="s">
        <v>182</v>
      </c>
      <c r="N436">
        <v>104.18</v>
      </c>
      <c r="O436">
        <v>1</v>
      </c>
      <c r="P436" t="s">
        <v>36</v>
      </c>
      <c r="Q436">
        <v>5</v>
      </c>
      <c r="R436">
        <v>37</v>
      </c>
      <c r="S436">
        <v>45007</v>
      </c>
      <c r="T436" t="s">
        <v>1847</v>
      </c>
      <c r="U436">
        <v>2</v>
      </c>
      <c r="V436">
        <v>104.18</v>
      </c>
      <c r="W436">
        <v>0.08</v>
      </c>
      <c r="X436">
        <v>95.845600000000005</v>
      </c>
      <c r="Y436">
        <v>132.84559999999999</v>
      </c>
      <c r="Z436" t="s">
        <v>2143</v>
      </c>
      <c r="AA436" t="s">
        <v>2057</v>
      </c>
      <c r="AB436">
        <v>3</v>
      </c>
    </row>
    <row r="437" spans="1:28" x14ac:dyDescent="0.3">
      <c r="A437" t="s">
        <v>679</v>
      </c>
      <c r="B437" t="s">
        <v>680</v>
      </c>
      <c r="C437" t="s">
        <v>681</v>
      </c>
      <c r="D437" t="s">
        <v>2224</v>
      </c>
      <c r="E437">
        <v>68</v>
      </c>
      <c r="F437" t="s">
        <v>29</v>
      </c>
      <c r="G437" t="s">
        <v>220</v>
      </c>
      <c r="H437" t="s">
        <v>682</v>
      </c>
      <c r="I437" t="s">
        <v>683</v>
      </c>
      <c r="J437" t="s">
        <v>1848</v>
      </c>
      <c r="K437" s="14">
        <v>45536</v>
      </c>
      <c r="L437" t="s">
        <v>1849</v>
      </c>
      <c r="M437" t="s">
        <v>95</v>
      </c>
      <c r="N437">
        <v>363.64</v>
      </c>
      <c r="O437">
        <v>4</v>
      </c>
      <c r="P437" t="s">
        <v>85</v>
      </c>
      <c r="Q437">
        <v>2</v>
      </c>
      <c r="R437">
        <v>42</v>
      </c>
      <c r="S437">
        <v>45540</v>
      </c>
      <c r="T437" t="s">
        <v>1850</v>
      </c>
      <c r="U437">
        <v>4</v>
      </c>
      <c r="V437">
        <v>1454.56</v>
      </c>
      <c r="W437">
        <v>0.2</v>
      </c>
      <c r="X437">
        <v>1163.6479999999999</v>
      </c>
      <c r="Y437">
        <v>1205.6479999999999</v>
      </c>
      <c r="Z437" t="s">
        <v>2120</v>
      </c>
      <c r="AA437" t="s">
        <v>2061</v>
      </c>
      <c r="AB437">
        <v>9</v>
      </c>
    </row>
    <row r="438" spans="1:28" x14ac:dyDescent="0.3">
      <c r="A438" t="s">
        <v>293</v>
      </c>
      <c r="B438" t="s">
        <v>294</v>
      </c>
      <c r="C438" t="s">
        <v>295</v>
      </c>
      <c r="D438" t="s">
        <v>2189</v>
      </c>
      <c r="E438">
        <v>48</v>
      </c>
      <c r="F438" t="s">
        <v>41</v>
      </c>
      <c r="G438" t="s">
        <v>90</v>
      </c>
      <c r="H438" t="s">
        <v>296</v>
      </c>
      <c r="I438" t="s">
        <v>297</v>
      </c>
      <c r="J438" t="s">
        <v>1851</v>
      </c>
      <c r="K438" s="14">
        <v>45310</v>
      </c>
      <c r="L438" t="s">
        <v>1852</v>
      </c>
      <c r="M438" t="s">
        <v>154</v>
      </c>
      <c r="N438">
        <v>220.27</v>
      </c>
      <c r="O438">
        <v>2</v>
      </c>
      <c r="P438" t="s">
        <v>58</v>
      </c>
      <c r="Q438">
        <v>7</v>
      </c>
      <c r="R438">
        <v>42</v>
      </c>
      <c r="S438">
        <v>45317</v>
      </c>
      <c r="T438" t="s">
        <v>1853</v>
      </c>
      <c r="U438">
        <v>7</v>
      </c>
      <c r="V438">
        <v>440.54</v>
      </c>
      <c r="W438">
        <v>0.15</v>
      </c>
      <c r="X438">
        <v>374.459</v>
      </c>
      <c r="Y438">
        <v>416.459</v>
      </c>
      <c r="Z438" t="s">
        <v>2085</v>
      </c>
      <c r="AA438" t="s">
        <v>2066</v>
      </c>
      <c r="AB438">
        <v>1</v>
      </c>
    </row>
    <row r="439" spans="1:28" x14ac:dyDescent="0.3">
      <c r="A439" t="s">
        <v>688</v>
      </c>
      <c r="B439" t="s">
        <v>689</v>
      </c>
      <c r="C439" t="s">
        <v>690</v>
      </c>
      <c r="D439" t="s">
        <v>2225</v>
      </c>
      <c r="E439">
        <v>65</v>
      </c>
      <c r="F439" t="s">
        <v>41</v>
      </c>
      <c r="G439" t="s">
        <v>90</v>
      </c>
      <c r="H439" t="s">
        <v>691</v>
      </c>
      <c r="I439" t="s">
        <v>692</v>
      </c>
      <c r="J439" t="s">
        <v>1854</v>
      </c>
      <c r="K439" s="14">
        <v>45167</v>
      </c>
      <c r="L439" t="s">
        <v>1855</v>
      </c>
      <c r="M439" t="s">
        <v>984</v>
      </c>
      <c r="N439">
        <v>33.49</v>
      </c>
      <c r="O439">
        <v>3</v>
      </c>
      <c r="P439" t="s">
        <v>96</v>
      </c>
      <c r="Q439">
        <v>1</v>
      </c>
      <c r="R439">
        <v>50</v>
      </c>
      <c r="S439">
        <v>45172</v>
      </c>
      <c r="T439" t="s">
        <v>1856</v>
      </c>
      <c r="U439">
        <v>5</v>
      </c>
      <c r="V439">
        <v>100.47</v>
      </c>
      <c r="W439">
        <v>0.1</v>
      </c>
      <c r="X439">
        <v>90.423000000000002</v>
      </c>
      <c r="Y439">
        <v>140.423</v>
      </c>
      <c r="Z439" t="s">
        <v>2121</v>
      </c>
      <c r="AA439" t="s">
        <v>2061</v>
      </c>
      <c r="AB439">
        <v>8</v>
      </c>
    </row>
    <row r="440" spans="1:28" x14ac:dyDescent="0.3">
      <c r="A440" t="s">
        <v>349</v>
      </c>
      <c r="B440" t="s">
        <v>350</v>
      </c>
      <c r="C440" t="s">
        <v>351</v>
      </c>
      <c r="D440" t="s">
        <v>2194</v>
      </c>
      <c r="E440">
        <v>70</v>
      </c>
      <c r="F440" t="s">
        <v>29</v>
      </c>
      <c r="G440" t="s">
        <v>168</v>
      </c>
      <c r="H440" t="s">
        <v>352</v>
      </c>
      <c r="I440" t="s">
        <v>353</v>
      </c>
      <c r="J440" t="s">
        <v>1857</v>
      </c>
      <c r="K440" s="14">
        <v>45145</v>
      </c>
      <c r="L440" t="s">
        <v>1858</v>
      </c>
      <c r="M440" t="s">
        <v>287</v>
      </c>
      <c r="N440">
        <v>157.63999999999999</v>
      </c>
      <c r="O440">
        <v>2</v>
      </c>
      <c r="P440" t="s">
        <v>96</v>
      </c>
      <c r="Q440">
        <v>6</v>
      </c>
      <c r="R440">
        <v>65</v>
      </c>
      <c r="S440">
        <v>45148</v>
      </c>
      <c r="T440" t="s">
        <v>1859</v>
      </c>
      <c r="U440">
        <v>3</v>
      </c>
      <c r="V440">
        <v>315.27999999999997</v>
      </c>
      <c r="W440">
        <v>0.1</v>
      </c>
      <c r="X440">
        <v>283.75199999999995</v>
      </c>
      <c r="Y440">
        <v>348.75199999999995</v>
      </c>
      <c r="Z440" t="s">
        <v>2090</v>
      </c>
      <c r="AA440" t="s">
        <v>2057</v>
      </c>
      <c r="AB440">
        <v>8</v>
      </c>
    </row>
    <row r="441" spans="1:28" x14ac:dyDescent="0.3">
      <c r="A441" t="s">
        <v>165</v>
      </c>
      <c r="B441" t="s">
        <v>166</v>
      </c>
      <c r="C441" t="s">
        <v>167</v>
      </c>
      <c r="D441" t="s">
        <v>2176</v>
      </c>
      <c r="E441">
        <v>46</v>
      </c>
      <c r="F441" t="s">
        <v>29</v>
      </c>
      <c r="G441" t="s">
        <v>168</v>
      </c>
      <c r="H441" t="s">
        <v>169</v>
      </c>
      <c r="I441" t="s">
        <v>170</v>
      </c>
      <c r="J441" t="s">
        <v>1860</v>
      </c>
      <c r="K441" s="14">
        <v>45010</v>
      </c>
      <c r="L441" t="s">
        <v>1861</v>
      </c>
      <c r="M441" t="s">
        <v>518</v>
      </c>
      <c r="N441">
        <v>441.03</v>
      </c>
      <c r="O441">
        <v>5</v>
      </c>
      <c r="P441" t="s">
        <v>85</v>
      </c>
      <c r="Q441">
        <v>7</v>
      </c>
      <c r="R441">
        <v>36</v>
      </c>
      <c r="S441">
        <v>45016</v>
      </c>
      <c r="T441" t="s">
        <v>1862</v>
      </c>
      <c r="U441">
        <v>6</v>
      </c>
      <c r="V441">
        <v>2205.1499999999996</v>
      </c>
      <c r="W441">
        <v>0.2</v>
      </c>
      <c r="X441">
        <v>1764.1199999999997</v>
      </c>
      <c r="Y441">
        <v>1800.1199999999997</v>
      </c>
      <c r="Z441" t="s">
        <v>2072</v>
      </c>
      <c r="AA441" t="s">
        <v>2057</v>
      </c>
      <c r="AB441">
        <v>3</v>
      </c>
    </row>
    <row r="442" spans="1:28" x14ac:dyDescent="0.3">
      <c r="A442" t="s">
        <v>546</v>
      </c>
      <c r="B442" t="s">
        <v>547</v>
      </c>
      <c r="C442" t="s">
        <v>548</v>
      </c>
      <c r="D442" t="s">
        <v>2216</v>
      </c>
      <c r="E442">
        <v>33</v>
      </c>
      <c r="F442" t="s">
        <v>52</v>
      </c>
      <c r="G442" t="s">
        <v>168</v>
      </c>
      <c r="H442" t="s">
        <v>549</v>
      </c>
      <c r="I442" t="s">
        <v>550</v>
      </c>
      <c r="J442" t="s">
        <v>1863</v>
      </c>
      <c r="K442" s="14">
        <v>45628</v>
      </c>
      <c r="L442" t="s">
        <v>1864</v>
      </c>
      <c r="M442" t="s">
        <v>430</v>
      </c>
      <c r="N442">
        <v>369.03</v>
      </c>
      <c r="O442">
        <v>4</v>
      </c>
      <c r="P442" t="s">
        <v>36</v>
      </c>
      <c r="Q442">
        <v>5</v>
      </c>
      <c r="R442">
        <v>48</v>
      </c>
      <c r="S442">
        <v>45629</v>
      </c>
      <c r="T442" t="s">
        <v>1865</v>
      </c>
      <c r="U442">
        <v>1</v>
      </c>
      <c r="V442">
        <v>1476.12</v>
      </c>
      <c r="W442">
        <v>0.08</v>
      </c>
      <c r="X442">
        <v>1358.0303999999999</v>
      </c>
      <c r="Y442">
        <v>1406.0303999999999</v>
      </c>
      <c r="Z442" t="s">
        <v>2112</v>
      </c>
      <c r="AA442" t="s">
        <v>2057</v>
      </c>
      <c r="AB442">
        <v>12</v>
      </c>
    </row>
    <row r="443" spans="1:28" x14ac:dyDescent="0.3">
      <c r="A443" t="s">
        <v>385</v>
      </c>
      <c r="B443" t="s">
        <v>386</v>
      </c>
      <c r="C443" t="s">
        <v>387</v>
      </c>
      <c r="D443" t="s">
        <v>2198</v>
      </c>
      <c r="E443">
        <v>47</v>
      </c>
      <c r="F443" t="s">
        <v>41</v>
      </c>
      <c r="G443" t="s">
        <v>90</v>
      </c>
      <c r="H443" t="s">
        <v>388</v>
      </c>
      <c r="I443" t="s">
        <v>389</v>
      </c>
      <c r="J443" t="s">
        <v>1866</v>
      </c>
      <c r="K443" s="14">
        <v>45529</v>
      </c>
      <c r="L443" t="s">
        <v>1867</v>
      </c>
      <c r="M443" t="s">
        <v>308</v>
      </c>
      <c r="N443">
        <v>129.75</v>
      </c>
      <c r="O443">
        <v>2</v>
      </c>
      <c r="P443" t="s">
        <v>85</v>
      </c>
      <c r="Q443">
        <v>5</v>
      </c>
      <c r="R443">
        <v>47</v>
      </c>
      <c r="S443">
        <v>45532</v>
      </c>
      <c r="T443" t="s">
        <v>1868</v>
      </c>
      <c r="U443">
        <v>3</v>
      </c>
      <c r="V443">
        <v>259.5</v>
      </c>
      <c r="W443">
        <v>0.2</v>
      </c>
      <c r="X443">
        <v>207.6</v>
      </c>
      <c r="Y443">
        <v>254.6</v>
      </c>
      <c r="Z443" t="s">
        <v>2094</v>
      </c>
      <c r="AA443" t="s">
        <v>2057</v>
      </c>
      <c r="AB443">
        <v>8</v>
      </c>
    </row>
    <row r="444" spans="1:28" x14ac:dyDescent="0.3">
      <c r="A444" t="s">
        <v>1246</v>
      </c>
      <c r="B444" t="s">
        <v>66</v>
      </c>
      <c r="C444" t="s">
        <v>1247</v>
      </c>
      <c r="D444" t="s">
        <v>2248</v>
      </c>
      <c r="E444">
        <v>40</v>
      </c>
      <c r="F444" t="s">
        <v>29</v>
      </c>
      <c r="G444" t="s">
        <v>76</v>
      </c>
      <c r="H444" t="s">
        <v>1248</v>
      </c>
      <c r="I444" t="s">
        <v>1249</v>
      </c>
      <c r="J444" t="s">
        <v>1869</v>
      </c>
      <c r="K444" s="14">
        <v>45175</v>
      </c>
      <c r="L444" t="s">
        <v>1870</v>
      </c>
      <c r="M444" t="s">
        <v>199</v>
      </c>
      <c r="N444">
        <v>20.7</v>
      </c>
      <c r="O444">
        <v>2</v>
      </c>
      <c r="P444" t="s">
        <v>36</v>
      </c>
      <c r="Q444">
        <v>5</v>
      </c>
      <c r="R444">
        <v>61</v>
      </c>
      <c r="S444">
        <v>45177</v>
      </c>
      <c r="T444" t="s">
        <v>1871</v>
      </c>
      <c r="U444">
        <v>2</v>
      </c>
      <c r="V444">
        <v>41.4</v>
      </c>
      <c r="W444">
        <v>0.08</v>
      </c>
      <c r="X444">
        <v>38.088000000000001</v>
      </c>
      <c r="Y444">
        <v>99.087999999999994</v>
      </c>
      <c r="Z444" t="s">
        <v>2144</v>
      </c>
      <c r="AA444" t="s">
        <v>2057</v>
      </c>
      <c r="AB444">
        <v>9</v>
      </c>
    </row>
    <row r="445" spans="1:28" x14ac:dyDescent="0.3">
      <c r="A445" t="s">
        <v>724</v>
      </c>
      <c r="B445" t="s">
        <v>725</v>
      </c>
      <c r="C445" t="s">
        <v>167</v>
      </c>
      <c r="D445" t="s">
        <v>2228</v>
      </c>
      <c r="E445">
        <v>70</v>
      </c>
      <c r="F445" t="s">
        <v>41</v>
      </c>
      <c r="G445" t="s">
        <v>90</v>
      </c>
      <c r="H445" t="s">
        <v>726</v>
      </c>
      <c r="I445" t="s">
        <v>727</v>
      </c>
      <c r="J445" t="s">
        <v>1872</v>
      </c>
      <c r="K445" s="14">
        <v>45379</v>
      </c>
      <c r="L445" t="s">
        <v>1873</v>
      </c>
      <c r="M445" t="s">
        <v>344</v>
      </c>
      <c r="N445">
        <v>372.62</v>
      </c>
      <c r="O445">
        <v>2</v>
      </c>
      <c r="P445" t="s">
        <v>96</v>
      </c>
      <c r="Q445">
        <v>4</v>
      </c>
      <c r="R445">
        <v>57</v>
      </c>
      <c r="S445">
        <v>45382</v>
      </c>
      <c r="T445" t="s">
        <v>1874</v>
      </c>
      <c r="U445">
        <v>3</v>
      </c>
      <c r="V445">
        <v>745.24</v>
      </c>
      <c r="W445">
        <v>0.1</v>
      </c>
      <c r="X445">
        <v>670.71600000000001</v>
      </c>
      <c r="Y445">
        <v>727.71600000000001</v>
      </c>
      <c r="Z445" t="s">
        <v>2124</v>
      </c>
      <c r="AA445" t="s">
        <v>2057</v>
      </c>
      <c r="AB445">
        <v>3</v>
      </c>
    </row>
    <row r="446" spans="1:28" x14ac:dyDescent="0.3">
      <c r="A446" t="s">
        <v>1875</v>
      </c>
      <c r="B446" t="s">
        <v>1104</v>
      </c>
      <c r="C446" t="s">
        <v>1876</v>
      </c>
      <c r="D446" t="s">
        <v>2260</v>
      </c>
      <c r="E446">
        <v>64</v>
      </c>
      <c r="F446" t="s">
        <v>41</v>
      </c>
      <c r="G446" t="s">
        <v>76</v>
      </c>
      <c r="H446" t="s">
        <v>1877</v>
      </c>
      <c r="I446" t="s">
        <v>1878</v>
      </c>
      <c r="J446" t="s">
        <v>1879</v>
      </c>
      <c r="K446" s="14">
        <v>45633</v>
      </c>
      <c r="L446" t="s">
        <v>1880</v>
      </c>
      <c r="M446" t="s">
        <v>941</v>
      </c>
      <c r="N446">
        <v>107.47</v>
      </c>
      <c r="O446">
        <v>4</v>
      </c>
      <c r="P446" t="s">
        <v>85</v>
      </c>
      <c r="Q446">
        <v>5</v>
      </c>
      <c r="R446">
        <v>42</v>
      </c>
      <c r="S446">
        <v>45637</v>
      </c>
      <c r="T446" t="s">
        <v>1881</v>
      </c>
      <c r="U446">
        <v>4</v>
      </c>
      <c r="V446">
        <v>429.88</v>
      </c>
      <c r="W446">
        <v>0.2</v>
      </c>
      <c r="X446">
        <v>343.904</v>
      </c>
      <c r="Y446">
        <v>385.904</v>
      </c>
      <c r="Z446" t="s">
        <v>2156</v>
      </c>
      <c r="AA446" t="s">
        <v>2057</v>
      </c>
      <c r="AB446">
        <v>12</v>
      </c>
    </row>
    <row r="447" spans="1:28" x14ac:dyDescent="0.3">
      <c r="A447" t="s">
        <v>1875</v>
      </c>
      <c r="B447" t="s">
        <v>1104</v>
      </c>
      <c r="C447" t="s">
        <v>1876</v>
      </c>
      <c r="D447" t="s">
        <v>2260</v>
      </c>
      <c r="E447">
        <v>64</v>
      </c>
      <c r="F447" t="s">
        <v>41</v>
      </c>
      <c r="G447" t="s">
        <v>76</v>
      </c>
      <c r="H447" t="s">
        <v>1877</v>
      </c>
      <c r="I447" t="s">
        <v>1878</v>
      </c>
      <c r="J447" t="s">
        <v>1882</v>
      </c>
      <c r="K447" s="14">
        <v>45539</v>
      </c>
      <c r="L447" t="s">
        <v>1883</v>
      </c>
      <c r="M447" t="s">
        <v>35</v>
      </c>
      <c r="N447">
        <v>308.88</v>
      </c>
      <c r="O447">
        <v>2</v>
      </c>
      <c r="P447" t="s">
        <v>85</v>
      </c>
      <c r="Q447">
        <v>2</v>
      </c>
      <c r="R447">
        <v>55</v>
      </c>
      <c r="S447">
        <v>45541</v>
      </c>
      <c r="T447" t="s">
        <v>1884</v>
      </c>
      <c r="U447">
        <v>2</v>
      </c>
      <c r="V447">
        <v>617.76</v>
      </c>
      <c r="W447">
        <v>0.2</v>
      </c>
      <c r="X447">
        <v>494.20799999999997</v>
      </c>
      <c r="Y447">
        <v>549.20799999999997</v>
      </c>
      <c r="Z447" t="s">
        <v>2156</v>
      </c>
      <c r="AA447" t="s">
        <v>2066</v>
      </c>
      <c r="AB447">
        <v>9</v>
      </c>
    </row>
    <row r="448" spans="1:28" x14ac:dyDescent="0.3">
      <c r="A448" t="s">
        <v>38</v>
      </c>
      <c r="B448" t="s">
        <v>39</v>
      </c>
      <c r="C448" t="s">
        <v>40</v>
      </c>
      <c r="D448" t="s">
        <v>2164</v>
      </c>
      <c r="E448">
        <v>53</v>
      </c>
      <c r="F448" t="s">
        <v>41</v>
      </c>
      <c r="G448" t="s">
        <v>42</v>
      </c>
      <c r="H448" t="s">
        <v>43</v>
      </c>
      <c r="I448" t="s">
        <v>44</v>
      </c>
      <c r="J448" t="s">
        <v>1885</v>
      </c>
      <c r="K448" s="14">
        <v>45684</v>
      </c>
      <c r="L448" t="s">
        <v>1886</v>
      </c>
      <c r="M448" t="s">
        <v>270</v>
      </c>
      <c r="N448">
        <v>62.42</v>
      </c>
      <c r="O448">
        <v>5</v>
      </c>
      <c r="P448" t="s">
        <v>58</v>
      </c>
      <c r="Q448">
        <v>6</v>
      </c>
      <c r="R448">
        <v>69</v>
      </c>
      <c r="S448">
        <v>45690</v>
      </c>
      <c r="T448" t="s">
        <v>1887</v>
      </c>
      <c r="U448">
        <v>6</v>
      </c>
      <c r="V448">
        <v>312.10000000000002</v>
      </c>
      <c r="W448">
        <v>0.15</v>
      </c>
      <c r="X448">
        <v>265.28500000000003</v>
      </c>
      <c r="Y448">
        <v>334.28500000000003</v>
      </c>
      <c r="Z448" t="s">
        <v>2058</v>
      </c>
      <c r="AA448" t="s">
        <v>2066</v>
      </c>
      <c r="AB448">
        <v>1</v>
      </c>
    </row>
    <row r="449" spans="1:28" x14ac:dyDescent="0.3">
      <c r="A449" t="s">
        <v>1614</v>
      </c>
      <c r="B449" t="s">
        <v>273</v>
      </c>
      <c r="C449" t="s">
        <v>1615</v>
      </c>
      <c r="D449" t="s">
        <v>2255</v>
      </c>
      <c r="E449">
        <v>62</v>
      </c>
      <c r="F449" t="s">
        <v>41</v>
      </c>
      <c r="G449" t="s">
        <v>42</v>
      </c>
      <c r="H449" t="s">
        <v>1616</v>
      </c>
      <c r="I449" t="s">
        <v>1617</v>
      </c>
      <c r="J449" t="s">
        <v>1888</v>
      </c>
      <c r="K449" s="14">
        <v>45429</v>
      </c>
      <c r="L449" t="s">
        <v>1889</v>
      </c>
      <c r="M449" t="s">
        <v>473</v>
      </c>
      <c r="N449">
        <v>286.07</v>
      </c>
      <c r="O449">
        <v>1</v>
      </c>
      <c r="P449" t="s">
        <v>63</v>
      </c>
      <c r="Q449">
        <v>4</v>
      </c>
      <c r="R449">
        <v>43</v>
      </c>
      <c r="S449">
        <v>45434</v>
      </c>
      <c r="T449" t="s">
        <v>1890</v>
      </c>
      <c r="U449">
        <v>5</v>
      </c>
      <c r="V449">
        <v>286.07</v>
      </c>
      <c r="W449">
        <v>0</v>
      </c>
      <c r="X449">
        <v>286.07</v>
      </c>
      <c r="Y449">
        <v>286.07</v>
      </c>
      <c r="Z449" t="s">
        <v>2151</v>
      </c>
      <c r="AA449" t="s">
        <v>2061</v>
      </c>
      <c r="AB449">
        <v>5</v>
      </c>
    </row>
    <row r="450" spans="1:28" x14ac:dyDescent="0.3">
      <c r="A450" t="s">
        <v>1875</v>
      </c>
      <c r="B450" t="s">
        <v>1104</v>
      </c>
      <c r="C450" t="s">
        <v>1876</v>
      </c>
      <c r="D450" t="s">
        <v>2260</v>
      </c>
      <c r="E450">
        <v>64</v>
      </c>
      <c r="F450" t="s">
        <v>41</v>
      </c>
      <c r="G450" t="s">
        <v>76</v>
      </c>
      <c r="H450" t="s">
        <v>1877</v>
      </c>
      <c r="I450" t="s">
        <v>1878</v>
      </c>
      <c r="J450" t="s">
        <v>1891</v>
      </c>
      <c r="K450" s="14">
        <v>45379</v>
      </c>
      <c r="L450" t="s">
        <v>1892</v>
      </c>
      <c r="M450" t="s">
        <v>47</v>
      </c>
      <c r="N450">
        <v>166.28</v>
      </c>
      <c r="O450">
        <v>2</v>
      </c>
      <c r="P450" t="s">
        <v>85</v>
      </c>
      <c r="Q450">
        <v>4</v>
      </c>
      <c r="R450">
        <v>40</v>
      </c>
      <c r="S450">
        <v>45384</v>
      </c>
      <c r="T450" t="s">
        <v>1893</v>
      </c>
      <c r="U450">
        <v>5</v>
      </c>
      <c r="V450">
        <v>332.56</v>
      </c>
      <c r="W450">
        <v>0.2</v>
      </c>
      <c r="X450">
        <v>266.048</v>
      </c>
      <c r="Y450">
        <v>306.048</v>
      </c>
      <c r="Z450" t="s">
        <v>2156</v>
      </c>
      <c r="AA450" t="s">
        <v>2061</v>
      </c>
      <c r="AB450">
        <v>3</v>
      </c>
    </row>
    <row r="451" spans="1:28" x14ac:dyDescent="0.3">
      <c r="A451" t="s">
        <v>592</v>
      </c>
      <c r="B451" t="s">
        <v>593</v>
      </c>
      <c r="C451" t="s">
        <v>594</v>
      </c>
      <c r="D451" t="s">
        <v>2218</v>
      </c>
      <c r="E451">
        <v>21</v>
      </c>
      <c r="F451" t="s">
        <v>29</v>
      </c>
      <c r="G451" t="s">
        <v>42</v>
      </c>
      <c r="H451" t="s">
        <v>595</v>
      </c>
      <c r="I451" t="s">
        <v>596</v>
      </c>
      <c r="J451" t="s">
        <v>1894</v>
      </c>
      <c r="K451" s="14">
        <v>45638</v>
      </c>
      <c r="L451" t="s">
        <v>1895</v>
      </c>
      <c r="M451" t="s">
        <v>653</v>
      </c>
      <c r="N451">
        <v>433.62</v>
      </c>
      <c r="O451">
        <v>2</v>
      </c>
      <c r="P451" t="s">
        <v>96</v>
      </c>
      <c r="Q451">
        <v>7</v>
      </c>
      <c r="R451">
        <v>39</v>
      </c>
      <c r="S451">
        <v>45644</v>
      </c>
      <c r="T451" t="s">
        <v>1896</v>
      </c>
      <c r="U451">
        <v>6</v>
      </c>
      <c r="V451">
        <v>867.24</v>
      </c>
      <c r="W451">
        <v>0.1</v>
      </c>
      <c r="X451">
        <v>780.51599999999996</v>
      </c>
      <c r="Y451">
        <v>819.51599999999996</v>
      </c>
      <c r="Z451" t="s">
        <v>2114</v>
      </c>
      <c r="AA451" t="s">
        <v>2057</v>
      </c>
      <c r="AB451">
        <v>12</v>
      </c>
    </row>
    <row r="452" spans="1:28" x14ac:dyDescent="0.3">
      <c r="A452" t="s">
        <v>374</v>
      </c>
      <c r="B452" t="s">
        <v>40</v>
      </c>
      <c r="C452" t="s">
        <v>375</v>
      </c>
      <c r="D452" t="s">
        <v>2197</v>
      </c>
      <c r="E452">
        <v>50</v>
      </c>
      <c r="F452" t="s">
        <v>52</v>
      </c>
      <c r="G452" t="s">
        <v>140</v>
      </c>
      <c r="H452" t="s">
        <v>376</v>
      </c>
      <c r="I452" t="s">
        <v>377</v>
      </c>
      <c r="J452" t="s">
        <v>1897</v>
      </c>
      <c r="K452" s="14">
        <v>45149</v>
      </c>
      <c r="L452" t="s">
        <v>1898</v>
      </c>
      <c r="M452" t="s">
        <v>62</v>
      </c>
      <c r="N452">
        <v>405</v>
      </c>
      <c r="O452">
        <v>3</v>
      </c>
      <c r="P452" t="s">
        <v>96</v>
      </c>
      <c r="Q452">
        <v>6</v>
      </c>
      <c r="R452">
        <v>36</v>
      </c>
      <c r="S452">
        <v>45153</v>
      </c>
      <c r="T452" t="s">
        <v>1899</v>
      </c>
      <c r="U452">
        <v>4</v>
      </c>
      <c r="V452">
        <v>1215</v>
      </c>
      <c r="W452">
        <v>0.1</v>
      </c>
      <c r="X452">
        <v>1093.5</v>
      </c>
      <c r="Y452">
        <v>1129.5</v>
      </c>
      <c r="Z452" t="s">
        <v>2093</v>
      </c>
      <c r="AA452" t="s">
        <v>2057</v>
      </c>
      <c r="AB452">
        <v>8</v>
      </c>
    </row>
    <row r="453" spans="1:28" x14ac:dyDescent="0.3">
      <c r="A453" t="s">
        <v>38</v>
      </c>
      <c r="B453" t="s">
        <v>39</v>
      </c>
      <c r="C453" t="s">
        <v>40</v>
      </c>
      <c r="D453" t="s">
        <v>2164</v>
      </c>
      <c r="E453">
        <v>53</v>
      </c>
      <c r="F453" t="s">
        <v>41</v>
      </c>
      <c r="G453" t="s">
        <v>42</v>
      </c>
      <c r="H453" t="s">
        <v>43</v>
      </c>
      <c r="I453" t="s">
        <v>44</v>
      </c>
      <c r="J453" t="s">
        <v>1900</v>
      </c>
      <c r="K453" s="14">
        <v>45076</v>
      </c>
      <c r="L453" t="s">
        <v>1901</v>
      </c>
      <c r="M453" t="s">
        <v>81</v>
      </c>
      <c r="N453">
        <v>330.11</v>
      </c>
      <c r="O453">
        <v>3</v>
      </c>
      <c r="P453" t="s">
        <v>85</v>
      </c>
      <c r="Q453">
        <v>7</v>
      </c>
      <c r="R453">
        <v>40</v>
      </c>
      <c r="S453">
        <v>45080</v>
      </c>
      <c r="T453" t="s">
        <v>1902</v>
      </c>
      <c r="U453">
        <v>4</v>
      </c>
      <c r="V453">
        <v>990.33</v>
      </c>
      <c r="W453">
        <v>0.2</v>
      </c>
      <c r="X453">
        <v>792.26400000000001</v>
      </c>
      <c r="Y453">
        <v>832.26400000000001</v>
      </c>
      <c r="Z453" t="s">
        <v>2058</v>
      </c>
      <c r="AA453" t="s">
        <v>2057</v>
      </c>
      <c r="AB453">
        <v>5</v>
      </c>
    </row>
    <row r="454" spans="1:28" x14ac:dyDescent="0.3">
      <c r="A454" t="s">
        <v>1737</v>
      </c>
      <c r="B454" t="s">
        <v>1738</v>
      </c>
      <c r="C454" t="s">
        <v>1739</v>
      </c>
      <c r="D454" t="s">
        <v>2257</v>
      </c>
      <c r="E454">
        <v>47</v>
      </c>
      <c r="F454" t="s">
        <v>41</v>
      </c>
      <c r="G454" t="s">
        <v>30</v>
      </c>
      <c r="H454" t="s">
        <v>1740</v>
      </c>
      <c r="I454" t="s">
        <v>1741</v>
      </c>
      <c r="J454" t="s">
        <v>1903</v>
      </c>
      <c r="K454" s="14">
        <v>45380</v>
      </c>
      <c r="L454" t="s">
        <v>1904</v>
      </c>
      <c r="M454" t="s">
        <v>81</v>
      </c>
      <c r="N454">
        <v>330.11</v>
      </c>
      <c r="O454">
        <v>1</v>
      </c>
      <c r="P454" t="s">
        <v>96</v>
      </c>
      <c r="Q454">
        <v>4</v>
      </c>
      <c r="R454">
        <v>39</v>
      </c>
      <c r="S454">
        <v>45384</v>
      </c>
      <c r="T454" t="s">
        <v>1905</v>
      </c>
      <c r="U454">
        <v>4</v>
      </c>
      <c r="V454">
        <v>330.11</v>
      </c>
      <c r="W454">
        <v>0.1</v>
      </c>
      <c r="X454">
        <v>297.09899999999999</v>
      </c>
      <c r="Y454">
        <v>336.09899999999999</v>
      </c>
      <c r="Z454" t="s">
        <v>2153</v>
      </c>
      <c r="AA454" t="s">
        <v>2066</v>
      </c>
      <c r="AB454">
        <v>3</v>
      </c>
    </row>
    <row r="455" spans="1:28" x14ac:dyDescent="0.3">
      <c r="A455" t="s">
        <v>1906</v>
      </c>
      <c r="B455" t="s">
        <v>1907</v>
      </c>
      <c r="C455" t="s">
        <v>1908</v>
      </c>
      <c r="D455" t="s">
        <v>2261</v>
      </c>
      <c r="E455">
        <v>43</v>
      </c>
      <c r="F455" t="s">
        <v>29</v>
      </c>
      <c r="G455" t="s">
        <v>42</v>
      </c>
      <c r="H455" t="s">
        <v>1909</v>
      </c>
      <c r="I455" t="s">
        <v>1910</v>
      </c>
      <c r="J455" t="s">
        <v>1911</v>
      </c>
      <c r="K455" s="14">
        <v>45571</v>
      </c>
      <c r="L455" t="s">
        <v>1912</v>
      </c>
      <c r="M455" t="s">
        <v>637</v>
      </c>
      <c r="N455">
        <v>445.81</v>
      </c>
      <c r="O455">
        <v>2</v>
      </c>
      <c r="P455" t="s">
        <v>58</v>
      </c>
      <c r="Q455">
        <v>4</v>
      </c>
      <c r="R455">
        <v>59</v>
      </c>
      <c r="S455">
        <v>45576</v>
      </c>
      <c r="T455" t="s">
        <v>1913</v>
      </c>
      <c r="U455">
        <v>5</v>
      </c>
      <c r="V455">
        <v>891.62</v>
      </c>
      <c r="W455">
        <v>0.15</v>
      </c>
      <c r="X455">
        <v>757.87699999999995</v>
      </c>
      <c r="Y455">
        <v>816.87699999999995</v>
      </c>
      <c r="Z455" t="s">
        <v>2157</v>
      </c>
      <c r="AA455" t="s">
        <v>2061</v>
      </c>
      <c r="AB455">
        <v>10</v>
      </c>
    </row>
    <row r="456" spans="1:28" x14ac:dyDescent="0.3">
      <c r="A456" t="s">
        <v>1614</v>
      </c>
      <c r="B456" t="s">
        <v>273</v>
      </c>
      <c r="C456" t="s">
        <v>1615</v>
      </c>
      <c r="D456" t="s">
        <v>2255</v>
      </c>
      <c r="E456">
        <v>62</v>
      </c>
      <c r="F456" t="s">
        <v>41</v>
      </c>
      <c r="G456" t="s">
        <v>42</v>
      </c>
      <c r="H456" t="s">
        <v>1616</v>
      </c>
      <c r="I456" t="s">
        <v>1617</v>
      </c>
      <c r="J456" t="s">
        <v>1914</v>
      </c>
      <c r="K456" s="14">
        <v>45380</v>
      </c>
      <c r="L456" t="s">
        <v>1915</v>
      </c>
      <c r="M456" t="s">
        <v>984</v>
      </c>
      <c r="N456">
        <v>33.49</v>
      </c>
      <c r="O456">
        <v>1</v>
      </c>
      <c r="P456" t="s">
        <v>63</v>
      </c>
      <c r="Q456">
        <v>2</v>
      </c>
      <c r="R456">
        <v>69</v>
      </c>
      <c r="S456">
        <v>45385</v>
      </c>
      <c r="T456" t="s">
        <v>1916</v>
      </c>
      <c r="U456">
        <v>5</v>
      </c>
      <c r="V456">
        <v>33.49</v>
      </c>
      <c r="W456">
        <v>0</v>
      </c>
      <c r="X456">
        <v>33.49</v>
      </c>
      <c r="Y456">
        <v>33.49</v>
      </c>
      <c r="Z456" t="s">
        <v>2151</v>
      </c>
      <c r="AA456" t="s">
        <v>2061</v>
      </c>
      <c r="AB456">
        <v>3</v>
      </c>
    </row>
    <row r="457" spans="1:28" x14ac:dyDescent="0.3">
      <c r="A457" t="s">
        <v>366</v>
      </c>
      <c r="B457" t="s">
        <v>367</v>
      </c>
      <c r="C457" t="s">
        <v>368</v>
      </c>
      <c r="D457" t="s">
        <v>2196</v>
      </c>
      <c r="E457">
        <v>31</v>
      </c>
      <c r="F457" t="s">
        <v>52</v>
      </c>
      <c r="G457" t="s">
        <v>140</v>
      </c>
      <c r="H457" t="s">
        <v>369</v>
      </c>
      <c r="I457" t="s">
        <v>370</v>
      </c>
      <c r="J457" t="s">
        <v>1917</v>
      </c>
      <c r="K457" s="14">
        <v>45525</v>
      </c>
      <c r="L457" t="s">
        <v>1918</v>
      </c>
      <c r="M457" t="s">
        <v>287</v>
      </c>
      <c r="N457">
        <v>157.63999999999999</v>
      </c>
      <c r="O457">
        <v>1</v>
      </c>
      <c r="P457" t="s">
        <v>85</v>
      </c>
      <c r="Q457">
        <v>7</v>
      </c>
      <c r="R457">
        <v>46</v>
      </c>
      <c r="S457">
        <v>45527</v>
      </c>
      <c r="T457" t="s">
        <v>1919</v>
      </c>
      <c r="U457">
        <v>2</v>
      </c>
      <c r="V457">
        <v>157.63999999999999</v>
      </c>
      <c r="W457">
        <v>0.2</v>
      </c>
      <c r="X457">
        <v>126.11199999999999</v>
      </c>
      <c r="Y457">
        <v>172.11199999999999</v>
      </c>
      <c r="Z457" t="s">
        <v>2092</v>
      </c>
      <c r="AA457" t="s">
        <v>2057</v>
      </c>
      <c r="AB457">
        <v>8</v>
      </c>
    </row>
    <row r="458" spans="1:28" x14ac:dyDescent="0.3">
      <c r="A458" t="s">
        <v>358</v>
      </c>
      <c r="B458" t="s">
        <v>359</v>
      </c>
      <c r="C458" t="s">
        <v>360</v>
      </c>
      <c r="D458" t="s">
        <v>2195</v>
      </c>
      <c r="E458">
        <v>32</v>
      </c>
      <c r="F458" t="s">
        <v>41</v>
      </c>
      <c r="G458" t="s">
        <v>168</v>
      </c>
      <c r="H458" t="s">
        <v>361</v>
      </c>
      <c r="I458" t="s">
        <v>362</v>
      </c>
      <c r="J458" t="s">
        <v>1920</v>
      </c>
      <c r="K458" s="14">
        <v>45257</v>
      </c>
      <c r="L458" t="s">
        <v>1921</v>
      </c>
      <c r="M458" t="s">
        <v>126</v>
      </c>
      <c r="N458">
        <v>257.06</v>
      </c>
      <c r="O458">
        <v>1</v>
      </c>
      <c r="P458" t="s">
        <v>36</v>
      </c>
      <c r="Q458">
        <v>3</v>
      </c>
      <c r="R458">
        <v>47</v>
      </c>
      <c r="S458">
        <v>45259</v>
      </c>
      <c r="T458" t="s">
        <v>1922</v>
      </c>
      <c r="U458">
        <v>2</v>
      </c>
      <c r="V458">
        <v>257.06</v>
      </c>
      <c r="W458">
        <v>0.08</v>
      </c>
      <c r="X458">
        <v>236.49520000000001</v>
      </c>
      <c r="Y458">
        <v>283.49520000000001</v>
      </c>
      <c r="Z458" t="s">
        <v>2091</v>
      </c>
      <c r="AA458" t="s">
        <v>2057</v>
      </c>
      <c r="AB458">
        <v>11</v>
      </c>
    </row>
    <row r="459" spans="1:28" x14ac:dyDescent="0.3">
      <c r="A459" t="s">
        <v>1042</v>
      </c>
      <c r="B459" t="s">
        <v>74</v>
      </c>
      <c r="C459" t="s">
        <v>1043</v>
      </c>
      <c r="D459" t="s">
        <v>2240</v>
      </c>
      <c r="E459">
        <v>46</v>
      </c>
      <c r="F459" t="s">
        <v>29</v>
      </c>
      <c r="G459" t="s">
        <v>30</v>
      </c>
      <c r="H459" t="s">
        <v>1044</v>
      </c>
      <c r="I459" t="s">
        <v>1045</v>
      </c>
      <c r="J459" t="s">
        <v>1923</v>
      </c>
      <c r="K459" s="14">
        <v>44980</v>
      </c>
      <c r="L459" t="s">
        <v>1924</v>
      </c>
      <c r="M459" t="s">
        <v>383</v>
      </c>
      <c r="N459">
        <v>431.44</v>
      </c>
      <c r="O459">
        <v>3</v>
      </c>
      <c r="P459" t="s">
        <v>36</v>
      </c>
      <c r="Q459">
        <v>6</v>
      </c>
      <c r="R459">
        <v>70</v>
      </c>
      <c r="S459">
        <v>44983</v>
      </c>
      <c r="T459" t="s">
        <v>1925</v>
      </c>
      <c r="U459">
        <v>3</v>
      </c>
      <c r="V459">
        <v>1294.32</v>
      </c>
      <c r="W459">
        <v>0.08</v>
      </c>
      <c r="X459">
        <v>1190.7744</v>
      </c>
      <c r="Y459">
        <v>1260.7744</v>
      </c>
      <c r="Z459" t="s">
        <v>2136</v>
      </c>
      <c r="AA459" t="s">
        <v>2057</v>
      </c>
      <c r="AB459">
        <v>2</v>
      </c>
    </row>
    <row r="460" spans="1:28" x14ac:dyDescent="0.3">
      <c r="A460" t="s">
        <v>1737</v>
      </c>
      <c r="B460" t="s">
        <v>1738</v>
      </c>
      <c r="C460" t="s">
        <v>1739</v>
      </c>
      <c r="D460" t="s">
        <v>2257</v>
      </c>
      <c r="E460">
        <v>47</v>
      </c>
      <c r="F460" t="s">
        <v>41</v>
      </c>
      <c r="G460" t="s">
        <v>30</v>
      </c>
      <c r="H460" t="s">
        <v>1740</v>
      </c>
      <c r="I460" t="s">
        <v>1741</v>
      </c>
      <c r="J460" t="s">
        <v>1926</v>
      </c>
      <c r="K460" s="14">
        <v>45183</v>
      </c>
      <c r="L460" t="s">
        <v>1927</v>
      </c>
      <c r="M460" t="s">
        <v>234</v>
      </c>
      <c r="N460">
        <v>132.97</v>
      </c>
      <c r="O460">
        <v>1</v>
      </c>
      <c r="P460" t="s">
        <v>58</v>
      </c>
      <c r="Q460">
        <v>6</v>
      </c>
      <c r="R460">
        <v>37</v>
      </c>
      <c r="S460">
        <v>45190</v>
      </c>
      <c r="T460" t="s">
        <v>1928</v>
      </c>
      <c r="U460">
        <v>7</v>
      </c>
      <c r="V460">
        <v>132.97</v>
      </c>
      <c r="W460">
        <v>0.15</v>
      </c>
      <c r="X460">
        <v>113.0245</v>
      </c>
      <c r="Y460">
        <v>150.02449999999999</v>
      </c>
      <c r="Z460" t="s">
        <v>2153</v>
      </c>
      <c r="AA460" t="s">
        <v>2061</v>
      </c>
      <c r="AB460">
        <v>9</v>
      </c>
    </row>
    <row r="461" spans="1:28" x14ac:dyDescent="0.3">
      <c r="A461" t="s">
        <v>1737</v>
      </c>
      <c r="B461" t="s">
        <v>1738</v>
      </c>
      <c r="C461" t="s">
        <v>1739</v>
      </c>
      <c r="D461" t="s">
        <v>2257</v>
      </c>
      <c r="E461">
        <v>47</v>
      </c>
      <c r="F461" t="s">
        <v>41</v>
      </c>
      <c r="G461" t="s">
        <v>30</v>
      </c>
      <c r="H461" t="s">
        <v>1740</v>
      </c>
      <c r="I461" t="s">
        <v>1741</v>
      </c>
      <c r="J461" t="s">
        <v>1929</v>
      </c>
      <c r="K461" s="14">
        <v>45015</v>
      </c>
      <c r="L461" t="s">
        <v>1930</v>
      </c>
      <c r="M461" t="s">
        <v>323</v>
      </c>
      <c r="N461">
        <v>481.48</v>
      </c>
      <c r="O461">
        <v>2</v>
      </c>
      <c r="P461" t="s">
        <v>63</v>
      </c>
      <c r="Q461">
        <v>5</v>
      </c>
      <c r="R461">
        <v>45</v>
      </c>
      <c r="S461">
        <v>45017</v>
      </c>
      <c r="T461" t="s">
        <v>1931</v>
      </c>
      <c r="U461">
        <v>2</v>
      </c>
      <c r="V461">
        <v>962.96</v>
      </c>
      <c r="W461">
        <v>0</v>
      </c>
      <c r="X461">
        <v>962.96</v>
      </c>
      <c r="Y461">
        <v>962.96</v>
      </c>
      <c r="Z461" t="s">
        <v>2153</v>
      </c>
      <c r="AA461" t="s">
        <v>2057</v>
      </c>
      <c r="AB461">
        <v>3</v>
      </c>
    </row>
    <row r="462" spans="1:28" x14ac:dyDescent="0.3">
      <c r="A462" t="s">
        <v>1932</v>
      </c>
      <c r="B462" t="s">
        <v>1933</v>
      </c>
      <c r="C462" t="s">
        <v>1934</v>
      </c>
      <c r="D462" t="s">
        <v>2262</v>
      </c>
      <c r="E462">
        <v>54</v>
      </c>
      <c r="F462" t="s">
        <v>41</v>
      </c>
      <c r="G462" t="s">
        <v>76</v>
      </c>
      <c r="H462" t="s">
        <v>1935</v>
      </c>
      <c r="I462" t="s">
        <v>1936</v>
      </c>
      <c r="J462" t="s">
        <v>1937</v>
      </c>
      <c r="K462" s="14">
        <v>45587</v>
      </c>
      <c r="L462" t="s">
        <v>1938</v>
      </c>
      <c r="M462" t="s">
        <v>481</v>
      </c>
      <c r="N462">
        <v>87.09</v>
      </c>
      <c r="O462">
        <v>5</v>
      </c>
      <c r="P462" t="s">
        <v>58</v>
      </c>
      <c r="Q462">
        <v>7</v>
      </c>
      <c r="R462">
        <v>40</v>
      </c>
      <c r="S462">
        <v>45589</v>
      </c>
      <c r="T462" t="s">
        <v>1939</v>
      </c>
      <c r="U462">
        <v>2</v>
      </c>
      <c r="V462">
        <v>435.45000000000005</v>
      </c>
      <c r="W462">
        <v>0.15</v>
      </c>
      <c r="X462">
        <v>370.13250000000005</v>
      </c>
      <c r="Y462">
        <v>410.13250000000005</v>
      </c>
      <c r="Z462" t="s">
        <v>2158</v>
      </c>
      <c r="AA462" t="s">
        <v>2057</v>
      </c>
      <c r="AB462">
        <v>10</v>
      </c>
    </row>
    <row r="463" spans="1:28" x14ac:dyDescent="0.3">
      <c r="A463" t="s">
        <v>823</v>
      </c>
      <c r="B463" t="s">
        <v>824</v>
      </c>
      <c r="C463" t="s">
        <v>825</v>
      </c>
      <c r="D463" t="s">
        <v>2233</v>
      </c>
      <c r="E463">
        <v>42</v>
      </c>
      <c r="F463" t="s">
        <v>29</v>
      </c>
      <c r="G463" t="s">
        <v>76</v>
      </c>
      <c r="H463" t="s">
        <v>826</v>
      </c>
      <c r="I463" t="s">
        <v>827</v>
      </c>
      <c r="J463" t="s">
        <v>1940</v>
      </c>
      <c r="K463" s="14">
        <v>45596</v>
      </c>
      <c r="L463" t="s">
        <v>1941</v>
      </c>
      <c r="M463" t="s">
        <v>748</v>
      </c>
      <c r="N463">
        <v>381.73</v>
      </c>
      <c r="O463">
        <v>5</v>
      </c>
      <c r="P463" t="s">
        <v>58</v>
      </c>
      <c r="Q463">
        <v>1</v>
      </c>
      <c r="R463">
        <v>53</v>
      </c>
      <c r="S463">
        <v>45603</v>
      </c>
      <c r="T463" t="s">
        <v>1942</v>
      </c>
      <c r="U463">
        <v>7</v>
      </c>
      <c r="V463">
        <v>1908.65</v>
      </c>
      <c r="W463">
        <v>0.15</v>
      </c>
      <c r="X463">
        <v>1622.3525</v>
      </c>
      <c r="Y463">
        <v>1675.3525</v>
      </c>
      <c r="Z463" t="s">
        <v>2129</v>
      </c>
      <c r="AA463" t="s">
        <v>2061</v>
      </c>
      <c r="AB463">
        <v>10</v>
      </c>
    </row>
    <row r="464" spans="1:28" x14ac:dyDescent="0.3">
      <c r="A464" t="s">
        <v>1318</v>
      </c>
      <c r="B464" t="s">
        <v>1319</v>
      </c>
      <c r="C464" t="s">
        <v>1320</v>
      </c>
      <c r="D464" t="s">
        <v>2250</v>
      </c>
      <c r="E464">
        <v>43</v>
      </c>
      <c r="F464" t="s">
        <v>29</v>
      </c>
      <c r="G464" t="s">
        <v>140</v>
      </c>
      <c r="H464" t="s">
        <v>1321</v>
      </c>
      <c r="I464" t="s">
        <v>1322</v>
      </c>
      <c r="J464" t="s">
        <v>1943</v>
      </c>
      <c r="K464" s="14">
        <v>45087</v>
      </c>
      <c r="L464" t="s">
        <v>1944</v>
      </c>
      <c r="M464" t="s">
        <v>383</v>
      </c>
      <c r="N464">
        <v>431.44</v>
      </c>
      <c r="O464">
        <v>3</v>
      </c>
      <c r="P464" t="s">
        <v>58</v>
      </c>
      <c r="Q464">
        <v>4</v>
      </c>
      <c r="R464">
        <v>58</v>
      </c>
      <c r="S464">
        <v>45092</v>
      </c>
      <c r="T464" t="s">
        <v>1945</v>
      </c>
      <c r="U464">
        <v>5</v>
      </c>
      <c r="V464">
        <v>1294.32</v>
      </c>
      <c r="W464">
        <v>0.15</v>
      </c>
      <c r="X464">
        <v>1100.172</v>
      </c>
      <c r="Y464">
        <v>1158.172</v>
      </c>
      <c r="Z464" t="s">
        <v>2146</v>
      </c>
      <c r="AA464" t="s">
        <v>2061</v>
      </c>
      <c r="AB464">
        <v>6</v>
      </c>
    </row>
    <row r="465" spans="1:28" x14ac:dyDescent="0.3">
      <c r="A465" t="s">
        <v>1614</v>
      </c>
      <c r="B465" t="s">
        <v>273</v>
      </c>
      <c r="C465" t="s">
        <v>1615</v>
      </c>
      <c r="D465" t="s">
        <v>2255</v>
      </c>
      <c r="E465">
        <v>62</v>
      </c>
      <c r="F465" t="s">
        <v>41</v>
      </c>
      <c r="G465" t="s">
        <v>42</v>
      </c>
      <c r="H465" t="s">
        <v>1616</v>
      </c>
      <c r="I465" t="s">
        <v>1617</v>
      </c>
      <c r="J465" t="s">
        <v>1946</v>
      </c>
      <c r="K465" s="14">
        <v>45393</v>
      </c>
      <c r="L465" t="s">
        <v>1947</v>
      </c>
      <c r="M465" t="s">
        <v>657</v>
      </c>
      <c r="N465">
        <v>235.63</v>
      </c>
      <c r="O465">
        <v>3</v>
      </c>
      <c r="P465" t="s">
        <v>63</v>
      </c>
      <c r="Q465">
        <v>6</v>
      </c>
      <c r="R465">
        <v>41</v>
      </c>
      <c r="S465">
        <v>45398</v>
      </c>
      <c r="T465" t="s">
        <v>1948</v>
      </c>
      <c r="U465">
        <v>5</v>
      </c>
      <c r="V465">
        <v>706.89</v>
      </c>
      <c r="W465">
        <v>0</v>
      </c>
      <c r="X465">
        <v>706.89</v>
      </c>
      <c r="Y465">
        <v>706.89</v>
      </c>
      <c r="Z465" t="s">
        <v>2151</v>
      </c>
      <c r="AA465" t="s">
        <v>2057</v>
      </c>
      <c r="AB465">
        <v>4</v>
      </c>
    </row>
    <row r="466" spans="1:28" x14ac:dyDescent="0.3">
      <c r="A466" t="s">
        <v>165</v>
      </c>
      <c r="B466" t="s">
        <v>166</v>
      </c>
      <c r="C466" t="s">
        <v>167</v>
      </c>
      <c r="D466" t="s">
        <v>2176</v>
      </c>
      <c r="E466">
        <v>46</v>
      </c>
      <c r="F466" t="s">
        <v>29</v>
      </c>
      <c r="G466" t="s">
        <v>168</v>
      </c>
      <c r="H466" t="s">
        <v>169</v>
      </c>
      <c r="I466" t="s">
        <v>170</v>
      </c>
      <c r="J466" t="s">
        <v>1949</v>
      </c>
      <c r="K466" s="14">
        <v>45525</v>
      </c>
      <c r="L466" t="s">
        <v>1950</v>
      </c>
      <c r="M466" t="s">
        <v>344</v>
      </c>
      <c r="N466">
        <v>372.62</v>
      </c>
      <c r="O466">
        <v>4</v>
      </c>
      <c r="P466" t="s">
        <v>36</v>
      </c>
      <c r="Q466">
        <v>3</v>
      </c>
      <c r="R466">
        <v>48</v>
      </c>
      <c r="S466">
        <v>45530</v>
      </c>
      <c r="T466" t="s">
        <v>1951</v>
      </c>
      <c r="U466">
        <v>5</v>
      </c>
      <c r="V466">
        <v>1490.48</v>
      </c>
      <c r="W466">
        <v>0.08</v>
      </c>
      <c r="X466">
        <v>1371.2416000000001</v>
      </c>
      <c r="Y466">
        <v>1419.2416000000001</v>
      </c>
      <c r="Z466" t="s">
        <v>2072</v>
      </c>
      <c r="AA466" t="s">
        <v>2061</v>
      </c>
      <c r="AB466">
        <v>8</v>
      </c>
    </row>
    <row r="467" spans="1:28" x14ac:dyDescent="0.3">
      <c r="A467" t="s">
        <v>316</v>
      </c>
      <c r="B467" t="s">
        <v>317</v>
      </c>
      <c r="C467" t="s">
        <v>318</v>
      </c>
      <c r="D467" t="s">
        <v>2191</v>
      </c>
      <c r="E467">
        <v>45</v>
      </c>
      <c r="F467" t="s">
        <v>29</v>
      </c>
      <c r="G467" t="s">
        <v>42</v>
      </c>
      <c r="H467" t="s">
        <v>319</v>
      </c>
      <c r="I467" t="s">
        <v>320</v>
      </c>
      <c r="J467" t="s">
        <v>1952</v>
      </c>
      <c r="K467" s="14">
        <v>45103</v>
      </c>
      <c r="L467" t="s">
        <v>1953</v>
      </c>
      <c r="M467" t="s">
        <v>637</v>
      </c>
      <c r="N467">
        <v>445.81</v>
      </c>
      <c r="O467">
        <v>3</v>
      </c>
      <c r="P467" t="s">
        <v>85</v>
      </c>
      <c r="Q467">
        <v>1</v>
      </c>
      <c r="R467">
        <v>58</v>
      </c>
      <c r="S467">
        <v>45109</v>
      </c>
      <c r="T467" t="s">
        <v>1954</v>
      </c>
      <c r="U467">
        <v>6</v>
      </c>
      <c r="V467">
        <v>1337.43</v>
      </c>
      <c r="W467">
        <v>0.2</v>
      </c>
      <c r="X467">
        <v>1069.944</v>
      </c>
      <c r="Y467">
        <v>1127.944</v>
      </c>
      <c r="Z467" t="s">
        <v>2087</v>
      </c>
      <c r="AA467" t="s">
        <v>2061</v>
      </c>
      <c r="AB467">
        <v>6</v>
      </c>
    </row>
    <row r="468" spans="1:28" x14ac:dyDescent="0.3">
      <c r="A468" t="s">
        <v>639</v>
      </c>
      <c r="B468" t="s">
        <v>148</v>
      </c>
      <c r="C468" t="s">
        <v>640</v>
      </c>
      <c r="D468" t="s">
        <v>2221</v>
      </c>
      <c r="E468">
        <v>44</v>
      </c>
      <c r="F468" t="s">
        <v>52</v>
      </c>
      <c r="G468" t="s">
        <v>90</v>
      </c>
      <c r="H468" t="s">
        <v>641</v>
      </c>
      <c r="I468" t="s">
        <v>642</v>
      </c>
      <c r="J468" t="s">
        <v>1955</v>
      </c>
      <c r="K468" s="14">
        <v>45410</v>
      </c>
      <c r="L468" t="s">
        <v>1956</v>
      </c>
      <c r="M468" t="s">
        <v>590</v>
      </c>
      <c r="N468">
        <v>403.03</v>
      </c>
      <c r="O468">
        <v>2</v>
      </c>
      <c r="P468" t="s">
        <v>58</v>
      </c>
      <c r="Q468">
        <v>7</v>
      </c>
      <c r="R468">
        <v>39</v>
      </c>
      <c r="S468">
        <v>45417</v>
      </c>
      <c r="T468" t="s">
        <v>1957</v>
      </c>
      <c r="U468">
        <v>7</v>
      </c>
      <c r="V468">
        <v>806.06</v>
      </c>
      <c r="W468">
        <v>0.15</v>
      </c>
      <c r="X468">
        <v>685.15099999999995</v>
      </c>
      <c r="Y468">
        <v>724.15099999999995</v>
      </c>
      <c r="Z468" t="s">
        <v>2117</v>
      </c>
      <c r="AA468" t="s">
        <v>2066</v>
      </c>
      <c r="AB468">
        <v>4</v>
      </c>
    </row>
    <row r="469" spans="1:28" x14ac:dyDescent="0.3">
      <c r="A469" t="s">
        <v>894</v>
      </c>
      <c r="B469" t="s">
        <v>148</v>
      </c>
      <c r="C469" t="s">
        <v>895</v>
      </c>
      <c r="D469" t="s">
        <v>2237</v>
      </c>
      <c r="E469">
        <v>29</v>
      </c>
      <c r="F469" t="s">
        <v>29</v>
      </c>
      <c r="G469" t="s">
        <v>42</v>
      </c>
      <c r="H469" t="s">
        <v>896</v>
      </c>
      <c r="I469" t="s">
        <v>897</v>
      </c>
      <c r="J469" t="s">
        <v>1958</v>
      </c>
      <c r="K469" s="14">
        <v>45423</v>
      </c>
      <c r="L469" t="s">
        <v>1959</v>
      </c>
      <c r="M469" t="s">
        <v>356</v>
      </c>
      <c r="N469">
        <v>496.59</v>
      </c>
      <c r="O469">
        <v>5</v>
      </c>
      <c r="P469" t="s">
        <v>36</v>
      </c>
      <c r="Q469">
        <v>3</v>
      </c>
      <c r="R469">
        <v>61</v>
      </c>
      <c r="S469">
        <v>45425</v>
      </c>
      <c r="T469" t="s">
        <v>1960</v>
      </c>
      <c r="U469">
        <v>2</v>
      </c>
      <c r="V469">
        <v>2482.9499999999998</v>
      </c>
      <c r="W469">
        <v>0.08</v>
      </c>
      <c r="X469">
        <v>2284.3139999999999</v>
      </c>
      <c r="Y469">
        <v>2345.3139999999999</v>
      </c>
      <c r="Z469" t="s">
        <v>2133</v>
      </c>
      <c r="AA469" t="s">
        <v>2057</v>
      </c>
      <c r="AB469">
        <v>5</v>
      </c>
    </row>
    <row r="470" spans="1:28" x14ac:dyDescent="0.3">
      <c r="A470" t="s">
        <v>65</v>
      </c>
      <c r="B470" t="s">
        <v>66</v>
      </c>
      <c r="C470" t="s">
        <v>67</v>
      </c>
      <c r="D470" t="s">
        <v>2166</v>
      </c>
      <c r="E470">
        <v>49</v>
      </c>
      <c r="F470" t="s">
        <v>52</v>
      </c>
      <c r="G470" t="s">
        <v>30</v>
      </c>
      <c r="H470" t="s">
        <v>68</v>
      </c>
      <c r="I470" t="s">
        <v>69</v>
      </c>
      <c r="J470" t="s">
        <v>1961</v>
      </c>
      <c r="K470" s="14">
        <v>45377</v>
      </c>
      <c r="L470" t="s">
        <v>1962</v>
      </c>
      <c r="M470" t="s">
        <v>418</v>
      </c>
      <c r="N470">
        <v>44.5</v>
      </c>
      <c r="O470">
        <v>3</v>
      </c>
      <c r="P470" t="s">
        <v>85</v>
      </c>
      <c r="Q470">
        <v>7</v>
      </c>
      <c r="R470">
        <v>40</v>
      </c>
      <c r="S470">
        <v>45382</v>
      </c>
      <c r="T470" t="s">
        <v>1963</v>
      </c>
      <c r="U470">
        <v>5</v>
      </c>
      <c r="V470">
        <v>133.5</v>
      </c>
      <c r="W470">
        <v>0.2</v>
      </c>
      <c r="X470">
        <v>106.8</v>
      </c>
      <c r="Y470">
        <v>146.80000000000001</v>
      </c>
      <c r="Z470" t="s">
        <v>2060</v>
      </c>
      <c r="AA470" t="s">
        <v>2057</v>
      </c>
      <c r="AB470">
        <v>3</v>
      </c>
    </row>
    <row r="471" spans="1:28" x14ac:dyDescent="0.3">
      <c r="A471" t="s">
        <v>1614</v>
      </c>
      <c r="B471" t="s">
        <v>273</v>
      </c>
      <c r="C471" t="s">
        <v>1615</v>
      </c>
      <c r="D471" t="s">
        <v>2255</v>
      </c>
      <c r="E471">
        <v>62</v>
      </c>
      <c r="F471" t="s">
        <v>41</v>
      </c>
      <c r="G471" t="s">
        <v>42</v>
      </c>
      <c r="H471" t="s">
        <v>1616</v>
      </c>
      <c r="I471" t="s">
        <v>1617</v>
      </c>
      <c r="J471" t="s">
        <v>1964</v>
      </c>
      <c r="K471" s="14">
        <v>45451</v>
      </c>
      <c r="L471" t="s">
        <v>1965</v>
      </c>
      <c r="M471" t="s">
        <v>270</v>
      </c>
      <c r="N471">
        <v>62.42</v>
      </c>
      <c r="O471">
        <v>5</v>
      </c>
      <c r="P471" t="s">
        <v>63</v>
      </c>
      <c r="Q471">
        <v>2</v>
      </c>
      <c r="R471">
        <v>47</v>
      </c>
      <c r="S471">
        <v>45453</v>
      </c>
      <c r="T471" t="s">
        <v>1966</v>
      </c>
      <c r="U471">
        <v>2</v>
      </c>
      <c r="V471">
        <v>312.10000000000002</v>
      </c>
      <c r="W471">
        <v>0</v>
      </c>
      <c r="X471">
        <v>312.10000000000002</v>
      </c>
      <c r="Y471">
        <v>312.10000000000002</v>
      </c>
      <c r="Z471" t="s">
        <v>2151</v>
      </c>
      <c r="AA471" t="s">
        <v>2066</v>
      </c>
      <c r="AB471">
        <v>6</v>
      </c>
    </row>
    <row r="472" spans="1:28" x14ac:dyDescent="0.3">
      <c r="A472" t="s">
        <v>705</v>
      </c>
      <c r="B472" t="s">
        <v>706</v>
      </c>
      <c r="C472" t="s">
        <v>707</v>
      </c>
      <c r="D472" t="s">
        <v>2226</v>
      </c>
      <c r="E472">
        <v>26</v>
      </c>
      <c r="F472" t="s">
        <v>52</v>
      </c>
      <c r="G472" t="s">
        <v>76</v>
      </c>
      <c r="H472" t="s">
        <v>708</v>
      </c>
      <c r="I472" t="s">
        <v>709</v>
      </c>
      <c r="J472" t="s">
        <v>1967</v>
      </c>
      <c r="K472" s="14">
        <v>45362</v>
      </c>
      <c r="L472" t="s">
        <v>1968</v>
      </c>
      <c r="M472" t="s">
        <v>481</v>
      </c>
      <c r="N472">
        <v>87.09</v>
      </c>
      <c r="O472">
        <v>4</v>
      </c>
      <c r="P472" t="s">
        <v>96</v>
      </c>
      <c r="Q472">
        <v>5</v>
      </c>
      <c r="R472">
        <v>45</v>
      </c>
      <c r="S472">
        <v>45368</v>
      </c>
      <c r="T472" t="s">
        <v>1969</v>
      </c>
      <c r="U472">
        <v>6</v>
      </c>
      <c r="V472">
        <v>348.36</v>
      </c>
      <c r="W472">
        <v>0.1</v>
      </c>
      <c r="X472">
        <v>313.524</v>
      </c>
      <c r="Y472">
        <v>358.524</v>
      </c>
      <c r="Z472" t="s">
        <v>2122</v>
      </c>
      <c r="AA472" t="s">
        <v>2061</v>
      </c>
      <c r="AB472">
        <v>3</v>
      </c>
    </row>
    <row r="473" spans="1:28" x14ac:dyDescent="0.3">
      <c r="A473" t="s">
        <v>293</v>
      </c>
      <c r="B473" t="s">
        <v>294</v>
      </c>
      <c r="C473" t="s">
        <v>295</v>
      </c>
      <c r="D473" t="s">
        <v>2189</v>
      </c>
      <c r="E473">
        <v>48</v>
      </c>
      <c r="F473" t="s">
        <v>41</v>
      </c>
      <c r="G473" t="s">
        <v>90</v>
      </c>
      <c r="H473" t="s">
        <v>296</v>
      </c>
      <c r="I473" t="s">
        <v>297</v>
      </c>
      <c r="J473" t="s">
        <v>1970</v>
      </c>
      <c r="K473" s="14">
        <v>45283</v>
      </c>
      <c r="L473" t="s">
        <v>1971</v>
      </c>
      <c r="M473" t="s">
        <v>340</v>
      </c>
      <c r="N473">
        <v>77.84</v>
      </c>
      <c r="O473">
        <v>4</v>
      </c>
      <c r="P473" t="s">
        <v>85</v>
      </c>
      <c r="Q473">
        <v>5</v>
      </c>
      <c r="R473">
        <v>55</v>
      </c>
      <c r="S473">
        <v>45286</v>
      </c>
      <c r="T473" t="s">
        <v>1972</v>
      </c>
      <c r="U473">
        <v>3</v>
      </c>
      <c r="V473">
        <v>311.36</v>
      </c>
      <c r="W473">
        <v>0.2</v>
      </c>
      <c r="X473">
        <v>249.08800000000002</v>
      </c>
      <c r="Y473">
        <v>304.08800000000002</v>
      </c>
      <c r="Z473" t="s">
        <v>2085</v>
      </c>
      <c r="AA473" t="s">
        <v>2057</v>
      </c>
      <c r="AB473">
        <v>12</v>
      </c>
    </row>
    <row r="474" spans="1:28" x14ac:dyDescent="0.3">
      <c r="A474" t="s">
        <v>1906</v>
      </c>
      <c r="B474" t="s">
        <v>1907</v>
      </c>
      <c r="C474" t="s">
        <v>1908</v>
      </c>
      <c r="D474" t="s">
        <v>2261</v>
      </c>
      <c r="E474">
        <v>43</v>
      </c>
      <c r="F474" t="s">
        <v>29</v>
      </c>
      <c r="G474" t="s">
        <v>42</v>
      </c>
      <c r="H474" t="s">
        <v>1909</v>
      </c>
      <c r="I474" t="s">
        <v>1910</v>
      </c>
      <c r="J474" t="s">
        <v>1973</v>
      </c>
      <c r="K474" s="14">
        <v>45012</v>
      </c>
      <c r="L474" t="s">
        <v>1974</v>
      </c>
      <c r="M474" t="s">
        <v>340</v>
      </c>
      <c r="N474">
        <v>77.84</v>
      </c>
      <c r="O474">
        <v>5</v>
      </c>
      <c r="P474" t="s">
        <v>96</v>
      </c>
      <c r="Q474">
        <v>2</v>
      </c>
      <c r="R474">
        <v>53</v>
      </c>
      <c r="S474">
        <v>45017</v>
      </c>
      <c r="T474" t="s">
        <v>1975</v>
      </c>
      <c r="U474">
        <v>5</v>
      </c>
      <c r="V474">
        <v>389.20000000000005</v>
      </c>
      <c r="W474">
        <v>0.1</v>
      </c>
      <c r="X474">
        <v>350.28000000000003</v>
      </c>
      <c r="Y474">
        <v>403.28000000000003</v>
      </c>
      <c r="Z474" t="s">
        <v>2157</v>
      </c>
      <c r="AA474" t="s">
        <v>2061</v>
      </c>
      <c r="AB474">
        <v>3</v>
      </c>
    </row>
    <row r="475" spans="1:28" x14ac:dyDescent="0.3">
      <c r="A475" t="s">
        <v>475</v>
      </c>
      <c r="B475" t="s">
        <v>108</v>
      </c>
      <c r="C475" t="s">
        <v>476</v>
      </c>
      <c r="D475" t="s">
        <v>2208</v>
      </c>
      <c r="E475">
        <v>33</v>
      </c>
      <c r="F475" t="s">
        <v>29</v>
      </c>
      <c r="G475" t="s">
        <v>168</v>
      </c>
      <c r="H475" t="s">
        <v>477</v>
      </c>
      <c r="I475" t="s">
        <v>478</v>
      </c>
      <c r="J475" t="s">
        <v>1976</v>
      </c>
      <c r="K475" s="14">
        <v>45528</v>
      </c>
      <c r="L475" t="s">
        <v>1977</v>
      </c>
      <c r="M475" t="s">
        <v>234</v>
      </c>
      <c r="N475">
        <v>132.97</v>
      </c>
      <c r="O475">
        <v>4</v>
      </c>
      <c r="P475" t="s">
        <v>63</v>
      </c>
      <c r="Q475">
        <v>6</v>
      </c>
      <c r="R475">
        <v>63</v>
      </c>
      <c r="S475">
        <v>45535</v>
      </c>
      <c r="T475" t="s">
        <v>1978</v>
      </c>
      <c r="U475">
        <v>7</v>
      </c>
      <c r="V475">
        <v>531.88</v>
      </c>
      <c r="W475">
        <v>0</v>
      </c>
      <c r="X475">
        <v>531.88</v>
      </c>
      <c r="Y475">
        <v>531.88</v>
      </c>
      <c r="Z475" t="s">
        <v>2104</v>
      </c>
      <c r="AA475" t="s">
        <v>2061</v>
      </c>
      <c r="AB475">
        <v>8</v>
      </c>
    </row>
    <row r="476" spans="1:28" x14ac:dyDescent="0.3">
      <c r="A476" t="s">
        <v>236</v>
      </c>
      <c r="B476" t="s">
        <v>66</v>
      </c>
      <c r="C476" t="s">
        <v>237</v>
      </c>
      <c r="D476" t="s">
        <v>2184</v>
      </c>
      <c r="E476">
        <v>52</v>
      </c>
      <c r="F476" t="s">
        <v>52</v>
      </c>
      <c r="G476" t="s">
        <v>42</v>
      </c>
      <c r="H476" t="s">
        <v>238</v>
      </c>
      <c r="I476" t="s">
        <v>239</v>
      </c>
      <c r="J476" t="s">
        <v>1979</v>
      </c>
      <c r="K476" s="14">
        <v>45354</v>
      </c>
      <c r="L476" t="s">
        <v>1980</v>
      </c>
      <c r="M476" t="s">
        <v>225</v>
      </c>
      <c r="N476">
        <v>461.07</v>
      </c>
      <c r="O476">
        <v>3</v>
      </c>
      <c r="P476" t="s">
        <v>58</v>
      </c>
      <c r="Q476">
        <v>4</v>
      </c>
      <c r="R476">
        <v>54</v>
      </c>
      <c r="S476">
        <v>45357</v>
      </c>
      <c r="T476" t="s">
        <v>1981</v>
      </c>
      <c r="U476">
        <v>3</v>
      </c>
      <c r="V476">
        <v>1383.21</v>
      </c>
      <c r="W476">
        <v>0.15</v>
      </c>
      <c r="X476">
        <v>1175.7284999999999</v>
      </c>
      <c r="Y476">
        <v>1229.7284999999999</v>
      </c>
      <c r="Z476" t="s">
        <v>2080</v>
      </c>
      <c r="AA476" t="s">
        <v>2057</v>
      </c>
      <c r="AB476">
        <v>3</v>
      </c>
    </row>
    <row r="477" spans="1:28" x14ac:dyDescent="0.3">
      <c r="A477" t="s">
        <v>646</v>
      </c>
      <c r="B477" t="s">
        <v>647</v>
      </c>
      <c r="C477" t="s">
        <v>648</v>
      </c>
      <c r="D477" t="s">
        <v>2222</v>
      </c>
      <c r="E477">
        <v>45</v>
      </c>
      <c r="F477" t="s">
        <v>52</v>
      </c>
      <c r="G477" t="s">
        <v>90</v>
      </c>
      <c r="H477" t="s">
        <v>649</v>
      </c>
      <c r="I477" t="s">
        <v>650</v>
      </c>
      <c r="J477" t="s">
        <v>1982</v>
      </c>
      <c r="K477" s="14">
        <v>45327</v>
      </c>
      <c r="L477" t="s">
        <v>1983</v>
      </c>
      <c r="M477" t="s">
        <v>47</v>
      </c>
      <c r="N477">
        <v>166.28</v>
      </c>
      <c r="O477">
        <v>1</v>
      </c>
      <c r="P477" t="s">
        <v>63</v>
      </c>
      <c r="Q477">
        <v>2</v>
      </c>
      <c r="R477">
        <v>38</v>
      </c>
      <c r="S477">
        <v>45328</v>
      </c>
      <c r="T477" t="s">
        <v>1984</v>
      </c>
      <c r="U477">
        <v>1</v>
      </c>
      <c r="V477">
        <v>166.28</v>
      </c>
      <c r="W477">
        <v>0</v>
      </c>
      <c r="X477">
        <v>166.28</v>
      </c>
      <c r="Y477">
        <v>166.28</v>
      </c>
      <c r="Z477" t="s">
        <v>2118</v>
      </c>
      <c r="AA477" t="s">
        <v>2057</v>
      </c>
      <c r="AB477">
        <v>2</v>
      </c>
    </row>
    <row r="478" spans="1:28" x14ac:dyDescent="0.3">
      <c r="A478" t="s">
        <v>1932</v>
      </c>
      <c r="B478" t="s">
        <v>1933</v>
      </c>
      <c r="C478" t="s">
        <v>1934</v>
      </c>
      <c r="D478" t="s">
        <v>2262</v>
      </c>
      <c r="E478">
        <v>54</v>
      </c>
      <c r="F478" t="s">
        <v>41</v>
      </c>
      <c r="G478" t="s">
        <v>76</v>
      </c>
      <c r="H478" t="s">
        <v>1935</v>
      </c>
      <c r="I478" t="s">
        <v>1936</v>
      </c>
      <c r="J478" t="s">
        <v>1985</v>
      </c>
      <c r="K478" s="14">
        <v>45353</v>
      </c>
      <c r="L478" t="s">
        <v>1986</v>
      </c>
      <c r="M478" t="s">
        <v>573</v>
      </c>
      <c r="N478">
        <v>477.52</v>
      </c>
      <c r="O478">
        <v>4</v>
      </c>
      <c r="P478" t="s">
        <v>96</v>
      </c>
      <c r="Q478">
        <v>3</v>
      </c>
      <c r="R478">
        <v>54</v>
      </c>
      <c r="S478">
        <v>45354</v>
      </c>
      <c r="T478" t="s">
        <v>1987</v>
      </c>
      <c r="U478">
        <v>1</v>
      </c>
      <c r="V478">
        <v>1910.08</v>
      </c>
      <c r="W478">
        <v>0.1</v>
      </c>
      <c r="X478">
        <v>1719.0719999999999</v>
      </c>
      <c r="Y478">
        <v>1773.0719999999999</v>
      </c>
      <c r="Z478" t="s">
        <v>2158</v>
      </c>
      <c r="AA478" t="s">
        <v>2057</v>
      </c>
      <c r="AB478">
        <v>3</v>
      </c>
    </row>
    <row r="479" spans="1:28" x14ac:dyDescent="0.3">
      <c r="A479" t="s">
        <v>401</v>
      </c>
      <c r="B479" t="s">
        <v>402</v>
      </c>
      <c r="C479" t="s">
        <v>403</v>
      </c>
      <c r="D479" t="s">
        <v>2200</v>
      </c>
      <c r="E479">
        <v>70</v>
      </c>
      <c r="F479" t="s">
        <v>29</v>
      </c>
      <c r="G479" t="s">
        <v>30</v>
      </c>
      <c r="H479" t="s">
        <v>404</v>
      </c>
      <c r="I479" t="s">
        <v>405</v>
      </c>
      <c r="J479" t="s">
        <v>1988</v>
      </c>
      <c r="K479" s="14">
        <v>45392</v>
      </c>
      <c r="L479" t="s">
        <v>488</v>
      </c>
      <c r="M479" t="s">
        <v>573</v>
      </c>
      <c r="N479">
        <v>477.52</v>
      </c>
      <c r="O479">
        <v>5</v>
      </c>
      <c r="P479" t="s">
        <v>96</v>
      </c>
      <c r="Q479">
        <v>7</v>
      </c>
      <c r="R479">
        <v>53</v>
      </c>
      <c r="S479">
        <v>45394</v>
      </c>
      <c r="T479" t="s">
        <v>1989</v>
      </c>
      <c r="U479">
        <v>2</v>
      </c>
      <c r="V479">
        <v>2387.6</v>
      </c>
      <c r="W479">
        <v>0.1</v>
      </c>
      <c r="X479">
        <v>2148.84</v>
      </c>
      <c r="Y479">
        <v>2201.84</v>
      </c>
      <c r="Z479" t="s">
        <v>2096</v>
      </c>
      <c r="AA479" t="s">
        <v>2057</v>
      </c>
      <c r="AB479">
        <v>4</v>
      </c>
    </row>
    <row r="480" spans="1:28" x14ac:dyDescent="0.3">
      <c r="A480" t="s">
        <v>1906</v>
      </c>
      <c r="B480" t="s">
        <v>1907</v>
      </c>
      <c r="C480" t="s">
        <v>1908</v>
      </c>
      <c r="D480" t="s">
        <v>2261</v>
      </c>
      <c r="E480">
        <v>43</v>
      </c>
      <c r="F480" t="s">
        <v>29</v>
      </c>
      <c r="G480" t="s">
        <v>42</v>
      </c>
      <c r="H480" t="s">
        <v>1909</v>
      </c>
      <c r="I480" t="s">
        <v>1910</v>
      </c>
      <c r="J480" t="s">
        <v>1990</v>
      </c>
      <c r="K480" s="14">
        <v>45259</v>
      </c>
      <c r="L480" t="s">
        <v>1991</v>
      </c>
      <c r="M480" t="s">
        <v>291</v>
      </c>
      <c r="N480">
        <v>158.53</v>
      </c>
      <c r="O480">
        <v>2</v>
      </c>
      <c r="P480" t="s">
        <v>63</v>
      </c>
      <c r="Q480">
        <v>5</v>
      </c>
      <c r="R480">
        <v>69</v>
      </c>
      <c r="S480">
        <v>45261</v>
      </c>
      <c r="T480" t="s">
        <v>1992</v>
      </c>
      <c r="U480">
        <v>2</v>
      </c>
      <c r="V480">
        <v>317.06</v>
      </c>
      <c r="W480">
        <v>0</v>
      </c>
      <c r="X480">
        <v>317.06</v>
      </c>
      <c r="Y480">
        <v>317.06</v>
      </c>
      <c r="Z480" t="s">
        <v>2157</v>
      </c>
      <c r="AA480" t="s">
        <v>2057</v>
      </c>
      <c r="AB480">
        <v>11</v>
      </c>
    </row>
    <row r="481" spans="1:28" x14ac:dyDescent="0.3">
      <c r="A481" t="s">
        <v>201</v>
      </c>
      <c r="B481" t="s">
        <v>202</v>
      </c>
      <c r="C481" t="s">
        <v>203</v>
      </c>
      <c r="D481" t="s">
        <v>2180</v>
      </c>
      <c r="E481">
        <v>23</v>
      </c>
      <c r="F481" t="s">
        <v>29</v>
      </c>
      <c r="G481" t="s">
        <v>90</v>
      </c>
      <c r="H481" t="s">
        <v>204</v>
      </c>
      <c r="I481" t="s">
        <v>205</v>
      </c>
      <c r="J481" t="s">
        <v>1993</v>
      </c>
      <c r="K481" s="14">
        <v>45373</v>
      </c>
      <c r="L481" t="s">
        <v>1994</v>
      </c>
      <c r="M481" t="s">
        <v>62</v>
      </c>
      <c r="N481">
        <v>405</v>
      </c>
      <c r="O481">
        <v>3</v>
      </c>
      <c r="P481" t="s">
        <v>96</v>
      </c>
      <c r="Q481">
        <v>5</v>
      </c>
      <c r="R481">
        <v>54</v>
      </c>
      <c r="S481">
        <v>45379</v>
      </c>
      <c r="T481" t="s">
        <v>1995</v>
      </c>
      <c r="U481">
        <v>6</v>
      </c>
      <c r="V481">
        <v>1215</v>
      </c>
      <c r="W481">
        <v>0.1</v>
      </c>
      <c r="X481">
        <v>1093.5</v>
      </c>
      <c r="Y481">
        <v>1147.5</v>
      </c>
      <c r="Z481" t="s">
        <v>2076</v>
      </c>
      <c r="AA481" t="s">
        <v>2061</v>
      </c>
      <c r="AB481">
        <v>3</v>
      </c>
    </row>
    <row r="482" spans="1:28" x14ac:dyDescent="0.3">
      <c r="A482" t="s">
        <v>466</v>
      </c>
      <c r="B482" t="s">
        <v>467</v>
      </c>
      <c r="C482" t="s">
        <v>468</v>
      </c>
      <c r="D482" t="s">
        <v>2207</v>
      </c>
      <c r="E482">
        <v>18</v>
      </c>
      <c r="F482" t="s">
        <v>41</v>
      </c>
      <c r="G482" t="s">
        <v>42</v>
      </c>
      <c r="H482" t="s">
        <v>469</v>
      </c>
      <c r="I482" t="s">
        <v>470</v>
      </c>
      <c r="J482" t="s">
        <v>1996</v>
      </c>
      <c r="K482" s="14">
        <v>45380</v>
      </c>
      <c r="L482" t="s">
        <v>1997</v>
      </c>
      <c r="M482" t="s">
        <v>941</v>
      </c>
      <c r="N482">
        <v>107.47</v>
      </c>
      <c r="O482">
        <v>4</v>
      </c>
      <c r="P482" t="s">
        <v>96</v>
      </c>
      <c r="Q482">
        <v>3</v>
      </c>
      <c r="R482">
        <v>65</v>
      </c>
      <c r="S482">
        <v>45385</v>
      </c>
      <c r="T482" t="s">
        <v>1998</v>
      </c>
      <c r="U482">
        <v>5</v>
      </c>
      <c r="V482">
        <v>429.88</v>
      </c>
      <c r="W482">
        <v>0.1</v>
      </c>
      <c r="X482">
        <v>386.892</v>
      </c>
      <c r="Y482">
        <v>451.892</v>
      </c>
      <c r="Z482" t="s">
        <v>2103</v>
      </c>
      <c r="AA482" t="s">
        <v>2061</v>
      </c>
      <c r="AB482">
        <v>3</v>
      </c>
    </row>
    <row r="483" spans="1:28" x14ac:dyDescent="0.3">
      <c r="A483" t="s">
        <v>483</v>
      </c>
      <c r="B483" t="s">
        <v>484</v>
      </c>
      <c r="C483" t="s">
        <v>130</v>
      </c>
      <c r="D483" t="s">
        <v>2209</v>
      </c>
      <c r="E483">
        <v>68</v>
      </c>
      <c r="F483" t="s">
        <v>52</v>
      </c>
      <c r="G483" t="s">
        <v>220</v>
      </c>
      <c r="H483" t="s">
        <v>485</v>
      </c>
      <c r="I483" t="s">
        <v>486</v>
      </c>
      <c r="J483" t="s">
        <v>1999</v>
      </c>
      <c r="K483" s="14">
        <v>45072</v>
      </c>
      <c r="L483" t="s">
        <v>2000</v>
      </c>
      <c r="M483" t="s">
        <v>250</v>
      </c>
      <c r="N483">
        <v>128.13999999999999</v>
      </c>
      <c r="O483">
        <v>3</v>
      </c>
      <c r="P483" t="s">
        <v>85</v>
      </c>
      <c r="Q483">
        <v>2</v>
      </c>
      <c r="R483">
        <v>59</v>
      </c>
      <c r="S483">
        <v>45076</v>
      </c>
      <c r="T483" t="s">
        <v>2001</v>
      </c>
      <c r="U483">
        <v>4</v>
      </c>
      <c r="V483">
        <v>384.41999999999996</v>
      </c>
      <c r="W483">
        <v>0.2</v>
      </c>
      <c r="X483">
        <v>307.53599999999994</v>
      </c>
      <c r="Y483">
        <v>366.53599999999994</v>
      </c>
      <c r="Z483" t="s">
        <v>2105</v>
      </c>
      <c r="AA483" t="s">
        <v>2061</v>
      </c>
      <c r="AB483">
        <v>5</v>
      </c>
    </row>
    <row r="484" spans="1:28" x14ac:dyDescent="0.3">
      <c r="A484" t="s">
        <v>184</v>
      </c>
      <c r="B484" t="s">
        <v>185</v>
      </c>
      <c r="C484" t="s">
        <v>186</v>
      </c>
      <c r="D484" t="s">
        <v>2178</v>
      </c>
      <c r="E484">
        <v>42</v>
      </c>
      <c r="F484" t="s">
        <v>41</v>
      </c>
      <c r="G484" t="s">
        <v>168</v>
      </c>
      <c r="H484" t="s">
        <v>187</v>
      </c>
      <c r="I484" t="s">
        <v>188</v>
      </c>
      <c r="J484" t="s">
        <v>2002</v>
      </c>
      <c r="K484" s="14">
        <v>45290</v>
      </c>
      <c r="L484" t="s">
        <v>2003</v>
      </c>
      <c r="M484" t="s">
        <v>199</v>
      </c>
      <c r="N484">
        <v>20.7</v>
      </c>
      <c r="O484">
        <v>1</v>
      </c>
      <c r="P484" t="s">
        <v>96</v>
      </c>
      <c r="Q484">
        <v>5</v>
      </c>
      <c r="R484">
        <v>55</v>
      </c>
      <c r="S484">
        <v>45291</v>
      </c>
      <c r="T484" t="s">
        <v>2004</v>
      </c>
      <c r="U484">
        <v>1</v>
      </c>
      <c r="V484">
        <v>20.7</v>
      </c>
      <c r="W484">
        <v>0.1</v>
      </c>
      <c r="X484">
        <v>18.63</v>
      </c>
      <c r="Y484">
        <v>73.63</v>
      </c>
      <c r="Z484" t="s">
        <v>2074</v>
      </c>
      <c r="AA484" t="s">
        <v>2057</v>
      </c>
      <c r="AB484">
        <v>12</v>
      </c>
    </row>
    <row r="485" spans="1:28" x14ac:dyDescent="0.3">
      <c r="A485" t="s">
        <v>184</v>
      </c>
      <c r="B485" t="s">
        <v>185</v>
      </c>
      <c r="C485" t="s">
        <v>186</v>
      </c>
      <c r="D485" t="s">
        <v>2178</v>
      </c>
      <c r="E485">
        <v>42</v>
      </c>
      <c r="F485" t="s">
        <v>41</v>
      </c>
      <c r="G485" t="s">
        <v>168</v>
      </c>
      <c r="H485" t="s">
        <v>187</v>
      </c>
      <c r="I485" t="s">
        <v>188</v>
      </c>
      <c r="J485" t="s">
        <v>2005</v>
      </c>
      <c r="K485" s="14">
        <v>45128</v>
      </c>
      <c r="L485" t="s">
        <v>2006</v>
      </c>
      <c r="M485" t="s">
        <v>270</v>
      </c>
      <c r="N485">
        <v>62.42</v>
      </c>
      <c r="O485">
        <v>3</v>
      </c>
      <c r="P485" t="s">
        <v>36</v>
      </c>
      <c r="Q485">
        <v>6</v>
      </c>
      <c r="R485">
        <v>39</v>
      </c>
      <c r="S485">
        <v>45129</v>
      </c>
      <c r="T485" t="s">
        <v>2007</v>
      </c>
      <c r="U485">
        <v>1</v>
      </c>
      <c r="V485">
        <v>187.26</v>
      </c>
      <c r="W485">
        <v>0.08</v>
      </c>
      <c r="X485">
        <v>172.2792</v>
      </c>
      <c r="Y485">
        <v>211.2792</v>
      </c>
      <c r="Z485" t="s">
        <v>2074</v>
      </c>
      <c r="AA485" t="s">
        <v>2057</v>
      </c>
      <c r="AB485">
        <v>7</v>
      </c>
    </row>
    <row r="486" spans="1:28" x14ac:dyDescent="0.3">
      <c r="A486" t="s">
        <v>192</v>
      </c>
      <c r="B486" t="s">
        <v>193</v>
      </c>
      <c r="C486" t="s">
        <v>194</v>
      </c>
      <c r="D486" t="s">
        <v>2179</v>
      </c>
      <c r="E486">
        <v>34</v>
      </c>
      <c r="F486" t="s">
        <v>29</v>
      </c>
      <c r="G486" t="s">
        <v>90</v>
      </c>
      <c r="H486" t="s">
        <v>195</v>
      </c>
      <c r="I486" t="s">
        <v>196</v>
      </c>
      <c r="J486" t="s">
        <v>2008</v>
      </c>
      <c r="K486" s="14">
        <v>45283</v>
      </c>
      <c r="L486" t="s">
        <v>2009</v>
      </c>
      <c r="M486" t="s">
        <v>323</v>
      </c>
      <c r="N486">
        <v>481.48</v>
      </c>
      <c r="O486">
        <v>1</v>
      </c>
      <c r="P486" t="s">
        <v>36</v>
      </c>
      <c r="Q486">
        <v>5</v>
      </c>
      <c r="R486">
        <v>70</v>
      </c>
      <c r="S486">
        <v>45287</v>
      </c>
      <c r="T486" t="s">
        <v>2010</v>
      </c>
      <c r="U486">
        <v>4</v>
      </c>
      <c r="V486">
        <v>481.48</v>
      </c>
      <c r="W486">
        <v>0.08</v>
      </c>
      <c r="X486">
        <v>442.96160000000003</v>
      </c>
      <c r="Y486">
        <v>512.96160000000009</v>
      </c>
      <c r="Z486" t="s">
        <v>2075</v>
      </c>
      <c r="AA486" t="s">
        <v>2057</v>
      </c>
      <c r="AB486">
        <v>12</v>
      </c>
    </row>
    <row r="487" spans="1:28" x14ac:dyDescent="0.3">
      <c r="A487" t="s">
        <v>325</v>
      </c>
      <c r="B487" t="s">
        <v>326</v>
      </c>
      <c r="C487" t="s">
        <v>327</v>
      </c>
      <c r="D487" t="s">
        <v>2192</v>
      </c>
      <c r="E487">
        <v>29</v>
      </c>
      <c r="F487" t="s">
        <v>52</v>
      </c>
      <c r="G487" t="s">
        <v>90</v>
      </c>
      <c r="H487" t="s">
        <v>328</v>
      </c>
      <c r="I487" t="s">
        <v>329</v>
      </c>
      <c r="J487" t="s">
        <v>2011</v>
      </c>
      <c r="K487" s="14">
        <v>45633</v>
      </c>
      <c r="L487" t="s">
        <v>2012</v>
      </c>
      <c r="M487" t="s">
        <v>35</v>
      </c>
      <c r="N487">
        <v>308.88</v>
      </c>
      <c r="O487">
        <v>3</v>
      </c>
      <c r="P487" t="s">
        <v>85</v>
      </c>
      <c r="Q487">
        <v>5</v>
      </c>
      <c r="R487">
        <v>68</v>
      </c>
      <c r="S487">
        <v>45636</v>
      </c>
      <c r="T487" t="s">
        <v>2013</v>
      </c>
      <c r="U487">
        <v>3</v>
      </c>
      <c r="V487">
        <v>926.64</v>
      </c>
      <c r="W487">
        <v>0.2</v>
      </c>
      <c r="X487">
        <v>741.31200000000001</v>
      </c>
      <c r="Y487">
        <v>809.31200000000001</v>
      </c>
      <c r="Z487" t="s">
        <v>2088</v>
      </c>
      <c r="AA487" t="s">
        <v>2057</v>
      </c>
      <c r="AB487">
        <v>12</v>
      </c>
    </row>
    <row r="488" spans="1:28" x14ac:dyDescent="0.3">
      <c r="A488" t="s">
        <v>1238</v>
      </c>
      <c r="B488" t="s">
        <v>1239</v>
      </c>
      <c r="C488" t="s">
        <v>1240</v>
      </c>
      <c r="D488" t="s">
        <v>2247</v>
      </c>
      <c r="E488">
        <v>55</v>
      </c>
      <c r="F488" t="s">
        <v>41</v>
      </c>
      <c r="G488" t="s">
        <v>159</v>
      </c>
      <c r="H488" t="s">
        <v>1241</v>
      </c>
      <c r="I488" t="s">
        <v>1242</v>
      </c>
      <c r="J488" t="s">
        <v>2014</v>
      </c>
      <c r="K488" s="14">
        <v>45356</v>
      </c>
      <c r="L488" t="s">
        <v>2015</v>
      </c>
      <c r="M488" t="s">
        <v>114</v>
      </c>
      <c r="N488">
        <v>48.45</v>
      </c>
      <c r="O488">
        <v>3</v>
      </c>
      <c r="P488" t="s">
        <v>85</v>
      </c>
      <c r="Q488">
        <v>6</v>
      </c>
      <c r="R488">
        <v>43</v>
      </c>
      <c r="S488">
        <v>45358</v>
      </c>
      <c r="T488" t="s">
        <v>2016</v>
      </c>
      <c r="U488">
        <v>2</v>
      </c>
      <c r="V488">
        <v>145.35000000000002</v>
      </c>
      <c r="W488">
        <v>0.2</v>
      </c>
      <c r="X488">
        <v>116.28000000000002</v>
      </c>
      <c r="Y488">
        <v>159.28000000000003</v>
      </c>
      <c r="Z488" t="s">
        <v>2143</v>
      </c>
      <c r="AA488" t="s">
        <v>2057</v>
      </c>
      <c r="AB488">
        <v>3</v>
      </c>
    </row>
    <row r="489" spans="1:28" x14ac:dyDescent="0.3">
      <c r="A489" t="s">
        <v>128</v>
      </c>
      <c r="B489" t="s">
        <v>129</v>
      </c>
      <c r="C489" t="s">
        <v>130</v>
      </c>
      <c r="D489" t="s">
        <v>2172</v>
      </c>
      <c r="E489">
        <v>30</v>
      </c>
      <c r="F489" t="s">
        <v>41</v>
      </c>
      <c r="G489" t="s">
        <v>42</v>
      </c>
      <c r="H489" t="s">
        <v>131</v>
      </c>
      <c r="I489" t="s">
        <v>132</v>
      </c>
      <c r="J489" t="s">
        <v>2017</v>
      </c>
      <c r="K489" s="14">
        <v>45188</v>
      </c>
      <c r="L489" t="s">
        <v>2018</v>
      </c>
      <c r="M489" t="s">
        <v>941</v>
      </c>
      <c r="N489">
        <v>107.47</v>
      </c>
      <c r="O489">
        <v>4</v>
      </c>
      <c r="P489" t="s">
        <v>36</v>
      </c>
      <c r="Q489">
        <v>2</v>
      </c>
      <c r="R489">
        <v>35</v>
      </c>
      <c r="S489">
        <v>45191</v>
      </c>
      <c r="T489" t="s">
        <v>2019</v>
      </c>
      <c r="U489">
        <v>3</v>
      </c>
      <c r="V489">
        <v>429.88</v>
      </c>
      <c r="W489">
        <v>0.08</v>
      </c>
      <c r="X489">
        <v>395.4896</v>
      </c>
      <c r="Y489">
        <v>430.4896</v>
      </c>
      <c r="Z489" t="s">
        <v>2068</v>
      </c>
      <c r="AA489" t="s">
        <v>2061</v>
      </c>
      <c r="AB489">
        <v>9</v>
      </c>
    </row>
    <row r="490" spans="1:28" x14ac:dyDescent="0.3">
      <c r="A490" t="s">
        <v>385</v>
      </c>
      <c r="B490" t="s">
        <v>386</v>
      </c>
      <c r="C490" t="s">
        <v>387</v>
      </c>
      <c r="D490" t="s">
        <v>2198</v>
      </c>
      <c r="E490">
        <v>47</v>
      </c>
      <c r="F490" t="s">
        <v>41</v>
      </c>
      <c r="G490" t="s">
        <v>90</v>
      </c>
      <c r="H490" t="s">
        <v>388</v>
      </c>
      <c r="I490" t="s">
        <v>389</v>
      </c>
      <c r="J490" t="s">
        <v>2020</v>
      </c>
      <c r="K490" s="14">
        <v>45681</v>
      </c>
      <c r="L490" t="s">
        <v>2021</v>
      </c>
      <c r="M490" t="s">
        <v>518</v>
      </c>
      <c r="N490">
        <v>441.03</v>
      </c>
      <c r="O490">
        <v>5</v>
      </c>
      <c r="P490" t="s">
        <v>36</v>
      </c>
      <c r="Q490">
        <v>5</v>
      </c>
      <c r="R490">
        <v>62</v>
      </c>
      <c r="S490">
        <v>45682</v>
      </c>
      <c r="T490" t="s">
        <v>2022</v>
      </c>
      <c r="U490">
        <v>1</v>
      </c>
      <c r="V490">
        <v>2205.1499999999996</v>
      </c>
      <c r="W490">
        <v>0.08</v>
      </c>
      <c r="X490">
        <v>2028.7379999999996</v>
      </c>
      <c r="Y490">
        <v>2090.7379999999994</v>
      </c>
      <c r="Z490" t="s">
        <v>2094</v>
      </c>
      <c r="AA490" t="s">
        <v>2057</v>
      </c>
      <c r="AB490">
        <v>1</v>
      </c>
    </row>
    <row r="491" spans="1:28" x14ac:dyDescent="0.3">
      <c r="A491" t="s">
        <v>575</v>
      </c>
      <c r="B491" t="s">
        <v>256</v>
      </c>
      <c r="C491" t="s">
        <v>576</v>
      </c>
      <c r="D491" t="s">
        <v>2217</v>
      </c>
      <c r="E491">
        <v>35</v>
      </c>
      <c r="F491" t="s">
        <v>29</v>
      </c>
      <c r="G491" t="s">
        <v>30</v>
      </c>
      <c r="H491" t="s">
        <v>577</v>
      </c>
      <c r="I491" t="s">
        <v>578</v>
      </c>
      <c r="J491" t="s">
        <v>2023</v>
      </c>
      <c r="K491" s="14">
        <v>45007</v>
      </c>
      <c r="L491" t="s">
        <v>2024</v>
      </c>
      <c r="M491" t="s">
        <v>984</v>
      </c>
      <c r="N491">
        <v>33.49</v>
      </c>
      <c r="O491">
        <v>4</v>
      </c>
      <c r="P491" t="s">
        <v>85</v>
      </c>
      <c r="Q491">
        <v>7</v>
      </c>
      <c r="R491">
        <v>54</v>
      </c>
      <c r="S491">
        <v>45008</v>
      </c>
      <c r="T491" t="s">
        <v>2025</v>
      </c>
      <c r="U491">
        <v>1</v>
      </c>
      <c r="V491">
        <v>133.96</v>
      </c>
      <c r="W491">
        <v>0.2</v>
      </c>
      <c r="X491">
        <v>107.16800000000001</v>
      </c>
      <c r="Y491">
        <v>161.16800000000001</v>
      </c>
      <c r="Z491" t="s">
        <v>2113</v>
      </c>
      <c r="AA491" t="s">
        <v>2057</v>
      </c>
      <c r="AB491">
        <v>3</v>
      </c>
    </row>
    <row r="492" spans="1:28" x14ac:dyDescent="0.3">
      <c r="A492" t="s">
        <v>705</v>
      </c>
      <c r="B492" t="s">
        <v>706</v>
      </c>
      <c r="C492" t="s">
        <v>707</v>
      </c>
      <c r="D492" t="s">
        <v>2226</v>
      </c>
      <c r="E492">
        <v>26</v>
      </c>
      <c r="F492" t="s">
        <v>52</v>
      </c>
      <c r="G492" t="s">
        <v>76</v>
      </c>
      <c r="H492" t="s">
        <v>708</v>
      </c>
      <c r="I492" t="s">
        <v>709</v>
      </c>
      <c r="J492" t="s">
        <v>2026</v>
      </c>
      <c r="K492" s="14">
        <v>45204</v>
      </c>
      <c r="L492" t="s">
        <v>2027</v>
      </c>
      <c r="M492" t="s">
        <v>984</v>
      </c>
      <c r="N492">
        <v>33.49</v>
      </c>
      <c r="O492">
        <v>1</v>
      </c>
      <c r="P492" t="s">
        <v>58</v>
      </c>
      <c r="Q492">
        <v>4</v>
      </c>
      <c r="R492">
        <v>44</v>
      </c>
      <c r="S492">
        <v>45206</v>
      </c>
      <c r="T492" t="s">
        <v>2028</v>
      </c>
      <c r="U492">
        <v>2</v>
      </c>
      <c r="V492">
        <v>33.49</v>
      </c>
      <c r="W492">
        <v>0.15</v>
      </c>
      <c r="X492">
        <v>28.466500000000003</v>
      </c>
      <c r="Y492">
        <v>72.466499999999996</v>
      </c>
      <c r="Z492" t="s">
        <v>2122</v>
      </c>
      <c r="AA492" t="s">
        <v>2057</v>
      </c>
      <c r="AB492">
        <v>10</v>
      </c>
    </row>
    <row r="493" spans="1:28" x14ac:dyDescent="0.3">
      <c r="A493" t="s">
        <v>483</v>
      </c>
      <c r="B493" t="s">
        <v>484</v>
      </c>
      <c r="C493" t="s">
        <v>130</v>
      </c>
      <c r="D493" t="s">
        <v>2209</v>
      </c>
      <c r="E493">
        <v>68</v>
      </c>
      <c r="F493" t="s">
        <v>52</v>
      </c>
      <c r="G493" t="s">
        <v>220</v>
      </c>
      <c r="H493" t="s">
        <v>485</v>
      </c>
      <c r="I493" t="s">
        <v>486</v>
      </c>
      <c r="J493" t="s">
        <v>2029</v>
      </c>
      <c r="K493" s="14">
        <v>45590</v>
      </c>
      <c r="L493" t="s">
        <v>2030</v>
      </c>
      <c r="M493" t="s">
        <v>270</v>
      </c>
      <c r="N493">
        <v>62.42</v>
      </c>
      <c r="O493">
        <v>4</v>
      </c>
      <c r="P493" t="s">
        <v>63</v>
      </c>
      <c r="Q493">
        <v>4</v>
      </c>
      <c r="R493">
        <v>37</v>
      </c>
      <c r="S493">
        <v>45597</v>
      </c>
      <c r="T493" t="s">
        <v>2031</v>
      </c>
      <c r="U493">
        <v>7</v>
      </c>
      <c r="V493">
        <v>249.68</v>
      </c>
      <c r="W493">
        <v>0</v>
      </c>
      <c r="X493">
        <v>249.68</v>
      </c>
      <c r="Y493">
        <v>249.68</v>
      </c>
      <c r="Z493" t="s">
        <v>2105</v>
      </c>
      <c r="AA493" t="s">
        <v>2061</v>
      </c>
      <c r="AB493">
        <v>10</v>
      </c>
    </row>
    <row r="494" spans="1:28" x14ac:dyDescent="0.3">
      <c r="A494" t="s">
        <v>358</v>
      </c>
      <c r="B494" t="s">
        <v>359</v>
      </c>
      <c r="C494" t="s">
        <v>360</v>
      </c>
      <c r="D494" t="s">
        <v>2195</v>
      </c>
      <c r="E494">
        <v>32</v>
      </c>
      <c r="F494" t="s">
        <v>41</v>
      </c>
      <c r="G494" t="s">
        <v>168</v>
      </c>
      <c r="H494" t="s">
        <v>361</v>
      </c>
      <c r="I494" t="s">
        <v>362</v>
      </c>
      <c r="J494" t="s">
        <v>2032</v>
      </c>
      <c r="K494" s="14">
        <v>45217</v>
      </c>
      <c r="L494" t="s">
        <v>2033</v>
      </c>
      <c r="M494" t="s">
        <v>308</v>
      </c>
      <c r="N494">
        <v>129.75</v>
      </c>
      <c r="O494">
        <v>1</v>
      </c>
      <c r="P494" t="s">
        <v>36</v>
      </c>
      <c r="Q494">
        <v>7</v>
      </c>
      <c r="R494">
        <v>56</v>
      </c>
      <c r="S494">
        <v>45219</v>
      </c>
      <c r="T494" t="s">
        <v>2034</v>
      </c>
      <c r="U494">
        <v>2</v>
      </c>
      <c r="V494">
        <v>129.75</v>
      </c>
      <c r="W494">
        <v>0.08</v>
      </c>
      <c r="X494">
        <v>119.37</v>
      </c>
      <c r="Y494">
        <v>175.37</v>
      </c>
      <c r="Z494" t="s">
        <v>2091</v>
      </c>
      <c r="AA494" t="s">
        <v>2057</v>
      </c>
      <c r="AB494">
        <v>10</v>
      </c>
    </row>
    <row r="495" spans="1:28" x14ac:dyDescent="0.3">
      <c r="A495" t="s">
        <v>175</v>
      </c>
      <c r="B495" t="s">
        <v>176</v>
      </c>
      <c r="C495" t="s">
        <v>177</v>
      </c>
      <c r="D495" t="s">
        <v>2177</v>
      </c>
      <c r="E495">
        <v>36</v>
      </c>
      <c r="F495" t="s">
        <v>52</v>
      </c>
      <c r="G495" t="s">
        <v>140</v>
      </c>
      <c r="H495" t="s">
        <v>178</v>
      </c>
      <c r="I495" t="s">
        <v>179</v>
      </c>
      <c r="J495" t="s">
        <v>2035</v>
      </c>
      <c r="K495" s="14">
        <v>45182</v>
      </c>
      <c r="L495" t="s">
        <v>2036</v>
      </c>
      <c r="M495" t="s">
        <v>199</v>
      </c>
      <c r="N495">
        <v>20.7</v>
      </c>
      <c r="O495">
        <v>4</v>
      </c>
      <c r="P495" t="s">
        <v>85</v>
      </c>
      <c r="Q495">
        <v>1</v>
      </c>
      <c r="R495">
        <v>61</v>
      </c>
      <c r="S495">
        <v>45184</v>
      </c>
      <c r="T495" t="s">
        <v>2037</v>
      </c>
      <c r="U495">
        <v>2</v>
      </c>
      <c r="V495">
        <v>82.8</v>
      </c>
      <c r="W495">
        <v>0.2</v>
      </c>
      <c r="X495">
        <v>66.239999999999995</v>
      </c>
      <c r="Y495">
        <v>127.24</v>
      </c>
      <c r="Z495" t="s">
        <v>2073</v>
      </c>
      <c r="AA495" t="s">
        <v>2061</v>
      </c>
      <c r="AB495">
        <v>9</v>
      </c>
    </row>
    <row r="496" spans="1:28" x14ac:dyDescent="0.3">
      <c r="A496" t="s">
        <v>137</v>
      </c>
      <c r="B496" t="s">
        <v>138</v>
      </c>
      <c r="C496" t="s">
        <v>139</v>
      </c>
      <c r="D496" t="s">
        <v>2173</v>
      </c>
      <c r="E496">
        <v>25</v>
      </c>
      <c r="F496" t="s">
        <v>52</v>
      </c>
      <c r="G496" t="s">
        <v>140</v>
      </c>
      <c r="H496" t="s">
        <v>141</v>
      </c>
      <c r="I496" t="s">
        <v>142</v>
      </c>
      <c r="J496" t="s">
        <v>2038</v>
      </c>
      <c r="K496" s="14">
        <v>45107</v>
      </c>
      <c r="L496" t="s">
        <v>2039</v>
      </c>
      <c r="M496" t="s">
        <v>154</v>
      </c>
      <c r="N496">
        <v>220.27</v>
      </c>
      <c r="O496">
        <v>3</v>
      </c>
      <c r="P496" t="s">
        <v>63</v>
      </c>
      <c r="Q496">
        <v>4</v>
      </c>
      <c r="R496">
        <v>50</v>
      </c>
      <c r="S496">
        <v>45108</v>
      </c>
      <c r="T496" t="s">
        <v>2040</v>
      </c>
      <c r="U496">
        <v>1</v>
      </c>
      <c r="V496">
        <v>660.81000000000006</v>
      </c>
      <c r="W496">
        <v>0</v>
      </c>
      <c r="X496">
        <v>660.81000000000006</v>
      </c>
      <c r="Y496">
        <v>660.81000000000006</v>
      </c>
      <c r="Z496" t="s">
        <v>2069</v>
      </c>
      <c r="AA496" t="s">
        <v>2057</v>
      </c>
      <c r="AB496">
        <v>6</v>
      </c>
    </row>
    <row r="497" spans="1:28" x14ac:dyDescent="0.3">
      <c r="A497" t="s">
        <v>217</v>
      </c>
      <c r="B497" t="s">
        <v>218</v>
      </c>
      <c r="C497" t="s">
        <v>219</v>
      </c>
      <c r="D497" t="s">
        <v>2182</v>
      </c>
      <c r="E497">
        <v>33</v>
      </c>
      <c r="F497" t="s">
        <v>52</v>
      </c>
      <c r="G497" t="s">
        <v>220</v>
      </c>
      <c r="H497" t="s">
        <v>221</v>
      </c>
      <c r="I497" t="s">
        <v>222</v>
      </c>
      <c r="J497" t="s">
        <v>2041</v>
      </c>
      <c r="K497" s="14">
        <v>45032</v>
      </c>
      <c r="L497" t="s">
        <v>2042</v>
      </c>
      <c r="M497" t="s">
        <v>653</v>
      </c>
      <c r="N497">
        <v>433.62</v>
      </c>
      <c r="O497">
        <v>2</v>
      </c>
      <c r="P497" t="s">
        <v>36</v>
      </c>
      <c r="Q497">
        <v>7</v>
      </c>
      <c r="R497">
        <v>56</v>
      </c>
      <c r="S497">
        <v>45039</v>
      </c>
      <c r="T497" t="s">
        <v>2043</v>
      </c>
      <c r="U497">
        <v>7</v>
      </c>
      <c r="V497">
        <v>867.24</v>
      </c>
      <c r="W497">
        <v>0.08</v>
      </c>
      <c r="X497">
        <v>797.86080000000004</v>
      </c>
      <c r="Y497">
        <v>853.86080000000004</v>
      </c>
      <c r="Z497" t="s">
        <v>2078</v>
      </c>
      <c r="AA497" t="s">
        <v>2066</v>
      </c>
      <c r="AB497">
        <v>4</v>
      </c>
    </row>
    <row r="498" spans="1:28" x14ac:dyDescent="0.3">
      <c r="A498" t="s">
        <v>1727</v>
      </c>
      <c r="B498" t="s">
        <v>1728</v>
      </c>
      <c r="C498" t="s">
        <v>368</v>
      </c>
      <c r="D498" t="s">
        <v>2256</v>
      </c>
      <c r="E498">
        <v>34</v>
      </c>
      <c r="F498" t="s">
        <v>52</v>
      </c>
      <c r="G498" t="s">
        <v>159</v>
      </c>
      <c r="H498" t="s">
        <v>1729</v>
      </c>
      <c r="I498" t="s">
        <v>1730</v>
      </c>
      <c r="J498" t="s">
        <v>2044</v>
      </c>
      <c r="K498" s="14">
        <v>45490</v>
      </c>
      <c r="L498" t="s">
        <v>2045</v>
      </c>
      <c r="M498" t="s">
        <v>250</v>
      </c>
      <c r="N498">
        <v>128.13999999999999</v>
      </c>
      <c r="O498">
        <v>3</v>
      </c>
      <c r="P498" t="s">
        <v>36</v>
      </c>
      <c r="Q498">
        <v>5</v>
      </c>
      <c r="R498">
        <v>49</v>
      </c>
      <c r="S498">
        <v>45495</v>
      </c>
      <c r="T498" t="s">
        <v>2046</v>
      </c>
      <c r="U498">
        <v>5</v>
      </c>
      <c r="V498">
        <v>384.41999999999996</v>
      </c>
      <c r="W498">
        <v>0.08</v>
      </c>
      <c r="X498">
        <v>353.66639999999995</v>
      </c>
      <c r="Y498">
        <v>402.66639999999995</v>
      </c>
      <c r="Z498" t="s">
        <v>2152</v>
      </c>
      <c r="AA498" t="s">
        <v>2066</v>
      </c>
      <c r="AB498">
        <v>7</v>
      </c>
    </row>
    <row r="499" spans="1:28" x14ac:dyDescent="0.3">
      <c r="A499" t="s">
        <v>1932</v>
      </c>
      <c r="B499" t="s">
        <v>1933</v>
      </c>
      <c r="C499" t="s">
        <v>1934</v>
      </c>
      <c r="D499" t="s">
        <v>2262</v>
      </c>
      <c r="E499">
        <v>54</v>
      </c>
      <c r="F499" t="s">
        <v>41</v>
      </c>
      <c r="G499" t="s">
        <v>76</v>
      </c>
      <c r="H499" t="s">
        <v>1935</v>
      </c>
      <c r="I499" t="s">
        <v>1936</v>
      </c>
      <c r="J499" t="s">
        <v>2047</v>
      </c>
      <c r="K499" s="14">
        <v>45381</v>
      </c>
      <c r="L499" t="s">
        <v>2048</v>
      </c>
      <c r="M499" t="s">
        <v>173</v>
      </c>
      <c r="N499">
        <v>272.51</v>
      </c>
      <c r="O499">
        <v>5</v>
      </c>
      <c r="P499" t="s">
        <v>63</v>
      </c>
      <c r="Q499">
        <v>3</v>
      </c>
      <c r="R499">
        <v>66</v>
      </c>
      <c r="S499">
        <v>45388</v>
      </c>
      <c r="T499" t="s">
        <v>2049</v>
      </c>
      <c r="U499">
        <v>7</v>
      </c>
      <c r="V499">
        <v>1362.55</v>
      </c>
      <c r="W499">
        <v>0</v>
      </c>
      <c r="X499">
        <v>1362.55</v>
      </c>
      <c r="Y499">
        <v>1362.55</v>
      </c>
      <c r="Z499" t="s">
        <v>2158</v>
      </c>
      <c r="AA499" t="s">
        <v>2061</v>
      </c>
      <c r="AB499">
        <v>3</v>
      </c>
    </row>
    <row r="500" spans="1:28" x14ac:dyDescent="0.3">
      <c r="A500" t="s">
        <v>420</v>
      </c>
      <c r="B500" t="s">
        <v>421</v>
      </c>
      <c r="C500" t="s">
        <v>422</v>
      </c>
      <c r="D500" t="s">
        <v>2202</v>
      </c>
      <c r="E500">
        <v>52</v>
      </c>
      <c r="F500" t="s">
        <v>52</v>
      </c>
      <c r="G500" t="s">
        <v>220</v>
      </c>
      <c r="H500" t="s">
        <v>423</v>
      </c>
      <c r="I500" t="s">
        <v>424</v>
      </c>
      <c r="J500" t="s">
        <v>2050</v>
      </c>
      <c r="K500" s="14">
        <v>45472</v>
      </c>
      <c r="L500" t="s">
        <v>2051</v>
      </c>
      <c r="M500" t="s">
        <v>686</v>
      </c>
      <c r="N500">
        <v>424.82</v>
      </c>
      <c r="O500">
        <v>2</v>
      </c>
      <c r="P500" t="s">
        <v>63</v>
      </c>
      <c r="Q500">
        <v>6</v>
      </c>
      <c r="R500">
        <v>63</v>
      </c>
      <c r="S500">
        <v>45477</v>
      </c>
      <c r="T500" t="s">
        <v>2052</v>
      </c>
      <c r="U500">
        <v>5</v>
      </c>
      <c r="V500">
        <v>849.64</v>
      </c>
      <c r="W500">
        <v>0</v>
      </c>
      <c r="X500">
        <v>849.64</v>
      </c>
      <c r="Y500">
        <v>849.64</v>
      </c>
      <c r="Z500" t="s">
        <v>2098</v>
      </c>
      <c r="AA500" t="s">
        <v>2057</v>
      </c>
      <c r="AB500">
        <v>6</v>
      </c>
    </row>
    <row r="501" spans="1:28" x14ac:dyDescent="0.3">
      <c r="A501" t="s">
        <v>236</v>
      </c>
      <c r="B501" t="s">
        <v>66</v>
      </c>
      <c r="C501" t="s">
        <v>237</v>
      </c>
      <c r="D501" t="s">
        <v>2184</v>
      </c>
      <c r="E501">
        <v>52</v>
      </c>
      <c r="F501" t="s">
        <v>52</v>
      </c>
      <c r="G501" t="s">
        <v>42</v>
      </c>
      <c r="H501" t="s">
        <v>238</v>
      </c>
      <c r="I501" t="s">
        <v>239</v>
      </c>
      <c r="J501" t="s">
        <v>2053</v>
      </c>
      <c r="K501" s="14">
        <v>45501</v>
      </c>
      <c r="L501" t="s">
        <v>2054</v>
      </c>
      <c r="M501" t="s">
        <v>418</v>
      </c>
      <c r="N501">
        <v>44.5</v>
      </c>
      <c r="O501">
        <v>4</v>
      </c>
      <c r="P501" t="s">
        <v>63</v>
      </c>
      <c r="Q501">
        <v>3</v>
      </c>
      <c r="R501">
        <v>45</v>
      </c>
      <c r="S501">
        <v>45504</v>
      </c>
      <c r="T501" t="s">
        <v>2055</v>
      </c>
      <c r="U501">
        <v>3</v>
      </c>
      <c r="V501">
        <v>178</v>
      </c>
      <c r="W501">
        <v>0</v>
      </c>
      <c r="X501">
        <v>178</v>
      </c>
      <c r="Y501">
        <v>178</v>
      </c>
      <c r="Z501" t="s">
        <v>2080</v>
      </c>
      <c r="AA501" t="s">
        <v>2066</v>
      </c>
      <c r="AB501">
        <v>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D2FE6A-1EA1-4A02-A11D-C03DEA72EFFF}">
  <dimension ref="C5:V117"/>
  <sheetViews>
    <sheetView topLeftCell="B1" workbookViewId="0">
      <selection activeCell="V21" sqref="V21"/>
    </sheetView>
  </sheetViews>
  <sheetFormatPr defaultRowHeight="14.4" x14ac:dyDescent="0.3"/>
  <cols>
    <col min="3" max="4" width="12.5546875" bestFit="1" customWidth="1"/>
    <col min="5" max="5" width="34.77734375" bestFit="1" customWidth="1"/>
    <col min="19" max="19" width="12.5546875" bestFit="1" customWidth="1"/>
    <col min="20" max="20" width="34.77734375" bestFit="1" customWidth="1"/>
    <col min="21" max="21" width="12.5546875" bestFit="1" customWidth="1"/>
    <col min="22" max="22" width="34.77734375" bestFit="1" customWidth="1"/>
  </cols>
  <sheetData>
    <row r="5" spans="3:22" x14ac:dyDescent="0.3">
      <c r="C5" s="8" t="s">
        <v>2160</v>
      </c>
      <c r="D5" t="s">
        <v>2287</v>
      </c>
    </row>
    <row r="6" spans="3:22" x14ac:dyDescent="0.3">
      <c r="C6" s="9" t="s">
        <v>2237</v>
      </c>
      <c r="D6" s="16">
        <v>2345.3139999999999</v>
      </c>
    </row>
    <row r="7" spans="3:22" x14ac:dyDescent="0.3">
      <c r="C7" s="9" t="s">
        <v>2161</v>
      </c>
      <c r="D7" s="16">
        <v>2345.3139999999999</v>
      </c>
      <c r="S7" s="16" t="e" vm="1">
        <v>#VALUE!</v>
      </c>
    </row>
    <row r="8" spans="3:22" x14ac:dyDescent="0.3">
      <c r="U8" s="8" t="s">
        <v>2160</v>
      </c>
      <c r="V8" t="s">
        <v>2266</v>
      </c>
    </row>
    <row r="9" spans="3:22" x14ac:dyDescent="0.3">
      <c r="U9" s="9" t="s">
        <v>287</v>
      </c>
      <c r="V9" s="16">
        <v>17</v>
      </c>
    </row>
    <row r="10" spans="3:22" x14ac:dyDescent="0.3">
      <c r="U10" s="9" t="s">
        <v>2161</v>
      </c>
      <c r="V10" s="16">
        <v>17</v>
      </c>
    </row>
    <row r="13" spans="3:22" x14ac:dyDescent="0.3">
      <c r="C13" s="8" t="s">
        <v>2160</v>
      </c>
    </row>
    <row r="14" spans="3:22" x14ac:dyDescent="0.3">
      <c r="C14" s="9" t="s">
        <v>430</v>
      </c>
      <c r="D14">
        <f>COUNTA(_xlfn.UNIQUE(C14:C63))</f>
        <v>50</v>
      </c>
      <c r="V14" t="str">
        <f>U9</f>
        <v>PID036</v>
      </c>
    </row>
    <row r="15" spans="3:22" x14ac:dyDescent="0.3">
      <c r="C15" s="9" t="s">
        <v>941</v>
      </c>
      <c r="S15" s="17" t="e" vm="2">
        <v>#VALUE!</v>
      </c>
    </row>
    <row r="16" spans="3:22" x14ac:dyDescent="0.3">
      <c r="C16" s="9" t="s">
        <v>199</v>
      </c>
      <c r="D16" s="8" t="s">
        <v>2160</v>
      </c>
      <c r="U16" s="8" t="s">
        <v>2160</v>
      </c>
      <c r="V16" t="s">
        <v>2268</v>
      </c>
    </row>
    <row r="17" spans="3:22" x14ac:dyDescent="0.3">
      <c r="C17" s="9" t="s">
        <v>356</v>
      </c>
      <c r="D17" s="9" t="s">
        <v>500</v>
      </c>
      <c r="U17" s="9" t="s">
        <v>323</v>
      </c>
      <c r="V17" s="16">
        <v>18899.2772</v>
      </c>
    </row>
    <row r="18" spans="3:22" x14ac:dyDescent="0.3">
      <c r="C18" s="9" t="s">
        <v>637</v>
      </c>
      <c r="D18" s="9" t="s">
        <v>119</v>
      </c>
      <c r="E18">
        <f>COUNTA(_xlfn.UNIQUE(D17:D116))</f>
        <v>100</v>
      </c>
      <c r="U18" s="9" t="s">
        <v>2161</v>
      </c>
      <c r="V18" s="16">
        <v>18899.2772</v>
      </c>
    </row>
    <row r="19" spans="3:22" x14ac:dyDescent="0.3">
      <c r="C19" s="9" t="s">
        <v>573</v>
      </c>
      <c r="D19" s="9" t="s">
        <v>1221</v>
      </c>
    </row>
    <row r="20" spans="3:22" x14ac:dyDescent="0.3">
      <c r="C20" s="9" t="s">
        <v>126</v>
      </c>
      <c r="D20" s="9" t="s">
        <v>528</v>
      </c>
    </row>
    <row r="21" spans="3:22" x14ac:dyDescent="0.3">
      <c r="C21" s="9" t="s">
        <v>225</v>
      </c>
      <c r="D21" s="9" t="s">
        <v>1103</v>
      </c>
      <c r="T21" s="12" t="e">
        <f>GETPIVOTDATA("Amount_with_Delivery_Charge ",$S$15,"Product_ID","PID027")</f>
        <v>#REF!</v>
      </c>
      <c r="V21" s="12">
        <f>GETPIVOTDATA("Amount_with_Delivery_Charge ",$U$16,"Product_ID","PID027")</f>
        <v>18899.2772</v>
      </c>
    </row>
    <row r="22" spans="3:22" x14ac:dyDescent="0.3">
      <c r="C22" s="9" t="s">
        <v>481</v>
      </c>
      <c r="D22" s="9" t="s">
        <v>128</v>
      </c>
    </row>
    <row r="23" spans="3:22" x14ac:dyDescent="0.3">
      <c r="C23" s="9" t="s">
        <v>418</v>
      </c>
      <c r="D23" s="9" t="s">
        <v>1817</v>
      </c>
    </row>
    <row r="24" spans="3:22" x14ac:dyDescent="0.3">
      <c r="C24" s="9" t="s">
        <v>871</v>
      </c>
      <c r="D24" s="9" t="s">
        <v>724</v>
      </c>
    </row>
    <row r="25" spans="3:22" x14ac:dyDescent="0.3">
      <c r="C25" s="9" t="s">
        <v>234</v>
      </c>
      <c r="D25" s="9" t="s">
        <v>280</v>
      </c>
    </row>
    <row r="26" spans="3:22" x14ac:dyDescent="0.3">
      <c r="C26" s="9" t="s">
        <v>657</v>
      </c>
      <c r="D26" s="9" t="s">
        <v>925</v>
      </c>
    </row>
    <row r="27" spans="3:22" x14ac:dyDescent="0.3">
      <c r="C27" s="9" t="s">
        <v>173</v>
      </c>
      <c r="D27" s="9" t="s">
        <v>1727</v>
      </c>
    </row>
    <row r="28" spans="3:22" x14ac:dyDescent="0.3">
      <c r="C28" s="9" t="s">
        <v>47</v>
      </c>
      <c r="D28" s="9" t="s">
        <v>450</v>
      </c>
    </row>
    <row r="29" spans="3:22" x14ac:dyDescent="0.3">
      <c r="C29" s="9" t="s">
        <v>563</v>
      </c>
      <c r="D29" s="9" t="s">
        <v>776</v>
      </c>
    </row>
    <row r="30" spans="3:22" x14ac:dyDescent="0.3">
      <c r="C30" s="9" t="s">
        <v>553</v>
      </c>
      <c r="D30" s="9" t="s">
        <v>1210</v>
      </c>
    </row>
    <row r="31" spans="3:22" x14ac:dyDescent="0.3">
      <c r="C31" s="9" t="s">
        <v>270</v>
      </c>
      <c r="D31" s="9" t="s">
        <v>1614</v>
      </c>
    </row>
    <row r="32" spans="3:22" x14ac:dyDescent="0.3">
      <c r="C32" s="9" t="s">
        <v>473</v>
      </c>
      <c r="D32" s="9" t="s">
        <v>49</v>
      </c>
    </row>
    <row r="33" spans="3:4" x14ac:dyDescent="0.3">
      <c r="C33" s="9" t="s">
        <v>383</v>
      </c>
      <c r="D33" s="9" t="s">
        <v>412</v>
      </c>
    </row>
    <row r="34" spans="3:4" x14ac:dyDescent="0.3">
      <c r="C34" s="9" t="s">
        <v>308</v>
      </c>
      <c r="D34" s="9" t="s">
        <v>1238</v>
      </c>
    </row>
    <row r="35" spans="3:4" x14ac:dyDescent="0.3">
      <c r="C35" s="9" t="s">
        <v>35</v>
      </c>
      <c r="D35" s="9" t="s">
        <v>639</v>
      </c>
    </row>
    <row r="36" spans="3:4" x14ac:dyDescent="0.3">
      <c r="C36" s="9" t="s">
        <v>57</v>
      </c>
      <c r="D36" s="9" t="s">
        <v>894</v>
      </c>
    </row>
    <row r="37" spans="3:4" x14ac:dyDescent="0.3">
      <c r="C37" s="9" t="s">
        <v>182</v>
      </c>
      <c r="D37" s="9" t="s">
        <v>316</v>
      </c>
    </row>
    <row r="38" spans="3:4" x14ac:dyDescent="0.3">
      <c r="C38" s="9" t="s">
        <v>590</v>
      </c>
      <c r="D38" s="9" t="s">
        <v>333</v>
      </c>
    </row>
    <row r="39" spans="3:4" x14ac:dyDescent="0.3">
      <c r="C39" s="9" t="s">
        <v>250</v>
      </c>
      <c r="D39" s="9" t="s">
        <v>1318</v>
      </c>
    </row>
    <row r="40" spans="3:4" x14ac:dyDescent="0.3">
      <c r="C40" s="9" t="s">
        <v>323</v>
      </c>
      <c r="D40" s="9" t="s">
        <v>671</v>
      </c>
    </row>
    <row r="41" spans="3:4" x14ac:dyDescent="0.3">
      <c r="C41" s="9" t="s">
        <v>242</v>
      </c>
      <c r="D41" s="9" t="s">
        <v>823</v>
      </c>
    </row>
    <row r="42" spans="3:4" x14ac:dyDescent="0.3">
      <c r="C42" s="9" t="s">
        <v>748</v>
      </c>
      <c r="D42" s="9" t="s">
        <v>603</v>
      </c>
    </row>
    <row r="43" spans="3:4" x14ac:dyDescent="0.3">
      <c r="C43" s="9" t="s">
        <v>246</v>
      </c>
      <c r="D43" s="9" t="s">
        <v>443</v>
      </c>
    </row>
    <row r="44" spans="3:4" x14ac:dyDescent="0.3">
      <c r="C44" s="9" t="s">
        <v>62</v>
      </c>
      <c r="D44" s="9" t="s">
        <v>986</v>
      </c>
    </row>
    <row r="45" spans="3:4" x14ac:dyDescent="0.3">
      <c r="C45" s="9" t="s">
        <v>686</v>
      </c>
      <c r="D45" s="9" t="s">
        <v>192</v>
      </c>
    </row>
    <row r="46" spans="3:4" x14ac:dyDescent="0.3">
      <c r="C46" s="9" t="s">
        <v>114</v>
      </c>
      <c r="D46" s="9" t="s">
        <v>458</v>
      </c>
    </row>
    <row r="47" spans="3:4" x14ac:dyDescent="0.3">
      <c r="C47" s="9" t="s">
        <v>105</v>
      </c>
      <c r="D47" s="9" t="s">
        <v>107</v>
      </c>
    </row>
    <row r="48" spans="3:4" x14ac:dyDescent="0.3">
      <c r="C48" s="9" t="s">
        <v>653</v>
      </c>
      <c r="D48" s="9" t="s">
        <v>1332</v>
      </c>
    </row>
    <row r="49" spans="3:4" x14ac:dyDescent="0.3">
      <c r="C49" s="9" t="s">
        <v>287</v>
      </c>
      <c r="D49" s="9" t="s">
        <v>366</v>
      </c>
    </row>
    <row r="50" spans="3:4" x14ac:dyDescent="0.3">
      <c r="C50" s="9" t="s">
        <v>340</v>
      </c>
      <c r="D50" s="9" t="s">
        <v>349</v>
      </c>
    </row>
    <row r="51" spans="3:4" x14ac:dyDescent="0.3">
      <c r="C51" s="9" t="s">
        <v>495</v>
      </c>
      <c r="D51" s="9" t="s">
        <v>475</v>
      </c>
    </row>
    <row r="52" spans="3:4" x14ac:dyDescent="0.3">
      <c r="C52" s="9" t="s">
        <v>154</v>
      </c>
      <c r="D52" s="9" t="s">
        <v>420</v>
      </c>
    </row>
    <row r="53" spans="3:4" x14ac:dyDescent="0.3">
      <c r="C53" s="9" t="s">
        <v>738</v>
      </c>
      <c r="D53" s="9" t="s">
        <v>483</v>
      </c>
    </row>
    <row r="54" spans="3:4" x14ac:dyDescent="0.3">
      <c r="C54" s="9" t="s">
        <v>344</v>
      </c>
      <c r="D54" s="9" t="s">
        <v>175</v>
      </c>
    </row>
    <row r="55" spans="3:4" x14ac:dyDescent="0.3">
      <c r="C55" s="9" t="s">
        <v>135</v>
      </c>
      <c r="D55" s="9" t="s">
        <v>1168</v>
      </c>
    </row>
    <row r="56" spans="3:4" x14ac:dyDescent="0.3">
      <c r="C56" s="9" t="s">
        <v>81</v>
      </c>
      <c r="D56" s="9" t="s">
        <v>622</v>
      </c>
    </row>
    <row r="57" spans="3:4" x14ac:dyDescent="0.3">
      <c r="C57" s="9" t="s">
        <v>774</v>
      </c>
      <c r="D57" s="9" t="s">
        <v>646</v>
      </c>
    </row>
    <row r="58" spans="3:4" x14ac:dyDescent="0.3">
      <c r="C58" s="9" t="s">
        <v>984</v>
      </c>
      <c r="D58" s="9" t="s">
        <v>1307</v>
      </c>
    </row>
    <row r="59" spans="3:4" x14ac:dyDescent="0.3">
      <c r="C59" s="9" t="s">
        <v>95</v>
      </c>
      <c r="D59" s="9" t="s">
        <v>1191</v>
      </c>
    </row>
    <row r="60" spans="3:4" x14ac:dyDescent="0.3">
      <c r="C60" s="9" t="s">
        <v>145</v>
      </c>
      <c r="D60" s="9" t="s">
        <v>688</v>
      </c>
    </row>
    <row r="61" spans="3:4" x14ac:dyDescent="0.3">
      <c r="C61" s="9" t="s">
        <v>514</v>
      </c>
      <c r="D61" s="9" t="s">
        <v>592</v>
      </c>
    </row>
    <row r="62" spans="3:4" x14ac:dyDescent="0.3">
      <c r="C62" s="9" t="s">
        <v>518</v>
      </c>
      <c r="D62" s="9" t="s">
        <v>575</v>
      </c>
    </row>
    <row r="63" spans="3:4" x14ac:dyDescent="0.3">
      <c r="C63" s="9" t="s">
        <v>291</v>
      </c>
      <c r="D63" s="9" t="s">
        <v>1906</v>
      </c>
    </row>
    <row r="64" spans="3:4" x14ac:dyDescent="0.3">
      <c r="C64" s="9" t="s">
        <v>2161</v>
      </c>
      <c r="D64" s="9" t="s">
        <v>184</v>
      </c>
    </row>
    <row r="65" spans="4:4" x14ac:dyDescent="0.3">
      <c r="D65" s="9" t="s">
        <v>165</v>
      </c>
    </row>
    <row r="66" spans="4:4" x14ac:dyDescent="0.3">
      <c r="D66" s="9" t="s">
        <v>65</v>
      </c>
    </row>
    <row r="67" spans="4:4" x14ac:dyDescent="0.3">
      <c r="D67" s="9" t="s">
        <v>38</v>
      </c>
    </row>
    <row r="68" spans="4:4" x14ac:dyDescent="0.3">
      <c r="D68" s="9" t="s">
        <v>1473</v>
      </c>
    </row>
    <row r="69" spans="4:4" x14ac:dyDescent="0.3">
      <c r="D69" s="9" t="s">
        <v>98</v>
      </c>
    </row>
    <row r="70" spans="4:4" x14ac:dyDescent="0.3">
      <c r="D70" s="9" t="s">
        <v>490</v>
      </c>
    </row>
    <row r="71" spans="4:4" x14ac:dyDescent="0.3">
      <c r="D71" s="9" t="s">
        <v>1246</v>
      </c>
    </row>
    <row r="72" spans="4:4" x14ac:dyDescent="0.3">
      <c r="D72" s="9" t="s">
        <v>325</v>
      </c>
    </row>
    <row r="73" spans="4:4" x14ac:dyDescent="0.3">
      <c r="D73" s="9" t="s">
        <v>705</v>
      </c>
    </row>
    <row r="74" spans="4:4" x14ac:dyDescent="0.3">
      <c r="D74" s="9" t="s">
        <v>1342</v>
      </c>
    </row>
    <row r="75" spans="4:4" x14ac:dyDescent="0.3">
      <c r="D75" s="9" t="s">
        <v>236</v>
      </c>
    </row>
    <row r="76" spans="4:4" x14ac:dyDescent="0.3">
      <c r="D76" s="9" t="s">
        <v>73</v>
      </c>
    </row>
    <row r="77" spans="4:4" x14ac:dyDescent="0.3">
      <c r="D77" s="9" t="s">
        <v>831</v>
      </c>
    </row>
    <row r="78" spans="4:4" x14ac:dyDescent="0.3">
      <c r="D78" s="9" t="s">
        <v>293</v>
      </c>
    </row>
    <row r="79" spans="4:4" x14ac:dyDescent="0.3">
      <c r="D79" s="9" t="s">
        <v>1079</v>
      </c>
    </row>
    <row r="80" spans="4:4" x14ac:dyDescent="0.3">
      <c r="D80" s="9" t="s">
        <v>217</v>
      </c>
    </row>
    <row r="81" spans="4:4" x14ac:dyDescent="0.3">
      <c r="D81" s="9" t="s">
        <v>1457</v>
      </c>
    </row>
    <row r="82" spans="4:4" x14ac:dyDescent="0.3">
      <c r="D82" s="9" t="s">
        <v>435</v>
      </c>
    </row>
    <row r="83" spans="4:4" x14ac:dyDescent="0.3">
      <c r="D83" s="9" t="s">
        <v>263</v>
      </c>
    </row>
    <row r="84" spans="4:4" x14ac:dyDescent="0.3">
      <c r="D84" s="9" t="s">
        <v>1932</v>
      </c>
    </row>
    <row r="85" spans="4:4" x14ac:dyDescent="0.3">
      <c r="D85" s="9" t="s">
        <v>201</v>
      </c>
    </row>
    <row r="86" spans="4:4" x14ac:dyDescent="0.3">
      <c r="D86" s="9" t="s">
        <v>358</v>
      </c>
    </row>
    <row r="87" spans="4:4" x14ac:dyDescent="0.3">
      <c r="D87" s="9" t="s">
        <v>716</v>
      </c>
    </row>
    <row r="88" spans="4:4" x14ac:dyDescent="0.3">
      <c r="D88" s="9" t="s">
        <v>839</v>
      </c>
    </row>
    <row r="89" spans="4:4" x14ac:dyDescent="0.3">
      <c r="D89" s="9" t="s">
        <v>137</v>
      </c>
    </row>
    <row r="90" spans="4:4" x14ac:dyDescent="0.3">
      <c r="D90" s="9" t="s">
        <v>847</v>
      </c>
    </row>
    <row r="91" spans="4:4" x14ac:dyDescent="0.3">
      <c r="D91" s="9" t="s">
        <v>546</v>
      </c>
    </row>
    <row r="92" spans="4:4" x14ac:dyDescent="0.3">
      <c r="D92" s="9" t="s">
        <v>520</v>
      </c>
    </row>
    <row r="93" spans="4:4" x14ac:dyDescent="0.3">
      <c r="D93" s="9" t="s">
        <v>156</v>
      </c>
    </row>
    <row r="94" spans="4:4" x14ac:dyDescent="0.3">
      <c r="D94" s="9" t="s">
        <v>1760</v>
      </c>
    </row>
    <row r="95" spans="4:4" x14ac:dyDescent="0.3">
      <c r="D95" s="9" t="s">
        <v>147</v>
      </c>
    </row>
    <row r="96" spans="4:4" x14ac:dyDescent="0.3">
      <c r="D96" s="9" t="s">
        <v>209</v>
      </c>
    </row>
    <row r="97" spans="4:4" x14ac:dyDescent="0.3">
      <c r="D97" s="9" t="s">
        <v>374</v>
      </c>
    </row>
    <row r="98" spans="4:4" x14ac:dyDescent="0.3">
      <c r="D98" s="9" t="s">
        <v>401</v>
      </c>
    </row>
    <row r="99" spans="4:4" x14ac:dyDescent="0.3">
      <c r="D99" s="9" t="s">
        <v>227</v>
      </c>
    </row>
    <row r="100" spans="4:4" x14ac:dyDescent="0.3">
      <c r="D100" s="9" t="s">
        <v>679</v>
      </c>
    </row>
    <row r="101" spans="4:4" x14ac:dyDescent="0.3">
      <c r="D101" s="9" t="s">
        <v>385</v>
      </c>
    </row>
    <row r="102" spans="4:4" x14ac:dyDescent="0.3">
      <c r="D102" s="9" t="s">
        <v>731</v>
      </c>
    </row>
    <row r="103" spans="4:4" x14ac:dyDescent="0.3">
      <c r="D103" s="9" t="s">
        <v>26</v>
      </c>
    </row>
    <row r="104" spans="4:4" x14ac:dyDescent="0.3">
      <c r="D104" s="9" t="s">
        <v>393</v>
      </c>
    </row>
    <row r="105" spans="4:4" x14ac:dyDescent="0.3">
      <c r="D105" s="9" t="s">
        <v>767</v>
      </c>
    </row>
    <row r="106" spans="4:4" x14ac:dyDescent="0.3">
      <c r="D106" s="9" t="s">
        <v>1042</v>
      </c>
    </row>
    <row r="107" spans="4:4" x14ac:dyDescent="0.3">
      <c r="D107" s="9" t="s">
        <v>301</v>
      </c>
    </row>
    <row r="108" spans="4:4" x14ac:dyDescent="0.3">
      <c r="D108" s="9" t="s">
        <v>272</v>
      </c>
    </row>
    <row r="109" spans="4:4" x14ac:dyDescent="0.3">
      <c r="D109" s="9" t="s">
        <v>535</v>
      </c>
    </row>
    <row r="110" spans="4:4" x14ac:dyDescent="0.3">
      <c r="D110" s="9" t="s">
        <v>255</v>
      </c>
    </row>
    <row r="111" spans="4:4" x14ac:dyDescent="0.3">
      <c r="D111" s="9" t="s">
        <v>750</v>
      </c>
    </row>
    <row r="112" spans="4:4" x14ac:dyDescent="0.3">
      <c r="D112" s="9" t="s">
        <v>507</v>
      </c>
    </row>
    <row r="113" spans="4:4" x14ac:dyDescent="0.3">
      <c r="D113" s="9" t="s">
        <v>1737</v>
      </c>
    </row>
    <row r="114" spans="4:4" x14ac:dyDescent="0.3">
      <c r="D114" s="9" t="s">
        <v>1875</v>
      </c>
    </row>
    <row r="115" spans="4:4" x14ac:dyDescent="0.3">
      <c r="D115" s="9" t="s">
        <v>87</v>
      </c>
    </row>
    <row r="116" spans="4:4" x14ac:dyDescent="0.3">
      <c r="D116" s="9" t="s">
        <v>466</v>
      </c>
    </row>
    <row r="117" spans="4:4" x14ac:dyDescent="0.3">
      <c r="D117" s="9" t="s">
        <v>2161</v>
      </c>
    </row>
  </sheetData>
  <pageMargins left="0.7" right="0.7" top="0.75" bottom="0.75" header="0.3" footer="0.3"/>
  <drawing r:id="rId8"/>
  <extLst>
    <ext xmlns:x14="http://schemas.microsoft.com/office/spreadsheetml/2009/9/main" uri="{A8765BA9-456A-4dab-B4F3-ACF838C121DE}">
      <x14:slicerList>
        <x14:slicer r:id="rId9"/>
      </x14:slicerList>
    </ext>
    <ext xmlns:x15="http://schemas.microsoft.com/office/spreadsheetml/2010/11/main" uri="{7E03D99C-DC04-49d9-9315-930204A7B6E9}">
      <x15:timelineRefs>
        <x15:timelineRef r:id="rId10"/>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8FE35-7BD4-455C-809A-22579F2A62AC}">
  <dimension ref="B3:AX62"/>
  <sheetViews>
    <sheetView topLeftCell="F17" workbookViewId="0">
      <selection activeCell="M37" sqref="M37"/>
    </sheetView>
  </sheetViews>
  <sheetFormatPr defaultRowHeight="14.4" x14ac:dyDescent="0.3"/>
  <cols>
    <col min="2" max="2" width="34.6640625" bestFit="1" customWidth="1"/>
    <col min="3" max="3" width="15.5546875" customWidth="1"/>
    <col min="5" max="5" width="32.33203125" customWidth="1"/>
    <col min="8" max="8" width="30.5546875" customWidth="1"/>
    <col min="9" max="9" width="21.88671875" customWidth="1"/>
    <col min="11" max="11" width="27.6640625" customWidth="1"/>
    <col min="13" max="13" width="33.6640625" customWidth="1"/>
    <col min="26" max="26" width="16.88671875" customWidth="1"/>
    <col min="27" max="27" width="24.33203125" customWidth="1"/>
    <col min="35" max="35" width="28.77734375" customWidth="1"/>
    <col min="36" max="36" width="23.88671875" customWidth="1"/>
    <col min="40" max="40" width="18.88671875" customWidth="1"/>
    <col min="41" max="41" width="20.5546875" customWidth="1"/>
  </cols>
  <sheetData>
    <row r="3" spans="2:41" x14ac:dyDescent="0.3">
      <c r="AI3" t="s">
        <v>2269</v>
      </c>
    </row>
    <row r="4" spans="2:41" x14ac:dyDescent="0.3">
      <c r="B4" t="s">
        <v>2159</v>
      </c>
      <c r="E4" t="e" vm="3">
        <v>#VALUE!</v>
      </c>
      <c r="AI4" s="16">
        <v>364289.48999999982</v>
      </c>
    </row>
    <row r="5" spans="2:41" x14ac:dyDescent="0.3">
      <c r="B5" s="16">
        <v>42.124000000000002</v>
      </c>
    </row>
    <row r="6" spans="2:41" x14ac:dyDescent="0.3">
      <c r="H6" s="8" t="s">
        <v>14</v>
      </c>
      <c r="I6" t="s">
        <v>2289</v>
      </c>
      <c r="M6" s="8" t="s">
        <v>2160</v>
      </c>
      <c r="N6" t="s">
        <v>2268</v>
      </c>
    </row>
    <row r="7" spans="2:41" x14ac:dyDescent="0.3">
      <c r="B7">
        <f>GETPIVOTDATA("Age",$B$4)</f>
        <v>42.124000000000002</v>
      </c>
      <c r="M7" s="9" t="s">
        <v>1221</v>
      </c>
      <c r="N7" s="16">
        <v>6854.0677999999998</v>
      </c>
    </row>
    <row r="8" spans="2:41" x14ac:dyDescent="0.3">
      <c r="E8" s="16" t="e" vm="4">
        <v>#VALUE!</v>
      </c>
      <c r="H8" t="s">
        <v>2263</v>
      </c>
      <c r="M8" s="9" t="s">
        <v>1210</v>
      </c>
      <c r="N8" s="16">
        <v>6567.3071999999993</v>
      </c>
    </row>
    <row r="9" spans="2:41" x14ac:dyDescent="0.3">
      <c r="H9" s="16">
        <v>500</v>
      </c>
      <c r="K9" s="10"/>
      <c r="M9" s="9" t="s">
        <v>1614</v>
      </c>
      <c r="N9" s="16">
        <v>8218.4582999999984</v>
      </c>
    </row>
    <row r="10" spans="2:41" x14ac:dyDescent="0.3">
      <c r="C10" s="16" t="e" vm="4">
        <v>#VALUE!</v>
      </c>
      <c r="M10" s="9" t="s">
        <v>236</v>
      </c>
      <c r="N10" s="16">
        <v>6606.2736999999997</v>
      </c>
    </row>
    <row r="11" spans="2:41" x14ac:dyDescent="0.3">
      <c r="M11" s="9" t="s">
        <v>1079</v>
      </c>
      <c r="N11" s="16">
        <v>7874.7186999999994</v>
      </c>
    </row>
    <row r="12" spans="2:41" x14ac:dyDescent="0.3">
      <c r="E12" t="e" vm="5">
        <v>#VALUE!</v>
      </c>
      <c r="H12">
        <f>COUNTA(_xlfn.UNIQUE(Table3[Product_ID]))</f>
        <v>50</v>
      </c>
      <c r="I12">
        <f>GETPIVOTDATA("Order_ID",$H$8)</f>
        <v>500</v>
      </c>
      <c r="M12" s="9" t="s">
        <v>435</v>
      </c>
      <c r="N12" s="16">
        <v>7451.563799999999</v>
      </c>
    </row>
    <row r="13" spans="2:41" x14ac:dyDescent="0.3">
      <c r="M13" s="9" t="s">
        <v>546</v>
      </c>
      <c r="N13" s="16">
        <v>13056.678899999997</v>
      </c>
    </row>
    <row r="14" spans="2:41" x14ac:dyDescent="0.3">
      <c r="H14">
        <f>H12</f>
        <v>50</v>
      </c>
      <c r="M14" s="9" t="s">
        <v>520</v>
      </c>
      <c r="N14" s="16">
        <v>6564.2684000000008</v>
      </c>
    </row>
    <row r="15" spans="2:41" x14ac:dyDescent="0.3">
      <c r="B15" t="e">
        <f>GETPIVOTDATA("Amount_with_Delivery_Charge ",$C$10,"Full Name","AmyGriffin")</f>
        <v>#REF!</v>
      </c>
      <c r="M15" s="9" t="s">
        <v>227</v>
      </c>
      <c r="N15" s="16">
        <v>6576.1846000000005</v>
      </c>
    </row>
    <row r="16" spans="2:41" x14ac:dyDescent="0.3">
      <c r="M16" s="9" t="s">
        <v>272</v>
      </c>
      <c r="N16" s="16">
        <v>6685.0841000000009</v>
      </c>
      <c r="AN16" s="8" t="s">
        <v>2160</v>
      </c>
      <c r="AO16" t="s">
        <v>2263</v>
      </c>
    </row>
    <row r="17" spans="2:50" x14ac:dyDescent="0.3">
      <c r="H17" s="10"/>
      <c r="M17" s="9" t="s">
        <v>2161</v>
      </c>
      <c r="N17" s="16">
        <v>76454.605500000005</v>
      </c>
      <c r="Z17" s="8" t="s">
        <v>2268</v>
      </c>
      <c r="AA17" s="8" t="s">
        <v>2267</v>
      </c>
      <c r="AN17" s="9" t="s">
        <v>159</v>
      </c>
      <c r="AO17" s="16">
        <v>51</v>
      </c>
      <c r="AT17" t="str" cm="1">
        <f t="array" ref="AT17:AU24">AN17:AO24</f>
        <v>Chicago</v>
      </c>
      <c r="AU17">
        <v>51</v>
      </c>
      <c r="AW17" t="str" cm="1">
        <f t="array" ref="AW17:AX26">AN16:AO25</f>
        <v>Row Labels</v>
      </c>
      <c r="AX17" t="str">
        <v>Count of Order_ID</v>
      </c>
    </row>
    <row r="18" spans="2:50" x14ac:dyDescent="0.3">
      <c r="Z18" s="8" t="s">
        <v>2160</v>
      </c>
      <c r="AA18" t="s">
        <v>41</v>
      </c>
      <c r="AB18" t="s">
        <v>29</v>
      </c>
      <c r="AC18" t="s">
        <v>52</v>
      </c>
      <c r="AD18" t="s">
        <v>2161</v>
      </c>
      <c r="AN18" s="9" t="s">
        <v>220</v>
      </c>
      <c r="AO18" s="16">
        <v>64</v>
      </c>
      <c r="AT18" t="str">
        <v>Dallas</v>
      </c>
      <c r="AU18">
        <v>64</v>
      </c>
      <c r="AW18" t="str">
        <v>Chicago</v>
      </c>
      <c r="AX18">
        <v>51</v>
      </c>
    </row>
    <row r="19" spans="2:50" x14ac:dyDescent="0.3">
      <c r="B19" cm="1">
        <f t="array" ref="B19:C19">B11:C11</f>
        <v>0</v>
      </c>
      <c r="C19">
        <v>0</v>
      </c>
      <c r="Z19" s="9" t="s">
        <v>2274</v>
      </c>
      <c r="AA19" s="16">
        <v>8150.0287999999991</v>
      </c>
      <c r="AB19" s="16">
        <v>6482.6481000000013</v>
      </c>
      <c r="AC19" s="16">
        <v>16747.9372</v>
      </c>
      <c r="AD19" s="16">
        <v>31380.614099999999</v>
      </c>
      <c r="AN19" s="9" t="s">
        <v>42</v>
      </c>
      <c r="AO19" s="16">
        <v>80</v>
      </c>
      <c r="AT19" t="str">
        <v>Houston</v>
      </c>
      <c r="AU19">
        <v>80</v>
      </c>
      <c r="AW19" t="str">
        <v>Dallas</v>
      </c>
      <c r="AX19">
        <v>64</v>
      </c>
    </row>
    <row r="20" spans="2:50" x14ac:dyDescent="0.3">
      <c r="Z20" s="9" t="s">
        <v>2275</v>
      </c>
      <c r="AA20" s="16">
        <v>9383.2882999999983</v>
      </c>
      <c r="AB20" s="16">
        <v>7999.7120000000004</v>
      </c>
      <c r="AC20" s="16">
        <v>7828.3640999999998</v>
      </c>
      <c r="AD20" s="16">
        <v>25211.364399999999</v>
      </c>
      <c r="AN20" s="9" t="s">
        <v>90</v>
      </c>
      <c r="AO20" s="16">
        <v>72</v>
      </c>
      <c r="AT20" t="str">
        <v>Los Angeles</v>
      </c>
      <c r="AU20">
        <v>72</v>
      </c>
      <c r="AW20" t="str">
        <v>Houston</v>
      </c>
      <c r="AX20">
        <v>80</v>
      </c>
    </row>
    <row r="21" spans="2:50" x14ac:dyDescent="0.3">
      <c r="H21" s="10"/>
      <c r="Z21" s="9" t="s">
        <v>2276</v>
      </c>
      <c r="AA21" s="16">
        <v>11079.1746</v>
      </c>
      <c r="AB21" s="16">
        <v>7791.677999999999</v>
      </c>
      <c r="AC21" s="16">
        <v>8111.0689000000011</v>
      </c>
      <c r="AD21" s="16">
        <v>26981.9215</v>
      </c>
      <c r="AN21" s="9" t="s">
        <v>140</v>
      </c>
      <c r="AO21" s="16">
        <v>44</v>
      </c>
      <c r="AT21" t="str">
        <v>Miami</v>
      </c>
      <c r="AU21">
        <v>44</v>
      </c>
      <c r="AW21" t="str">
        <v>Los Angeles</v>
      </c>
      <c r="AX21">
        <v>72</v>
      </c>
    </row>
    <row r="22" spans="2:50" x14ac:dyDescent="0.3">
      <c r="B22" t="s">
        <v>2263</v>
      </c>
      <c r="E22" t="s">
        <v>2264</v>
      </c>
      <c r="Z22" s="9" t="s">
        <v>2277</v>
      </c>
      <c r="AA22" s="16">
        <v>16094.931699999999</v>
      </c>
      <c r="AB22" s="16">
        <v>10241.5874</v>
      </c>
      <c r="AC22" s="16">
        <v>12224.427300000001</v>
      </c>
      <c r="AD22" s="16">
        <v>38560.946400000001</v>
      </c>
      <c r="AN22" s="9" t="s">
        <v>76</v>
      </c>
      <c r="AO22" s="16">
        <v>51</v>
      </c>
      <c r="AT22" t="str">
        <v>New York</v>
      </c>
      <c r="AU22">
        <v>51</v>
      </c>
      <c r="AW22" t="str">
        <v>Miami</v>
      </c>
      <c r="AX22">
        <v>44</v>
      </c>
    </row>
    <row r="23" spans="2:50" x14ac:dyDescent="0.3">
      <c r="B23" s="16">
        <v>500</v>
      </c>
      <c r="E23" t="s">
        <v>2286</v>
      </c>
      <c r="M23" s="8" t="s">
        <v>2160</v>
      </c>
      <c r="N23" t="s">
        <v>2272</v>
      </c>
      <c r="Z23" s="9" t="s">
        <v>2278</v>
      </c>
      <c r="AA23" s="16">
        <v>3690.1650000000004</v>
      </c>
      <c r="AB23" s="16">
        <v>8286.7198000000008</v>
      </c>
      <c r="AC23" s="16">
        <v>10840.48</v>
      </c>
      <c r="AD23" s="16">
        <v>22817.364800000003</v>
      </c>
      <c r="AN23" s="9" t="s">
        <v>30</v>
      </c>
      <c r="AO23" s="16">
        <v>66</v>
      </c>
      <c r="AT23" t="str">
        <v>Phoenix</v>
      </c>
      <c r="AU23">
        <v>66</v>
      </c>
      <c r="AW23" t="str">
        <v>New York</v>
      </c>
      <c r="AX23">
        <v>51</v>
      </c>
    </row>
    <row r="24" spans="2:50" x14ac:dyDescent="0.3">
      <c r="E24" s="16">
        <v>52.246000000000002</v>
      </c>
      <c r="M24" s="9" t="s">
        <v>63</v>
      </c>
      <c r="N24" s="16">
        <v>102</v>
      </c>
      <c r="Z24" s="9" t="s">
        <v>2279</v>
      </c>
      <c r="AA24" s="16">
        <v>10185.532500000001</v>
      </c>
      <c r="AB24" s="16">
        <v>10543.312599999999</v>
      </c>
      <c r="AC24" s="16">
        <v>10607.983799999998</v>
      </c>
      <c r="AD24" s="16">
        <v>31336.828899999997</v>
      </c>
      <c r="AN24" s="9" t="s">
        <v>168</v>
      </c>
      <c r="AO24" s="16">
        <v>72</v>
      </c>
      <c r="AT24" t="str">
        <v>San Francisco</v>
      </c>
      <c r="AU24">
        <v>72</v>
      </c>
      <c r="AW24" t="str">
        <v>Phoenix</v>
      </c>
      <c r="AX24">
        <v>66</v>
      </c>
    </row>
    <row r="25" spans="2:50" x14ac:dyDescent="0.3">
      <c r="M25" s="9" t="s">
        <v>96</v>
      </c>
      <c r="N25" s="16">
        <v>100</v>
      </c>
      <c r="Z25" s="9" t="s">
        <v>2280</v>
      </c>
      <c r="AA25" s="16">
        <v>8454.1744000000017</v>
      </c>
      <c r="AB25" s="16">
        <v>14543.007100000001</v>
      </c>
      <c r="AC25" s="16">
        <v>15550.084700000001</v>
      </c>
      <c r="AD25" s="16">
        <v>38547.266200000005</v>
      </c>
      <c r="AN25" s="9" t="s">
        <v>2161</v>
      </c>
      <c r="AO25" s="16">
        <v>500</v>
      </c>
      <c r="AW25" t="str">
        <v>San Francisco</v>
      </c>
      <c r="AX25">
        <v>72</v>
      </c>
    </row>
    <row r="26" spans="2:50" x14ac:dyDescent="0.3">
      <c r="B26">
        <f>GETPIVOTDATA("Order_ID",$B$22)</f>
        <v>500</v>
      </c>
      <c r="E26" s="15">
        <f>GETPIVOTDATA("Delivery_Charge",$E$23)</f>
        <v>52.246000000000002</v>
      </c>
      <c r="H26" s="16" t="e" vm="1">
        <v>#VALUE!</v>
      </c>
      <c r="M26" s="9" t="s">
        <v>58</v>
      </c>
      <c r="N26" s="16">
        <v>83</v>
      </c>
      <c r="Z26" s="9" t="s">
        <v>2281</v>
      </c>
      <c r="AA26" s="16">
        <v>10309.336700000002</v>
      </c>
      <c r="AB26" s="16">
        <v>8244.1471000000001</v>
      </c>
      <c r="AC26" s="16">
        <v>9277.9221999999991</v>
      </c>
      <c r="AD26" s="16">
        <v>27831.406000000003</v>
      </c>
      <c r="AI26" s="8" t="s">
        <v>2160</v>
      </c>
      <c r="AJ26" t="s">
        <v>2268</v>
      </c>
      <c r="AW26" t="str">
        <v>Grand Total</v>
      </c>
      <c r="AX26">
        <v>500</v>
      </c>
    </row>
    <row r="27" spans="2:50" x14ac:dyDescent="0.3">
      <c r="M27" s="9" t="s">
        <v>85</v>
      </c>
      <c r="N27" s="16">
        <v>104</v>
      </c>
      <c r="Z27" s="9" t="s">
        <v>2282</v>
      </c>
      <c r="AA27" s="16">
        <v>5620.5067000000008</v>
      </c>
      <c r="AB27" s="16">
        <v>9875.9236999999994</v>
      </c>
      <c r="AC27" s="16">
        <v>10683.466199999999</v>
      </c>
      <c r="AD27" s="16">
        <v>26179.8966</v>
      </c>
      <c r="AI27" s="9" t="s">
        <v>159</v>
      </c>
      <c r="AJ27" s="16">
        <v>33234.737000000001</v>
      </c>
    </row>
    <row r="28" spans="2:50" x14ac:dyDescent="0.3">
      <c r="B28" t="s">
        <v>2265</v>
      </c>
      <c r="M28" s="9" t="s">
        <v>36</v>
      </c>
      <c r="N28" s="16">
        <v>111</v>
      </c>
      <c r="Z28" s="9" t="s">
        <v>2283</v>
      </c>
      <c r="AA28" s="16">
        <v>8193.9498999999996</v>
      </c>
      <c r="AB28" s="16">
        <v>9548.174500000001</v>
      </c>
      <c r="AC28" s="16">
        <v>8392.2402000000002</v>
      </c>
      <c r="AD28" s="16">
        <v>26134.364600000001</v>
      </c>
      <c r="AI28" s="9" t="s">
        <v>220</v>
      </c>
      <c r="AJ28" s="16">
        <v>46047.757000000012</v>
      </c>
    </row>
    <row r="29" spans="2:50" x14ac:dyDescent="0.3">
      <c r="B29" s="16">
        <v>4.0019999999999998</v>
      </c>
      <c r="M29" s="9" t="s">
        <v>2161</v>
      </c>
      <c r="N29" s="16">
        <v>500</v>
      </c>
      <c r="Z29" s="9" t="s">
        <v>2284</v>
      </c>
      <c r="AA29" s="16">
        <v>3964.8175999999994</v>
      </c>
      <c r="AB29" s="16">
        <v>5559.0000000000009</v>
      </c>
      <c r="AC29" s="16">
        <v>16941.671599999998</v>
      </c>
      <c r="AD29" s="16">
        <v>26465.489199999996</v>
      </c>
      <c r="AI29" s="9" t="s">
        <v>42</v>
      </c>
      <c r="AJ29" s="16">
        <v>60148.810399999995</v>
      </c>
    </row>
    <row r="30" spans="2:50" x14ac:dyDescent="0.3">
      <c r="B30" s="12">
        <f>GETPIVOTDATA("Day_Delivery",$B$28)</f>
        <v>4.0019999999999998</v>
      </c>
      <c r="H30" s="16" t="e" vm="1">
        <v>#VALUE!</v>
      </c>
      <c r="Z30" s="9" t="s">
        <v>2285</v>
      </c>
      <c r="AA30" s="16">
        <v>5307.2115999999996</v>
      </c>
      <c r="AB30" s="16">
        <v>6295.1010999999999</v>
      </c>
      <c r="AC30" s="16">
        <v>14139.984299999996</v>
      </c>
      <c r="AD30" s="16">
        <v>25742.296999999995</v>
      </c>
      <c r="AI30" s="9" t="s">
        <v>90</v>
      </c>
      <c r="AJ30" s="16">
        <v>47533.305899999992</v>
      </c>
    </row>
    <row r="31" spans="2:50" x14ac:dyDescent="0.3">
      <c r="Z31" s="9" t="s">
        <v>2161</v>
      </c>
      <c r="AA31" s="16">
        <v>100433.11779999998</v>
      </c>
      <c r="AB31" s="16">
        <v>105411.01139999999</v>
      </c>
      <c r="AC31" s="16">
        <v>141345.6305</v>
      </c>
      <c r="AD31" s="16">
        <v>347189.7597</v>
      </c>
      <c r="AI31" s="9" t="s">
        <v>140</v>
      </c>
      <c r="AJ31" s="16">
        <v>24762.065300000006</v>
      </c>
    </row>
    <row r="32" spans="2:50" x14ac:dyDescent="0.3">
      <c r="B32" s="16" t="e" vm="6">
        <v>#VALUE!</v>
      </c>
      <c r="AI32" s="9" t="s">
        <v>76</v>
      </c>
      <c r="AJ32" s="16">
        <v>39809.197500000009</v>
      </c>
    </row>
    <row r="33" spans="2:36" x14ac:dyDescent="0.3">
      <c r="AI33" s="9" t="s">
        <v>30</v>
      </c>
      <c r="AJ33" s="16">
        <v>45607.425800000005</v>
      </c>
    </row>
    <row r="34" spans="2:36" x14ac:dyDescent="0.3">
      <c r="I34" t="e">
        <f>GETPIVOTDATA("Product_ID",$H$30,"Product_ID","PID036")</f>
        <v>#REF!</v>
      </c>
      <c r="AI34" s="9" t="s">
        <v>168</v>
      </c>
      <c r="AJ34" s="16">
        <v>50046.460799999986</v>
      </c>
    </row>
    <row r="35" spans="2:36" x14ac:dyDescent="0.3">
      <c r="B35" t="e">
        <f>GETPIVOTDATA("Delivery_Charge",$B$32)</f>
        <v>#REF!</v>
      </c>
      <c r="AI35" s="9" t="s">
        <v>2161</v>
      </c>
      <c r="AJ35" s="16">
        <v>347189.75970000005</v>
      </c>
    </row>
    <row r="37" spans="2:36" x14ac:dyDescent="0.3">
      <c r="M37" s="8" t="s">
        <v>2160</v>
      </c>
      <c r="N37" t="s">
        <v>2263</v>
      </c>
    </row>
    <row r="38" spans="2:36" x14ac:dyDescent="0.3">
      <c r="B38" t="s">
        <v>2266</v>
      </c>
      <c r="H38" s="10"/>
      <c r="M38" s="9" t="s">
        <v>941</v>
      </c>
      <c r="N38" s="16">
        <v>14</v>
      </c>
    </row>
    <row r="39" spans="2:36" x14ac:dyDescent="0.3">
      <c r="B39" s="16">
        <v>500</v>
      </c>
      <c r="H39" s="9"/>
      <c r="M39" s="9" t="s">
        <v>270</v>
      </c>
      <c r="N39" s="16">
        <v>15</v>
      </c>
    </row>
    <row r="40" spans="2:36" x14ac:dyDescent="0.3">
      <c r="C40">
        <f>COUNTA(_xlfn.UNIQUE(B39:B88))</f>
        <v>6</v>
      </c>
      <c r="H40" s="11"/>
      <c r="M40" s="9" t="s">
        <v>323</v>
      </c>
      <c r="N40" s="16">
        <v>15</v>
      </c>
    </row>
    <row r="41" spans="2:36" x14ac:dyDescent="0.3">
      <c r="B41">
        <f>GETPIVOTDATA("Product_ID",$B$38)</f>
        <v>500</v>
      </c>
      <c r="M41" s="9" t="s">
        <v>287</v>
      </c>
      <c r="N41" s="16">
        <v>17</v>
      </c>
    </row>
    <row r="42" spans="2:36" x14ac:dyDescent="0.3">
      <c r="C42">
        <f>C40</f>
        <v>6</v>
      </c>
      <c r="M42" s="9" t="s">
        <v>344</v>
      </c>
      <c r="N42" s="16">
        <v>14</v>
      </c>
    </row>
    <row r="43" spans="2:36" x14ac:dyDescent="0.3">
      <c r="H43" s="16" t="e" vm="1">
        <v>#VALUE!</v>
      </c>
      <c r="M43" s="9" t="s">
        <v>95</v>
      </c>
      <c r="N43" s="16">
        <v>16</v>
      </c>
    </row>
    <row r="44" spans="2:36" x14ac:dyDescent="0.3">
      <c r="M44" s="9" t="s">
        <v>514</v>
      </c>
      <c r="N44" s="16">
        <v>15</v>
      </c>
    </row>
    <row r="45" spans="2:36" x14ac:dyDescent="0.3">
      <c r="M45" s="9" t="s">
        <v>2161</v>
      </c>
      <c r="N45" s="16">
        <v>106</v>
      </c>
    </row>
    <row r="48" spans="2:36" x14ac:dyDescent="0.3">
      <c r="H48" s="12" t="e">
        <f>GETPIVOTDATA("Amount_with_Delivery_Charge ",$H$43,"Product_ID","PID027")</f>
        <v>#REF!</v>
      </c>
    </row>
    <row r="51" spans="2:8" x14ac:dyDescent="0.3">
      <c r="H51" t="s">
        <v>2269</v>
      </c>
    </row>
    <row r="52" spans="2:8" x14ac:dyDescent="0.3">
      <c r="B52" t="s">
        <v>2270</v>
      </c>
      <c r="H52" s="16">
        <v>364289.48999999982</v>
      </c>
    </row>
    <row r="53" spans="2:8" x14ac:dyDescent="0.3">
      <c r="B53" s="16">
        <v>52.129999999999981</v>
      </c>
    </row>
    <row r="55" spans="2:8" x14ac:dyDescent="0.3">
      <c r="H55">
        <f>GETPIVOTDATA("Amount",$H$51)</f>
        <v>364289.48999999982</v>
      </c>
    </row>
    <row r="56" spans="2:8" x14ac:dyDescent="0.3">
      <c r="B56" s="13">
        <f>GETPIVOTDATA("Discount_Percentage",$B$52)</f>
        <v>52.129999999999981</v>
      </c>
    </row>
    <row r="58" spans="2:8" x14ac:dyDescent="0.3">
      <c r="B58" t="s">
        <v>2271</v>
      </c>
      <c r="H58" t="s">
        <v>2268</v>
      </c>
    </row>
    <row r="59" spans="2:8" x14ac:dyDescent="0.3">
      <c r="B59" s="16">
        <v>326325.7597</v>
      </c>
      <c r="H59" s="16">
        <v>347189.75969999994</v>
      </c>
    </row>
    <row r="61" spans="2:8" x14ac:dyDescent="0.3">
      <c r="H61">
        <f>GETPIVOTDATA("Amount_with_Delivery_Charge ",$H$58)</f>
        <v>347189.75969999994</v>
      </c>
    </row>
    <row r="62" spans="2:8" x14ac:dyDescent="0.3">
      <c r="B62" s="12">
        <f>GETPIVOTDATA("Discount_Amount",$B$58)</f>
        <v>326325.7597</v>
      </c>
    </row>
  </sheetData>
  <pageMargins left="0.7" right="0.7" top="0.75" bottom="0.75" header="0.3" footer="0.3"/>
  <drawing r:id="rId26"/>
  <extLst>
    <ext xmlns:x14="http://schemas.microsoft.com/office/spreadsheetml/2009/9/main" uri="{A8765BA9-456A-4dab-B4F3-ACF838C121DE}">
      <x14:slicerList>
        <x14:slicer r:id="rId27"/>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B7D8E-24CD-4008-8F9B-E3AB228E5418}">
  <dimension ref="A1"/>
  <sheetViews>
    <sheetView tabSelected="1" topLeftCell="A2" workbookViewId="0">
      <selection activeCell="X3" sqref="X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data</vt:lpstr>
      <vt:lpstr>second data</vt:lpstr>
      <vt:lpstr>Sheet1</vt:lpstr>
      <vt:lpstr>Sheet3</vt:lpstr>
      <vt:lpstr>dashborad</vt:lpstr>
      <vt:lpstr>'second data'!Criteria</vt:lpstr>
      <vt:lpstr>'second data'!Extract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vnaveenyadav44@gmail.com</dc:creator>
  <cp:lastModifiedBy>Velagala Naveen</cp:lastModifiedBy>
  <dcterms:created xsi:type="dcterms:W3CDTF">2026-08-15T07:57:10Z</dcterms:created>
  <dcterms:modified xsi:type="dcterms:W3CDTF">2026-08-25T06:01:43Z</dcterms:modified>
</cp:coreProperties>
</file>